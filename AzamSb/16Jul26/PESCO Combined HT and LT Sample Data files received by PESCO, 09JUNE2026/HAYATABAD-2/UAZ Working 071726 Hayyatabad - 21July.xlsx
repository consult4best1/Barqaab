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AzamSb\16Jul26\PESCO Combined HT and LT Sample Data files received by PESCO, 09JUNE2026\HAYATABAD-2\"/>
    </mc:Choice>
  </mc:AlternateContent>
  <xr:revisionPtr revIDLastSave="0" documentId="13_ncr:1_{096FF02F-B7C4-4367-A644-D32F7707F5ED}" xr6:coauthVersionLast="47" xr6:coauthVersionMax="47" xr10:uidLastSave="{00000000-0000-0000-0000-000000000000}"/>
  <bookViews>
    <workbookView xWindow="-110" yWindow="-110" windowWidth="19420" windowHeight="10300" tabRatio="728" activeTab="1" xr2:uid="{00000000-000D-0000-FFFF-FFFF00000000}"/>
  </bookViews>
  <sheets>
    <sheet name="GPX" sheetId="6" r:id="rId1"/>
    <sheet name="mdb_gps_points" sheetId="2" r:id="rId2"/>
    <sheet name="Comparison" sheetId="9" r:id="rId3"/>
    <sheet name="Sheet2" sheetId="8" r:id="rId4"/>
    <sheet name="Field_Data" sheetId="3" r:id="rId5"/>
  </sheets>
  <definedNames>
    <definedName name="_xlnm._FilterDatabase" localSheetId="4" hidden="1">Field_Data!$A$1:$BE$920</definedName>
    <definedName name="_xlnm._FilterDatabase" localSheetId="1" hidden="1">mdb_gps_points!$A$1:$AB$1086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9" l="1"/>
  <c r="O4" i="9"/>
  <c r="N5" i="9"/>
  <c r="O5" i="9"/>
  <c r="N6" i="9"/>
  <c r="O6" i="9"/>
  <c r="N7" i="9"/>
  <c r="O7" i="9"/>
  <c r="N8" i="9"/>
  <c r="O8" i="9"/>
  <c r="N9" i="9"/>
  <c r="O9" i="9"/>
  <c r="N10" i="9"/>
  <c r="O10" i="9"/>
  <c r="N11" i="9"/>
  <c r="O11" i="9"/>
  <c r="N12" i="9"/>
  <c r="O12" i="9"/>
  <c r="N13" i="9"/>
  <c r="O13" i="9"/>
  <c r="N14" i="9"/>
  <c r="O14" i="9"/>
  <c r="N15" i="9"/>
  <c r="O15" i="9"/>
  <c r="N16" i="9"/>
  <c r="O16" i="9"/>
  <c r="N17" i="9"/>
  <c r="O17" i="9"/>
  <c r="N18" i="9"/>
  <c r="O18" i="9"/>
  <c r="N19" i="9"/>
  <c r="O19" i="9"/>
  <c r="N20" i="9"/>
  <c r="O20" i="9"/>
  <c r="N21" i="9"/>
  <c r="O21" i="9"/>
  <c r="N22" i="9"/>
  <c r="O22" i="9"/>
  <c r="N23" i="9"/>
  <c r="O23" i="9"/>
  <c r="N24" i="9"/>
  <c r="O24" i="9"/>
  <c r="N25" i="9"/>
  <c r="O25" i="9"/>
  <c r="N26" i="9"/>
  <c r="O26" i="9"/>
  <c r="N27" i="9"/>
  <c r="O27" i="9"/>
  <c r="N28" i="9"/>
  <c r="O28" i="9"/>
  <c r="N29" i="9"/>
  <c r="O29" i="9"/>
  <c r="N30" i="9"/>
  <c r="O30" i="9"/>
  <c r="N31" i="9"/>
  <c r="O31" i="9"/>
  <c r="N32" i="9"/>
  <c r="O32" i="9"/>
  <c r="N33" i="9"/>
  <c r="O33" i="9"/>
  <c r="N34" i="9"/>
  <c r="O34" i="9"/>
  <c r="N35" i="9"/>
  <c r="O35" i="9"/>
  <c r="N36" i="9"/>
  <c r="O36" i="9"/>
  <c r="N37" i="9"/>
  <c r="O37" i="9"/>
  <c r="N38" i="9"/>
  <c r="O38" i="9"/>
  <c r="N39" i="9"/>
  <c r="O39" i="9"/>
  <c r="N40" i="9"/>
  <c r="O40" i="9"/>
  <c r="N41" i="9"/>
  <c r="O41" i="9"/>
  <c r="N42" i="9"/>
  <c r="O42" i="9"/>
  <c r="N43" i="9"/>
  <c r="O43" i="9"/>
  <c r="N44" i="9"/>
  <c r="O44" i="9"/>
  <c r="N45" i="9"/>
  <c r="O45" i="9"/>
  <c r="N46" i="9"/>
  <c r="O46" i="9"/>
  <c r="N47" i="9"/>
  <c r="O47" i="9"/>
  <c r="N48" i="9"/>
  <c r="O48" i="9"/>
  <c r="N49" i="9"/>
  <c r="O49" i="9"/>
  <c r="N50" i="9"/>
  <c r="O50" i="9"/>
  <c r="N51" i="9"/>
  <c r="O51" i="9"/>
  <c r="N52" i="9"/>
  <c r="O52" i="9"/>
  <c r="N53" i="9"/>
  <c r="O53" i="9"/>
  <c r="N54" i="9"/>
  <c r="O54" i="9"/>
  <c r="N55" i="9"/>
  <c r="O55" i="9"/>
  <c r="N56" i="9"/>
  <c r="O56" i="9"/>
  <c r="N57" i="9"/>
  <c r="O57" i="9"/>
  <c r="N58" i="9"/>
  <c r="O58" i="9"/>
  <c r="N59" i="9"/>
  <c r="O59" i="9"/>
  <c r="N60" i="9"/>
  <c r="O60" i="9"/>
  <c r="N61" i="9"/>
  <c r="O61" i="9"/>
  <c r="N62" i="9"/>
  <c r="O62" i="9"/>
  <c r="N63" i="9"/>
  <c r="O63" i="9"/>
  <c r="N64" i="9"/>
  <c r="O64" i="9"/>
  <c r="N65" i="9"/>
  <c r="O65" i="9"/>
  <c r="N66" i="9"/>
  <c r="O66" i="9"/>
  <c r="N67" i="9"/>
  <c r="O67" i="9"/>
  <c r="N68" i="9"/>
  <c r="O68" i="9"/>
  <c r="N69" i="9"/>
  <c r="O69" i="9"/>
  <c r="N70" i="9"/>
  <c r="O70" i="9"/>
  <c r="N71" i="9"/>
  <c r="O71" i="9"/>
  <c r="N72" i="9"/>
  <c r="O72" i="9"/>
  <c r="N73" i="9"/>
  <c r="O73" i="9"/>
  <c r="N74" i="9"/>
  <c r="O74" i="9"/>
  <c r="N75" i="9"/>
  <c r="O75" i="9"/>
  <c r="N76" i="9"/>
  <c r="O76" i="9"/>
  <c r="N77" i="9"/>
  <c r="O77" i="9"/>
  <c r="N78" i="9"/>
  <c r="O78" i="9"/>
  <c r="N79" i="9"/>
  <c r="O79" i="9"/>
  <c r="N80" i="9"/>
  <c r="O80" i="9"/>
  <c r="N81" i="9"/>
  <c r="O81" i="9"/>
  <c r="N82" i="9"/>
  <c r="O82" i="9"/>
  <c r="N83" i="9"/>
  <c r="O83" i="9"/>
  <c r="N84" i="9"/>
  <c r="O84" i="9"/>
  <c r="N85" i="9"/>
  <c r="O85" i="9"/>
  <c r="N86" i="9"/>
  <c r="O86" i="9"/>
  <c r="N87" i="9"/>
  <c r="O87" i="9"/>
  <c r="N88" i="9"/>
  <c r="O88" i="9"/>
  <c r="N89" i="9"/>
  <c r="O89" i="9"/>
  <c r="N90" i="9"/>
  <c r="O90" i="9"/>
  <c r="N91" i="9"/>
  <c r="O91" i="9"/>
  <c r="N92" i="9"/>
  <c r="O92" i="9"/>
  <c r="N93" i="9"/>
  <c r="O93" i="9"/>
  <c r="N94" i="9"/>
  <c r="O94" i="9"/>
  <c r="N95" i="9"/>
  <c r="O95" i="9"/>
  <c r="N96" i="9"/>
  <c r="O96" i="9"/>
  <c r="N97" i="9"/>
  <c r="O97" i="9"/>
  <c r="N98" i="9"/>
  <c r="O98" i="9"/>
  <c r="N99" i="9"/>
  <c r="O99" i="9"/>
  <c r="N100" i="9"/>
  <c r="O100" i="9"/>
  <c r="N101" i="9"/>
  <c r="O101" i="9"/>
  <c r="N102" i="9"/>
  <c r="O102" i="9"/>
  <c r="N103" i="9"/>
  <c r="O103" i="9"/>
  <c r="N104" i="9"/>
  <c r="O104" i="9"/>
  <c r="N105" i="9"/>
  <c r="O105" i="9"/>
  <c r="N106" i="9"/>
  <c r="O106" i="9"/>
  <c r="N107" i="9"/>
  <c r="O107" i="9"/>
  <c r="N108" i="9"/>
  <c r="O108" i="9"/>
  <c r="N109" i="9"/>
  <c r="O109" i="9"/>
  <c r="N110" i="9"/>
  <c r="O110" i="9"/>
  <c r="N111" i="9"/>
  <c r="O111" i="9"/>
  <c r="N112" i="9"/>
  <c r="O112" i="9"/>
  <c r="N113" i="9"/>
  <c r="O113" i="9"/>
  <c r="N114" i="9"/>
  <c r="O114" i="9"/>
  <c r="N115" i="9"/>
  <c r="O115" i="9"/>
  <c r="N116" i="9"/>
  <c r="O116" i="9"/>
  <c r="N117" i="9"/>
  <c r="O117" i="9"/>
  <c r="N118" i="9"/>
  <c r="O118" i="9"/>
  <c r="N119" i="9"/>
  <c r="O119" i="9"/>
  <c r="N120" i="9"/>
  <c r="O120" i="9"/>
  <c r="N121" i="9"/>
  <c r="O121" i="9"/>
  <c r="N122" i="9"/>
  <c r="O122" i="9"/>
  <c r="N123" i="9"/>
  <c r="O123" i="9"/>
  <c r="N124" i="9"/>
  <c r="O124" i="9"/>
  <c r="N125" i="9"/>
  <c r="O125" i="9"/>
  <c r="N126" i="9"/>
  <c r="O126" i="9"/>
  <c r="N127" i="9"/>
  <c r="O127" i="9"/>
  <c r="O3" i="9"/>
  <c r="N3" i="9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2" i="2"/>
  <c r="I44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2" i="2"/>
  <c r="E6" i="8"/>
  <c r="E4" i="8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K449" i="6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B322" i="6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260" i="6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224" i="6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156" i="6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87" i="6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50" i="6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N141" i="2"/>
  <c r="O141" i="2"/>
  <c r="P141" i="2"/>
  <c r="Q141" i="2"/>
  <c r="R141" i="2"/>
  <c r="S141" i="2"/>
  <c r="T141" i="2"/>
  <c r="U141" i="2"/>
  <c r="V141" i="2"/>
  <c r="W141" i="2"/>
  <c r="X141" i="2"/>
  <c r="N142" i="2"/>
  <c r="O142" i="2"/>
  <c r="P142" i="2"/>
  <c r="Q142" i="2"/>
  <c r="R142" i="2"/>
  <c r="S142" i="2"/>
  <c r="T142" i="2"/>
  <c r="U142" i="2"/>
  <c r="V142" i="2"/>
  <c r="W142" i="2"/>
  <c r="X142" i="2"/>
  <c r="N143" i="2"/>
  <c r="O143" i="2"/>
  <c r="P143" i="2"/>
  <c r="Q143" i="2"/>
  <c r="R143" i="2"/>
  <c r="S143" i="2"/>
  <c r="T143" i="2"/>
  <c r="U143" i="2"/>
  <c r="V143" i="2"/>
  <c r="W143" i="2"/>
  <c r="X143" i="2"/>
  <c r="N144" i="2"/>
  <c r="O144" i="2"/>
  <c r="P144" i="2"/>
  <c r="Q144" i="2"/>
  <c r="R144" i="2"/>
  <c r="S144" i="2"/>
  <c r="T144" i="2"/>
  <c r="U144" i="2"/>
  <c r="V144" i="2"/>
  <c r="W144" i="2"/>
  <c r="X144" i="2"/>
  <c r="N145" i="2"/>
  <c r="O145" i="2"/>
  <c r="P145" i="2"/>
  <c r="Q145" i="2"/>
  <c r="R145" i="2"/>
  <c r="S145" i="2"/>
  <c r="T145" i="2"/>
  <c r="U145" i="2"/>
  <c r="V145" i="2"/>
  <c r="W145" i="2"/>
  <c r="X145" i="2"/>
  <c r="N146" i="2"/>
  <c r="O146" i="2"/>
  <c r="P146" i="2"/>
  <c r="Q146" i="2"/>
  <c r="R146" i="2"/>
  <c r="S146" i="2"/>
  <c r="T146" i="2"/>
  <c r="U146" i="2"/>
  <c r="V146" i="2"/>
  <c r="W146" i="2"/>
  <c r="X146" i="2"/>
  <c r="N147" i="2"/>
  <c r="O147" i="2"/>
  <c r="P147" i="2"/>
  <c r="Q147" i="2"/>
  <c r="R147" i="2"/>
  <c r="S147" i="2"/>
  <c r="T147" i="2"/>
  <c r="U147" i="2"/>
  <c r="V147" i="2"/>
  <c r="W147" i="2"/>
  <c r="X147" i="2"/>
  <c r="N148" i="2"/>
  <c r="O148" i="2"/>
  <c r="P148" i="2"/>
  <c r="Q148" i="2"/>
  <c r="R148" i="2"/>
  <c r="S148" i="2"/>
  <c r="T148" i="2"/>
  <c r="U148" i="2"/>
  <c r="V148" i="2"/>
  <c r="W148" i="2"/>
  <c r="X148" i="2"/>
  <c r="N149" i="2"/>
  <c r="O149" i="2"/>
  <c r="P149" i="2"/>
  <c r="Q149" i="2"/>
  <c r="R149" i="2"/>
  <c r="S149" i="2"/>
  <c r="T149" i="2"/>
  <c r="U149" i="2"/>
  <c r="V149" i="2"/>
  <c r="W149" i="2"/>
  <c r="X149" i="2"/>
  <c r="N150" i="2"/>
  <c r="O150" i="2"/>
  <c r="P150" i="2"/>
  <c r="Q150" i="2"/>
  <c r="R150" i="2"/>
  <c r="S150" i="2"/>
  <c r="T150" i="2"/>
  <c r="U150" i="2"/>
  <c r="V150" i="2"/>
  <c r="W150" i="2"/>
  <c r="X150" i="2"/>
  <c r="N151" i="2"/>
  <c r="O151" i="2"/>
  <c r="P151" i="2"/>
  <c r="Q151" i="2"/>
  <c r="R151" i="2"/>
  <c r="S151" i="2"/>
  <c r="T151" i="2"/>
  <c r="U151" i="2"/>
  <c r="V151" i="2"/>
  <c r="W151" i="2"/>
  <c r="X151" i="2"/>
  <c r="N152" i="2"/>
  <c r="O152" i="2"/>
  <c r="P152" i="2"/>
  <c r="Q152" i="2"/>
  <c r="R152" i="2"/>
  <c r="S152" i="2"/>
  <c r="T152" i="2"/>
  <c r="U152" i="2"/>
  <c r="V152" i="2"/>
  <c r="W152" i="2"/>
  <c r="X152" i="2"/>
  <c r="N153" i="2"/>
  <c r="O153" i="2"/>
  <c r="P153" i="2"/>
  <c r="Q153" i="2"/>
  <c r="R153" i="2"/>
  <c r="S153" i="2"/>
  <c r="T153" i="2"/>
  <c r="U153" i="2"/>
  <c r="V153" i="2"/>
  <c r="W153" i="2"/>
  <c r="X153" i="2"/>
  <c r="N154" i="2"/>
  <c r="O154" i="2"/>
  <c r="P154" i="2"/>
  <c r="Q154" i="2"/>
  <c r="R154" i="2"/>
  <c r="S154" i="2"/>
  <c r="T154" i="2"/>
  <c r="U154" i="2"/>
  <c r="V154" i="2"/>
  <c r="W154" i="2"/>
  <c r="X154" i="2"/>
  <c r="N155" i="2"/>
  <c r="O155" i="2"/>
  <c r="P155" i="2"/>
  <c r="Q155" i="2"/>
  <c r="R155" i="2"/>
  <c r="S155" i="2"/>
  <c r="T155" i="2"/>
  <c r="U155" i="2"/>
  <c r="V155" i="2"/>
  <c r="W155" i="2"/>
  <c r="X155" i="2"/>
  <c r="N156" i="2"/>
  <c r="O156" i="2"/>
  <c r="P156" i="2"/>
  <c r="Q156" i="2"/>
  <c r="R156" i="2"/>
  <c r="S156" i="2"/>
  <c r="T156" i="2"/>
  <c r="U156" i="2"/>
  <c r="V156" i="2"/>
  <c r="W156" i="2"/>
  <c r="X156" i="2"/>
  <c r="N157" i="2"/>
  <c r="O157" i="2"/>
  <c r="P157" i="2"/>
  <c r="Q157" i="2"/>
  <c r="R157" i="2"/>
  <c r="S157" i="2"/>
  <c r="T157" i="2"/>
  <c r="U157" i="2"/>
  <c r="V157" i="2"/>
  <c r="W157" i="2"/>
  <c r="X157" i="2"/>
  <c r="N158" i="2"/>
  <c r="O158" i="2"/>
  <c r="P158" i="2"/>
  <c r="Q158" i="2"/>
  <c r="R158" i="2"/>
  <c r="S158" i="2"/>
  <c r="T158" i="2"/>
  <c r="U158" i="2"/>
  <c r="V158" i="2"/>
  <c r="W158" i="2"/>
  <c r="X158" i="2"/>
  <c r="N159" i="2"/>
  <c r="O159" i="2"/>
  <c r="P159" i="2"/>
  <c r="Q159" i="2"/>
  <c r="R159" i="2"/>
  <c r="S159" i="2"/>
  <c r="T159" i="2"/>
  <c r="U159" i="2"/>
  <c r="V159" i="2"/>
  <c r="W159" i="2"/>
  <c r="X159" i="2"/>
  <c r="N160" i="2"/>
  <c r="O160" i="2"/>
  <c r="P160" i="2"/>
  <c r="Q160" i="2"/>
  <c r="R160" i="2"/>
  <c r="S160" i="2"/>
  <c r="T160" i="2"/>
  <c r="U160" i="2"/>
  <c r="V160" i="2"/>
  <c r="W160" i="2"/>
  <c r="X160" i="2"/>
  <c r="N161" i="2"/>
  <c r="O161" i="2"/>
  <c r="P161" i="2"/>
  <c r="Q161" i="2"/>
  <c r="R161" i="2"/>
  <c r="S161" i="2"/>
  <c r="T161" i="2"/>
  <c r="U161" i="2"/>
  <c r="V161" i="2"/>
  <c r="W161" i="2"/>
  <c r="X161" i="2"/>
  <c r="N162" i="2"/>
  <c r="O162" i="2"/>
  <c r="P162" i="2"/>
  <c r="Q162" i="2"/>
  <c r="R162" i="2"/>
  <c r="S162" i="2"/>
  <c r="T162" i="2"/>
  <c r="U162" i="2"/>
  <c r="V162" i="2"/>
  <c r="W162" i="2"/>
  <c r="X162" i="2"/>
  <c r="N163" i="2"/>
  <c r="O163" i="2"/>
  <c r="P163" i="2"/>
  <c r="Q163" i="2"/>
  <c r="R163" i="2"/>
  <c r="S163" i="2"/>
  <c r="T163" i="2"/>
  <c r="U163" i="2"/>
  <c r="V163" i="2"/>
  <c r="W163" i="2"/>
  <c r="X163" i="2"/>
  <c r="N164" i="2"/>
  <c r="O164" i="2"/>
  <c r="P164" i="2"/>
  <c r="Q164" i="2"/>
  <c r="R164" i="2"/>
  <c r="S164" i="2"/>
  <c r="T164" i="2"/>
  <c r="U164" i="2"/>
  <c r="V164" i="2"/>
  <c r="W164" i="2"/>
  <c r="X164" i="2"/>
  <c r="N165" i="2"/>
  <c r="O165" i="2"/>
  <c r="P165" i="2"/>
  <c r="Q165" i="2"/>
  <c r="R165" i="2"/>
  <c r="S165" i="2"/>
  <c r="T165" i="2"/>
  <c r="U165" i="2"/>
  <c r="V165" i="2"/>
  <c r="W165" i="2"/>
  <c r="X165" i="2"/>
  <c r="N166" i="2"/>
  <c r="O166" i="2"/>
  <c r="P166" i="2"/>
  <c r="Q166" i="2"/>
  <c r="R166" i="2"/>
  <c r="S166" i="2"/>
  <c r="T166" i="2"/>
  <c r="U166" i="2"/>
  <c r="V166" i="2"/>
  <c r="W166" i="2"/>
  <c r="X166" i="2"/>
  <c r="N167" i="2"/>
  <c r="O167" i="2"/>
  <c r="P167" i="2"/>
  <c r="Q167" i="2"/>
  <c r="R167" i="2"/>
  <c r="S167" i="2"/>
  <c r="T167" i="2"/>
  <c r="U167" i="2"/>
  <c r="V167" i="2"/>
  <c r="W167" i="2"/>
  <c r="X167" i="2"/>
  <c r="N168" i="2"/>
  <c r="O168" i="2"/>
  <c r="P168" i="2"/>
  <c r="Q168" i="2"/>
  <c r="R168" i="2"/>
  <c r="S168" i="2"/>
  <c r="T168" i="2"/>
  <c r="U168" i="2"/>
  <c r="V168" i="2"/>
  <c r="W168" i="2"/>
  <c r="X168" i="2"/>
  <c r="N169" i="2"/>
  <c r="O169" i="2"/>
  <c r="P169" i="2"/>
  <c r="Q169" i="2"/>
  <c r="R169" i="2"/>
  <c r="S169" i="2"/>
  <c r="T169" i="2"/>
  <c r="U169" i="2"/>
  <c r="V169" i="2"/>
  <c r="W169" i="2"/>
  <c r="X169" i="2"/>
  <c r="N170" i="2"/>
  <c r="O170" i="2"/>
  <c r="P170" i="2"/>
  <c r="Q170" i="2"/>
  <c r="R170" i="2"/>
  <c r="S170" i="2"/>
  <c r="T170" i="2"/>
  <c r="U170" i="2"/>
  <c r="V170" i="2"/>
  <c r="W170" i="2"/>
  <c r="X170" i="2"/>
  <c r="N171" i="2"/>
  <c r="O171" i="2"/>
  <c r="P171" i="2"/>
  <c r="Q171" i="2"/>
  <c r="R171" i="2"/>
  <c r="S171" i="2"/>
  <c r="T171" i="2"/>
  <c r="U171" i="2"/>
  <c r="V171" i="2"/>
  <c r="W171" i="2"/>
  <c r="X171" i="2"/>
  <c r="N172" i="2"/>
  <c r="O172" i="2"/>
  <c r="P172" i="2"/>
  <c r="Q172" i="2"/>
  <c r="R172" i="2"/>
  <c r="S172" i="2"/>
  <c r="T172" i="2"/>
  <c r="U172" i="2"/>
  <c r="V172" i="2"/>
  <c r="W172" i="2"/>
  <c r="X172" i="2"/>
  <c r="N173" i="2"/>
  <c r="O173" i="2"/>
  <c r="P173" i="2"/>
  <c r="Q173" i="2"/>
  <c r="R173" i="2"/>
  <c r="S173" i="2"/>
  <c r="T173" i="2"/>
  <c r="U173" i="2"/>
  <c r="V173" i="2"/>
  <c r="W173" i="2"/>
  <c r="X173" i="2"/>
  <c r="N174" i="2"/>
  <c r="O174" i="2"/>
  <c r="P174" i="2"/>
  <c r="Q174" i="2"/>
  <c r="R174" i="2"/>
  <c r="S174" i="2"/>
  <c r="T174" i="2"/>
  <c r="U174" i="2"/>
  <c r="V174" i="2"/>
  <c r="W174" i="2"/>
  <c r="X174" i="2"/>
  <c r="N175" i="2"/>
  <c r="O175" i="2"/>
  <c r="P175" i="2"/>
  <c r="Q175" i="2"/>
  <c r="R175" i="2"/>
  <c r="S175" i="2"/>
  <c r="T175" i="2"/>
  <c r="U175" i="2"/>
  <c r="V175" i="2"/>
  <c r="W175" i="2"/>
  <c r="X175" i="2"/>
  <c r="N176" i="2"/>
  <c r="O176" i="2"/>
  <c r="P176" i="2"/>
  <c r="Q176" i="2"/>
  <c r="R176" i="2"/>
  <c r="S176" i="2"/>
  <c r="T176" i="2"/>
  <c r="U176" i="2"/>
  <c r="V176" i="2"/>
  <c r="W176" i="2"/>
  <c r="X176" i="2"/>
  <c r="N177" i="2"/>
  <c r="O177" i="2"/>
  <c r="P177" i="2"/>
  <c r="Q177" i="2"/>
  <c r="R177" i="2"/>
  <c r="S177" i="2"/>
  <c r="T177" i="2"/>
  <c r="U177" i="2"/>
  <c r="V177" i="2"/>
  <c r="W177" i="2"/>
  <c r="X177" i="2"/>
  <c r="N178" i="2"/>
  <c r="O178" i="2"/>
  <c r="P178" i="2"/>
  <c r="Q178" i="2"/>
  <c r="R178" i="2"/>
  <c r="S178" i="2"/>
  <c r="T178" i="2"/>
  <c r="U178" i="2"/>
  <c r="V178" i="2"/>
  <c r="W178" i="2"/>
  <c r="X178" i="2"/>
  <c r="N179" i="2"/>
  <c r="O179" i="2"/>
  <c r="P179" i="2"/>
  <c r="Q179" i="2"/>
  <c r="R179" i="2"/>
  <c r="S179" i="2"/>
  <c r="T179" i="2"/>
  <c r="U179" i="2"/>
  <c r="V179" i="2"/>
  <c r="W179" i="2"/>
  <c r="X179" i="2"/>
  <c r="N180" i="2"/>
  <c r="O180" i="2"/>
  <c r="P180" i="2"/>
  <c r="Q180" i="2"/>
  <c r="R180" i="2"/>
  <c r="S180" i="2"/>
  <c r="T180" i="2"/>
  <c r="U180" i="2"/>
  <c r="V180" i="2"/>
  <c r="W180" i="2"/>
  <c r="X180" i="2"/>
  <c r="N181" i="2"/>
  <c r="O181" i="2"/>
  <c r="P181" i="2"/>
  <c r="Q181" i="2"/>
  <c r="R181" i="2"/>
  <c r="S181" i="2"/>
  <c r="T181" i="2"/>
  <c r="U181" i="2"/>
  <c r="V181" i="2"/>
  <c r="W181" i="2"/>
  <c r="X181" i="2"/>
  <c r="N182" i="2"/>
  <c r="O182" i="2"/>
  <c r="P182" i="2"/>
  <c r="Q182" i="2"/>
  <c r="R182" i="2"/>
  <c r="S182" i="2"/>
  <c r="T182" i="2"/>
  <c r="U182" i="2"/>
  <c r="V182" i="2"/>
  <c r="W182" i="2"/>
  <c r="X182" i="2"/>
  <c r="N183" i="2"/>
  <c r="O183" i="2"/>
  <c r="P183" i="2"/>
  <c r="Q183" i="2"/>
  <c r="R183" i="2"/>
  <c r="S183" i="2"/>
  <c r="T183" i="2"/>
  <c r="U183" i="2"/>
  <c r="V183" i="2"/>
  <c r="W183" i="2"/>
  <c r="X183" i="2"/>
  <c r="N184" i="2"/>
  <c r="O184" i="2"/>
  <c r="P184" i="2"/>
  <c r="Q184" i="2"/>
  <c r="R184" i="2"/>
  <c r="S184" i="2"/>
  <c r="T184" i="2"/>
  <c r="U184" i="2"/>
  <c r="V184" i="2"/>
  <c r="W184" i="2"/>
  <c r="X184" i="2"/>
  <c r="N185" i="2"/>
  <c r="O185" i="2"/>
  <c r="P185" i="2"/>
  <c r="Q185" i="2"/>
  <c r="R185" i="2"/>
  <c r="S185" i="2"/>
  <c r="T185" i="2"/>
  <c r="U185" i="2"/>
  <c r="V185" i="2"/>
  <c r="W185" i="2"/>
  <c r="X185" i="2"/>
  <c r="N186" i="2"/>
  <c r="O186" i="2"/>
  <c r="P186" i="2"/>
  <c r="Q186" i="2"/>
  <c r="R186" i="2"/>
  <c r="S186" i="2"/>
  <c r="T186" i="2"/>
  <c r="U186" i="2"/>
  <c r="V186" i="2"/>
  <c r="W186" i="2"/>
  <c r="X186" i="2"/>
  <c r="N187" i="2"/>
  <c r="O187" i="2"/>
  <c r="P187" i="2"/>
  <c r="Q187" i="2"/>
  <c r="R187" i="2"/>
  <c r="S187" i="2"/>
  <c r="T187" i="2"/>
  <c r="U187" i="2"/>
  <c r="V187" i="2"/>
  <c r="W187" i="2"/>
  <c r="X187" i="2"/>
  <c r="N188" i="2"/>
  <c r="O188" i="2"/>
  <c r="P188" i="2"/>
  <c r="Q188" i="2"/>
  <c r="R188" i="2"/>
  <c r="S188" i="2"/>
  <c r="T188" i="2"/>
  <c r="U188" i="2"/>
  <c r="V188" i="2"/>
  <c r="W188" i="2"/>
  <c r="X188" i="2"/>
  <c r="N189" i="2"/>
  <c r="O189" i="2"/>
  <c r="P189" i="2"/>
  <c r="Q189" i="2"/>
  <c r="R189" i="2"/>
  <c r="S189" i="2"/>
  <c r="T189" i="2"/>
  <c r="U189" i="2"/>
  <c r="V189" i="2"/>
  <c r="W189" i="2"/>
  <c r="X189" i="2"/>
  <c r="N190" i="2"/>
  <c r="O190" i="2"/>
  <c r="P190" i="2"/>
  <c r="Q190" i="2"/>
  <c r="R190" i="2"/>
  <c r="S190" i="2"/>
  <c r="T190" i="2"/>
  <c r="U190" i="2"/>
  <c r="V190" i="2"/>
  <c r="W190" i="2"/>
  <c r="X190" i="2"/>
  <c r="N191" i="2"/>
  <c r="O191" i="2"/>
  <c r="P191" i="2"/>
  <c r="Q191" i="2"/>
  <c r="R191" i="2"/>
  <c r="S191" i="2"/>
  <c r="T191" i="2"/>
  <c r="U191" i="2"/>
  <c r="V191" i="2"/>
  <c r="W191" i="2"/>
  <c r="X191" i="2"/>
  <c r="N192" i="2"/>
  <c r="O192" i="2"/>
  <c r="P192" i="2"/>
  <c r="Q192" i="2"/>
  <c r="R192" i="2"/>
  <c r="S192" i="2"/>
  <c r="T192" i="2"/>
  <c r="U192" i="2"/>
  <c r="V192" i="2"/>
  <c r="W192" i="2"/>
  <c r="X192" i="2"/>
  <c r="N193" i="2"/>
  <c r="O193" i="2"/>
  <c r="P193" i="2"/>
  <c r="Q193" i="2"/>
  <c r="R193" i="2"/>
  <c r="S193" i="2"/>
  <c r="T193" i="2"/>
  <c r="U193" i="2"/>
  <c r="V193" i="2"/>
  <c r="W193" i="2"/>
  <c r="X193" i="2"/>
  <c r="N194" i="2"/>
  <c r="O194" i="2"/>
  <c r="P194" i="2"/>
  <c r="Q194" i="2"/>
  <c r="R194" i="2"/>
  <c r="S194" i="2"/>
  <c r="T194" i="2"/>
  <c r="U194" i="2"/>
  <c r="V194" i="2"/>
  <c r="W194" i="2"/>
  <c r="X194" i="2"/>
  <c r="N195" i="2"/>
  <c r="O195" i="2"/>
  <c r="P195" i="2"/>
  <c r="Q195" i="2"/>
  <c r="R195" i="2"/>
  <c r="S195" i="2"/>
  <c r="T195" i="2"/>
  <c r="U195" i="2"/>
  <c r="V195" i="2"/>
  <c r="W195" i="2"/>
  <c r="X195" i="2"/>
  <c r="N196" i="2"/>
  <c r="O196" i="2"/>
  <c r="P196" i="2"/>
  <c r="Q196" i="2"/>
  <c r="R196" i="2"/>
  <c r="S196" i="2"/>
  <c r="T196" i="2"/>
  <c r="U196" i="2"/>
  <c r="V196" i="2"/>
  <c r="W196" i="2"/>
  <c r="X196" i="2"/>
  <c r="N197" i="2"/>
  <c r="O197" i="2"/>
  <c r="P197" i="2"/>
  <c r="Q197" i="2"/>
  <c r="R197" i="2"/>
  <c r="S197" i="2"/>
  <c r="T197" i="2"/>
  <c r="U197" i="2"/>
  <c r="V197" i="2"/>
  <c r="W197" i="2"/>
  <c r="X197" i="2"/>
  <c r="N198" i="2"/>
  <c r="O198" i="2"/>
  <c r="P198" i="2"/>
  <c r="Q198" i="2"/>
  <c r="R198" i="2"/>
  <c r="S198" i="2"/>
  <c r="T198" i="2"/>
  <c r="U198" i="2"/>
  <c r="V198" i="2"/>
  <c r="W198" i="2"/>
  <c r="X198" i="2"/>
  <c r="N199" i="2"/>
  <c r="O199" i="2"/>
  <c r="P199" i="2"/>
  <c r="Q199" i="2"/>
  <c r="R199" i="2"/>
  <c r="S199" i="2"/>
  <c r="T199" i="2"/>
  <c r="U199" i="2"/>
  <c r="V199" i="2"/>
  <c r="W199" i="2"/>
  <c r="X199" i="2"/>
  <c r="N200" i="2"/>
  <c r="O200" i="2"/>
  <c r="P200" i="2"/>
  <c r="Q200" i="2"/>
  <c r="R200" i="2"/>
  <c r="S200" i="2"/>
  <c r="T200" i="2"/>
  <c r="U200" i="2"/>
  <c r="V200" i="2"/>
  <c r="W200" i="2"/>
  <c r="X200" i="2"/>
  <c r="N201" i="2"/>
  <c r="O201" i="2"/>
  <c r="P201" i="2"/>
  <c r="Q201" i="2"/>
  <c r="R201" i="2"/>
  <c r="S201" i="2"/>
  <c r="T201" i="2"/>
  <c r="U201" i="2"/>
  <c r="V201" i="2"/>
  <c r="W201" i="2"/>
  <c r="X201" i="2"/>
  <c r="N202" i="2"/>
  <c r="O202" i="2"/>
  <c r="P202" i="2"/>
  <c r="Q202" i="2"/>
  <c r="R202" i="2"/>
  <c r="S202" i="2"/>
  <c r="T202" i="2"/>
  <c r="U202" i="2"/>
  <c r="V202" i="2"/>
  <c r="W202" i="2"/>
  <c r="X202" i="2"/>
  <c r="N203" i="2"/>
  <c r="O203" i="2"/>
  <c r="P203" i="2"/>
  <c r="Q203" i="2"/>
  <c r="R203" i="2"/>
  <c r="S203" i="2"/>
  <c r="T203" i="2"/>
  <c r="U203" i="2"/>
  <c r="V203" i="2"/>
  <c r="W203" i="2"/>
  <c r="X203" i="2"/>
  <c r="N204" i="2"/>
  <c r="O204" i="2"/>
  <c r="P204" i="2"/>
  <c r="Q204" i="2"/>
  <c r="R204" i="2"/>
  <c r="S204" i="2"/>
  <c r="T204" i="2"/>
  <c r="U204" i="2"/>
  <c r="V204" i="2"/>
  <c r="W204" i="2"/>
  <c r="X204" i="2"/>
  <c r="N205" i="2"/>
  <c r="O205" i="2"/>
  <c r="P205" i="2"/>
  <c r="Q205" i="2"/>
  <c r="R205" i="2"/>
  <c r="S205" i="2"/>
  <c r="T205" i="2"/>
  <c r="U205" i="2"/>
  <c r="V205" i="2"/>
  <c r="W205" i="2"/>
  <c r="X205" i="2"/>
  <c r="N206" i="2"/>
  <c r="O206" i="2"/>
  <c r="P206" i="2"/>
  <c r="Q206" i="2"/>
  <c r="R206" i="2"/>
  <c r="S206" i="2"/>
  <c r="T206" i="2"/>
  <c r="U206" i="2"/>
  <c r="V206" i="2"/>
  <c r="W206" i="2"/>
  <c r="X206" i="2"/>
  <c r="N207" i="2"/>
  <c r="O207" i="2"/>
  <c r="P207" i="2"/>
  <c r="Q207" i="2"/>
  <c r="R207" i="2"/>
  <c r="S207" i="2"/>
  <c r="T207" i="2"/>
  <c r="U207" i="2"/>
  <c r="V207" i="2"/>
  <c r="W207" i="2"/>
  <c r="X207" i="2"/>
  <c r="N208" i="2"/>
  <c r="O208" i="2"/>
  <c r="P208" i="2"/>
  <c r="Q208" i="2"/>
  <c r="R208" i="2"/>
  <c r="S208" i="2"/>
  <c r="T208" i="2"/>
  <c r="U208" i="2"/>
  <c r="V208" i="2"/>
  <c r="W208" i="2"/>
  <c r="X208" i="2"/>
  <c r="N209" i="2"/>
  <c r="O209" i="2"/>
  <c r="P209" i="2"/>
  <c r="Q209" i="2"/>
  <c r="R209" i="2"/>
  <c r="S209" i="2"/>
  <c r="T209" i="2"/>
  <c r="U209" i="2"/>
  <c r="V209" i="2"/>
  <c r="W209" i="2"/>
  <c r="X209" i="2"/>
  <c r="N210" i="2"/>
  <c r="O210" i="2"/>
  <c r="P210" i="2"/>
  <c r="Q210" i="2"/>
  <c r="R210" i="2"/>
  <c r="S210" i="2"/>
  <c r="T210" i="2"/>
  <c r="U210" i="2"/>
  <c r="V210" i="2"/>
  <c r="W210" i="2"/>
  <c r="X210" i="2"/>
  <c r="N211" i="2"/>
  <c r="O211" i="2"/>
  <c r="P211" i="2"/>
  <c r="Q211" i="2"/>
  <c r="R211" i="2"/>
  <c r="S211" i="2"/>
  <c r="T211" i="2"/>
  <c r="U211" i="2"/>
  <c r="V211" i="2"/>
  <c r="W211" i="2"/>
  <c r="X211" i="2"/>
  <c r="N212" i="2"/>
  <c r="O212" i="2"/>
  <c r="P212" i="2"/>
  <c r="Q212" i="2"/>
  <c r="R212" i="2"/>
  <c r="S212" i="2"/>
  <c r="T212" i="2"/>
  <c r="U212" i="2"/>
  <c r="V212" i="2"/>
  <c r="W212" i="2"/>
  <c r="X212" i="2"/>
  <c r="N213" i="2"/>
  <c r="O213" i="2"/>
  <c r="P213" i="2"/>
  <c r="Q213" i="2"/>
  <c r="R213" i="2"/>
  <c r="S213" i="2"/>
  <c r="T213" i="2"/>
  <c r="U213" i="2"/>
  <c r="V213" i="2"/>
  <c r="W213" i="2"/>
  <c r="X213" i="2"/>
  <c r="N214" i="2"/>
  <c r="O214" i="2"/>
  <c r="P214" i="2"/>
  <c r="Q214" i="2"/>
  <c r="R214" i="2"/>
  <c r="S214" i="2"/>
  <c r="T214" i="2"/>
  <c r="U214" i="2"/>
  <c r="V214" i="2"/>
  <c r="W214" i="2"/>
  <c r="X214" i="2"/>
  <c r="N215" i="2"/>
  <c r="O215" i="2"/>
  <c r="P215" i="2"/>
  <c r="Q215" i="2"/>
  <c r="R215" i="2"/>
  <c r="S215" i="2"/>
  <c r="T215" i="2"/>
  <c r="U215" i="2"/>
  <c r="V215" i="2"/>
  <c r="W215" i="2"/>
  <c r="X215" i="2"/>
  <c r="N216" i="2"/>
  <c r="O216" i="2"/>
  <c r="P216" i="2"/>
  <c r="Q216" i="2"/>
  <c r="R216" i="2"/>
  <c r="S216" i="2"/>
  <c r="T216" i="2"/>
  <c r="U216" i="2"/>
  <c r="V216" i="2"/>
  <c r="W216" i="2"/>
  <c r="X216" i="2"/>
  <c r="N217" i="2"/>
  <c r="O217" i="2"/>
  <c r="P217" i="2"/>
  <c r="Q217" i="2"/>
  <c r="R217" i="2"/>
  <c r="S217" i="2"/>
  <c r="T217" i="2"/>
  <c r="U217" i="2"/>
  <c r="V217" i="2"/>
  <c r="W217" i="2"/>
  <c r="X217" i="2"/>
  <c r="N218" i="2"/>
  <c r="O218" i="2"/>
  <c r="P218" i="2"/>
  <c r="Q218" i="2"/>
  <c r="R218" i="2"/>
  <c r="S218" i="2"/>
  <c r="T218" i="2"/>
  <c r="U218" i="2"/>
  <c r="V218" i="2"/>
  <c r="W218" i="2"/>
  <c r="X218" i="2"/>
  <c r="N219" i="2"/>
  <c r="O219" i="2"/>
  <c r="P219" i="2"/>
  <c r="Q219" i="2"/>
  <c r="R219" i="2"/>
  <c r="S219" i="2"/>
  <c r="T219" i="2"/>
  <c r="U219" i="2"/>
  <c r="V219" i="2"/>
  <c r="W219" i="2"/>
  <c r="X219" i="2"/>
  <c r="N220" i="2"/>
  <c r="O220" i="2"/>
  <c r="P220" i="2"/>
  <c r="Q220" i="2"/>
  <c r="R220" i="2"/>
  <c r="S220" i="2"/>
  <c r="T220" i="2"/>
  <c r="U220" i="2"/>
  <c r="V220" i="2"/>
  <c r="W220" i="2"/>
  <c r="X220" i="2"/>
  <c r="N221" i="2"/>
  <c r="O221" i="2"/>
  <c r="P221" i="2"/>
  <c r="Q221" i="2"/>
  <c r="R221" i="2"/>
  <c r="S221" i="2"/>
  <c r="T221" i="2"/>
  <c r="U221" i="2"/>
  <c r="V221" i="2"/>
  <c r="W221" i="2"/>
  <c r="X221" i="2"/>
  <c r="N222" i="2"/>
  <c r="O222" i="2"/>
  <c r="P222" i="2"/>
  <c r="Q222" i="2"/>
  <c r="R222" i="2"/>
  <c r="S222" i="2"/>
  <c r="T222" i="2"/>
  <c r="U222" i="2"/>
  <c r="V222" i="2"/>
  <c r="W222" i="2"/>
  <c r="X222" i="2"/>
  <c r="N223" i="2"/>
  <c r="O223" i="2"/>
  <c r="P223" i="2"/>
  <c r="Q223" i="2"/>
  <c r="R223" i="2"/>
  <c r="S223" i="2"/>
  <c r="T223" i="2"/>
  <c r="U223" i="2"/>
  <c r="V223" i="2"/>
  <c r="W223" i="2"/>
  <c r="X223" i="2"/>
  <c r="N224" i="2"/>
  <c r="O224" i="2"/>
  <c r="P224" i="2"/>
  <c r="Q224" i="2"/>
  <c r="R224" i="2"/>
  <c r="S224" i="2"/>
  <c r="T224" i="2"/>
  <c r="U224" i="2"/>
  <c r="V224" i="2"/>
  <c r="W224" i="2"/>
  <c r="X224" i="2"/>
  <c r="N225" i="2"/>
  <c r="O225" i="2"/>
  <c r="P225" i="2"/>
  <c r="Q225" i="2"/>
  <c r="R225" i="2"/>
  <c r="S225" i="2"/>
  <c r="T225" i="2"/>
  <c r="U225" i="2"/>
  <c r="V225" i="2"/>
  <c r="W225" i="2"/>
  <c r="X225" i="2"/>
  <c r="N226" i="2"/>
  <c r="O226" i="2"/>
  <c r="P226" i="2"/>
  <c r="Q226" i="2"/>
  <c r="R226" i="2"/>
  <c r="S226" i="2"/>
  <c r="T226" i="2"/>
  <c r="U226" i="2"/>
  <c r="V226" i="2"/>
  <c r="W226" i="2"/>
  <c r="X226" i="2"/>
  <c r="N227" i="2"/>
  <c r="O227" i="2"/>
  <c r="P227" i="2"/>
  <c r="Q227" i="2"/>
  <c r="R227" i="2"/>
  <c r="S227" i="2"/>
  <c r="T227" i="2"/>
  <c r="U227" i="2"/>
  <c r="V227" i="2"/>
  <c r="W227" i="2"/>
  <c r="X227" i="2"/>
  <c r="N228" i="2"/>
  <c r="O228" i="2"/>
  <c r="P228" i="2"/>
  <c r="Q228" i="2"/>
  <c r="R228" i="2"/>
  <c r="S228" i="2"/>
  <c r="T228" i="2"/>
  <c r="U228" i="2"/>
  <c r="V228" i="2"/>
  <c r="W228" i="2"/>
  <c r="X228" i="2"/>
  <c r="N229" i="2"/>
  <c r="O229" i="2"/>
  <c r="P229" i="2"/>
  <c r="Q229" i="2"/>
  <c r="R229" i="2"/>
  <c r="S229" i="2"/>
  <c r="T229" i="2"/>
  <c r="U229" i="2"/>
  <c r="V229" i="2"/>
  <c r="W229" i="2"/>
  <c r="X229" i="2"/>
  <c r="N230" i="2"/>
  <c r="O230" i="2"/>
  <c r="P230" i="2"/>
  <c r="Q230" i="2"/>
  <c r="R230" i="2"/>
  <c r="S230" i="2"/>
  <c r="T230" i="2"/>
  <c r="U230" i="2"/>
  <c r="V230" i="2"/>
  <c r="W230" i="2"/>
  <c r="X230" i="2"/>
  <c r="N231" i="2"/>
  <c r="O231" i="2"/>
  <c r="P231" i="2"/>
  <c r="Q231" i="2"/>
  <c r="R231" i="2"/>
  <c r="S231" i="2"/>
  <c r="T231" i="2"/>
  <c r="U231" i="2"/>
  <c r="V231" i="2"/>
  <c r="W231" i="2"/>
  <c r="X231" i="2"/>
  <c r="N232" i="2"/>
  <c r="O232" i="2"/>
  <c r="P232" i="2"/>
  <c r="Q232" i="2"/>
  <c r="R232" i="2"/>
  <c r="S232" i="2"/>
  <c r="T232" i="2"/>
  <c r="U232" i="2"/>
  <c r="V232" i="2"/>
  <c r="W232" i="2"/>
  <c r="X232" i="2"/>
  <c r="N233" i="2"/>
  <c r="O233" i="2"/>
  <c r="P233" i="2"/>
  <c r="Q233" i="2"/>
  <c r="R233" i="2"/>
  <c r="S233" i="2"/>
  <c r="T233" i="2"/>
  <c r="U233" i="2"/>
  <c r="V233" i="2"/>
  <c r="W233" i="2"/>
  <c r="X233" i="2"/>
  <c r="N234" i="2"/>
  <c r="O234" i="2"/>
  <c r="P234" i="2"/>
  <c r="Q234" i="2"/>
  <c r="R234" i="2"/>
  <c r="S234" i="2"/>
  <c r="T234" i="2"/>
  <c r="U234" i="2"/>
  <c r="V234" i="2"/>
  <c r="W234" i="2"/>
  <c r="X234" i="2"/>
  <c r="N235" i="2"/>
  <c r="O235" i="2"/>
  <c r="P235" i="2"/>
  <c r="Q235" i="2"/>
  <c r="R235" i="2"/>
  <c r="S235" i="2"/>
  <c r="T235" i="2"/>
  <c r="U235" i="2"/>
  <c r="V235" i="2"/>
  <c r="W235" i="2"/>
  <c r="X235" i="2"/>
  <c r="N236" i="2"/>
  <c r="O236" i="2"/>
  <c r="P236" i="2"/>
  <c r="Q236" i="2"/>
  <c r="R236" i="2"/>
  <c r="S236" i="2"/>
  <c r="T236" i="2"/>
  <c r="U236" i="2"/>
  <c r="V236" i="2"/>
  <c r="W236" i="2"/>
  <c r="X236" i="2"/>
  <c r="N237" i="2"/>
  <c r="O237" i="2"/>
  <c r="P237" i="2"/>
  <c r="Q237" i="2"/>
  <c r="R237" i="2"/>
  <c r="S237" i="2"/>
  <c r="T237" i="2"/>
  <c r="U237" i="2"/>
  <c r="V237" i="2"/>
  <c r="W237" i="2"/>
  <c r="X237" i="2"/>
  <c r="N238" i="2"/>
  <c r="O238" i="2"/>
  <c r="P238" i="2"/>
  <c r="Q238" i="2"/>
  <c r="R238" i="2"/>
  <c r="S238" i="2"/>
  <c r="T238" i="2"/>
  <c r="U238" i="2"/>
  <c r="V238" i="2"/>
  <c r="W238" i="2"/>
  <c r="X238" i="2"/>
  <c r="N239" i="2"/>
  <c r="O239" i="2"/>
  <c r="P239" i="2"/>
  <c r="Q239" i="2"/>
  <c r="R239" i="2"/>
  <c r="S239" i="2"/>
  <c r="T239" i="2"/>
  <c r="U239" i="2"/>
  <c r="V239" i="2"/>
  <c r="W239" i="2"/>
  <c r="X239" i="2"/>
  <c r="N240" i="2"/>
  <c r="O240" i="2"/>
  <c r="P240" i="2"/>
  <c r="Q240" i="2"/>
  <c r="R240" i="2"/>
  <c r="S240" i="2"/>
  <c r="T240" i="2"/>
  <c r="U240" i="2"/>
  <c r="V240" i="2"/>
  <c r="W240" i="2"/>
  <c r="X240" i="2"/>
  <c r="N241" i="2"/>
  <c r="O241" i="2"/>
  <c r="P241" i="2"/>
  <c r="Q241" i="2"/>
  <c r="R241" i="2"/>
  <c r="S241" i="2"/>
  <c r="T241" i="2"/>
  <c r="U241" i="2"/>
  <c r="V241" i="2"/>
  <c r="W241" i="2"/>
  <c r="X241" i="2"/>
  <c r="N242" i="2"/>
  <c r="O242" i="2"/>
  <c r="P242" i="2"/>
  <c r="Q242" i="2"/>
  <c r="R242" i="2"/>
  <c r="S242" i="2"/>
  <c r="T242" i="2"/>
  <c r="U242" i="2"/>
  <c r="V242" i="2"/>
  <c r="W242" i="2"/>
  <c r="X242" i="2"/>
  <c r="N243" i="2"/>
  <c r="O243" i="2"/>
  <c r="P243" i="2"/>
  <c r="Q243" i="2"/>
  <c r="R243" i="2"/>
  <c r="S243" i="2"/>
  <c r="T243" i="2"/>
  <c r="U243" i="2"/>
  <c r="V243" i="2"/>
  <c r="W243" i="2"/>
  <c r="X243" i="2"/>
  <c r="N244" i="2"/>
  <c r="O244" i="2"/>
  <c r="P244" i="2"/>
  <c r="Q244" i="2"/>
  <c r="R244" i="2"/>
  <c r="S244" i="2"/>
  <c r="T244" i="2"/>
  <c r="U244" i="2"/>
  <c r="V244" i="2"/>
  <c r="W244" i="2"/>
  <c r="X244" i="2"/>
  <c r="N245" i="2"/>
  <c r="O245" i="2"/>
  <c r="P245" i="2"/>
  <c r="Q245" i="2"/>
  <c r="R245" i="2"/>
  <c r="S245" i="2"/>
  <c r="T245" i="2"/>
  <c r="U245" i="2"/>
  <c r="V245" i="2"/>
  <c r="W245" i="2"/>
  <c r="X245" i="2"/>
  <c r="N246" i="2"/>
  <c r="O246" i="2"/>
  <c r="P246" i="2"/>
  <c r="Q246" i="2"/>
  <c r="R246" i="2"/>
  <c r="S246" i="2"/>
  <c r="T246" i="2"/>
  <c r="U246" i="2"/>
  <c r="V246" i="2"/>
  <c r="W246" i="2"/>
  <c r="X246" i="2"/>
  <c r="N247" i="2"/>
  <c r="O247" i="2"/>
  <c r="P247" i="2"/>
  <c r="Q247" i="2"/>
  <c r="R247" i="2"/>
  <c r="S247" i="2"/>
  <c r="T247" i="2"/>
  <c r="U247" i="2"/>
  <c r="V247" i="2"/>
  <c r="W247" i="2"/>
  <c r="X247" i="2"/>
  <c r="N248" i="2"/>
  <c r="O248" i="2"/>
  <c r="P248" i="2"/>
  <c r="Q248" i="2"/>
  <c r="R248" i="2"/>
  <c r="S248" i="2"/>
  <c r="T248" i="2"/>
  <c r="U248" i="2"/>
  <c r="V248" i="2"/>
  <c r="W248" i="2"/>
  <c r="X248" i="2"/>
  <c r="N249" i="2"/>
  <c r="O249" i="2"/>
  <c r="P249" i="2"/>
  <c r="Q249" i="2"/>
  <c r="R249" i="2"/>
  <c r="S249" i="2"/>
  <c r="T249" i="2"/>
  <c r="U249" i="2"/>
  <c r="V249" i="2"/>
  <c r="W249" i="2"/>
  <c r="X249" i="2"/>
  <c r="N250" i="2"/>
  <c r="O250" i="2"/>
  <c r="P250" i="2"/>
  <c r="Q250" i="2"/>
  <c r="R250" i="2"/>
  <c r="S250" i="2"/>
  <c r="T250" i="2"/>
  <c r="U250" i="2"/>
  <c r="V250" i="2"/>
  <c r="W250" i="2"/>
  <c r="X250" i="2"/>
  <c r="N251" i="2"/>
  <c r="O251" i="2"/>
  <c r="P251" i="2"/>
  <c r="Q251" i="2"/>
  <c r="R251" i="2"/>
  <c r="S251" i="2"/>
  <c r="T251" i="2"/>
  <c r="U251" i="2"/>
  <c r="V251" i="2"/>
  <c r="W251" i="2"/>
  <c r="X251" i="2"/>
  <c r="N252" i="2"/>
  <c r="O252" i="2"/>
  <c r="P252" i="2"/>
  <c r="Q252" i="2"/>
  <c r="R252" i="2"/>
  <c r="S252" i="2"/>
  <c r="T252" i="2"/>
  <c r="U252" i="2"/>
  <c r="V252" i="2"/>
  <c r="W252" i="2"/>
  <c r="X252" i="2"/>
  <c r="N253" i="2"/>
  <c r="O253" i="2"/>
  <c r="P253" i="2"/>
  <c r="Q253" i="2"/>
  <c r="R253" i="2"/>
  <c r="S253" i="2"/>
  <c r="T253" i="2"/>
  <c r="U253" i="2"/>
  <c r="V253" i="2"/>
  <c r="W253" i="2"/>
  <c r="X253" i="2"/>
  <c r="N254" i="2"/>
  <c r="O254" i="2"/>
  <c r="P254" i="2"/>
  <c r="Q254" i="2"/>
  <c r="R254" i="2"/>
  <c r="S254" i="2"/>
  <c r="T254" i="2"/>
  <c r="U254" i="2"/>
  <c r="V254" i="2"/>
  <c r="W254" i="2"/>
  <c r="X254" i="2"/>
  <c r="N255" i="2"/>
  <c r="O255" i="2"/>
  <c r="P255" i="2"/>
  <c r="Q255" i="2"/>
  <c r="R255" i="2"/>
  <c r="S255" i="2"/>
  <c r="T255" i="2"/>
  <c r="U255" i="2"/>
  <c r="V255" i="2"/>
  <c r="W255" i="2"/>
  <c r="X255" i="2"/>
  <c r="N256" i="2"/>
  <c r="O256" i="2"/>
  <c r="P256" i="2"/>
  <c r="Q256" i="2"/>
  <c r="R256" i="2"/>
  <c r="S256" i="2"/>
  <c r="T256" i="2"/>
  <c r="U256" i="2"/>
  <c r="V256" i="2"/>
  <c r="W256" i="2"/>
  <c r="X256" i="2"/>
  <c r="N257" i="2"/>
  <c r="O257" i="2"/>
  <c r="P257" i="2"/>
  <c r="Q257" i="2"/>
  <c r="R257" i="2"/>
  <c r="S257" i="2"/>
  <c r="T257" i="2"/>
  <c r="U257" i="2"/>
  <c r="V257" i="2"/>
  <c r="W257" i="2"/>
  <c r="X257" i="2"/>
  <c r="N258" i="2"/>
  <c r="O258" i="2"/>
  <c r="P258" i="2"/>
  <c r="Q258" i="2"/>
  <c r="R258" i="2"/>
  <c r="S258" i="2"/>
  <c r="T258" i="2"/>
  <c r="U258" i="2"/>
  <c r="V258" i="2"/>
  <c r="W258" i="2"/>
  <c r="X258" i="2"/>
  <c r="N259" i="2"/>
  <c r="O259" i="2"/>
  <c r="P259" i="2"/>
  <c r="Q259" i="2"/>
  <c r="R259" i="2"/>
  <c r="S259" i="2"/>
  <c r="T259" i="2"/>
  <c r="U259" i="2"/>
  <c r="V259" i="2"/>
  <c r="W259" i="2"/>
  <c r="X259" i="2"/>
  <c r="N260" i="2"/>
  <c r="O260" i="2"/>
  <c r="P260" i="2"/>
  <c r="Q260" i="2"/>
  <c r="R260" i="2"/>
  <c r="S260" i="2"/>
  <c r="T260" i="2"/>
  <c r="U260" i="2"/>
  <c r="V260" i="2"/>
  <c r="W260" i="2"/>
  <c r="X260" i="2"/>
  <c r="N261" i="2"/>
  <c r="O261" i="2"/>
  <c r="P261" i="2"/>
  <c r="Q261" i="2"/>
  <c r="R261" i="2"/>
  <c r="S261" i="2"/>
  <c r="T261" i="2"/>
  <c r="U261" i="2"/>
  <c r="V261" i="2"/>
  <c r="W261" i="2"/>
  <c r="X261" i="2"/>
  <c r="N262" i="2"/>
  <c r="O262" i="2"/>
  <c r="P262" i="2"/>
  <c r="Q262" i="2"/>
  <c r="R262" i="2"/>
  <c r="S262" i="2"/>
  <c r="T262" i="2"/>
  <c r="U262" i="2"/>
  <c r="V262" i="2"/>
  <c r="W262" i="2"/>
  <c r="X262" i="2"/>
  <c r="N263" i="2"/>
  <c r="O263" i="2"/>
  <c r="P263" i="2"/>
  <c r="Q263" i="2"/>
  <c r="R263" i="2"/>
  <c r="S263" i="2"/>
  <c r="T263" i="2"/>
  <c r="U263" i="2"/>
  <c r="V263" i="2"/>
  <c r="W263" i="2"/>
  <c r="X263" i="2"/>
  <c r="N264" i="2"/>
  <c r="O264" i="2"/>
  <c r="P264" i="2"/>
  <c r="Q264" i="2"/>
  <c r="R264" i="2"/>
  <c r="S264" i="2"/>
  <c r="T264" i="2"/>
  <c r="U264" i="2"/>
  <c r="V264" i="2"/>
  <c r="W264" i="2"/>
  <c r="X264" i="2"/>
  <c r="N265" i="2"/>
  <c r="O265" i="2"/>
  <c r="P265" i="2"/>
  <c r="Q265" i="2"/>
  <c r="R265" i="2"/>
  <c r="S265" i="2"/>
  <c r="T265" i="2"/>
  <c r="U265" i="2"/>
  <c r="V265" i="2"/>
  <c r="W265" i="2"/>
  <c r="X265" i="2"/>
  <c r="N266" i="2"/>
  <c r="O266" i="2"/>
  <c r="P266" i="2"/>
  <c r="Q266" i="2"/>
  <c r="R266" i="2"/>
  <c r="S266" i="2"/>
  <c r="T266" i="2"/>
  <c r="U266" i="2"/>
  <c r="V266" i="2"/>
  <c r="W266" i="2"/>
  <c r="X266" i="2"/>
  <c r="N267" i="2"/>
  <c r="O267" i="2"/>
  <c r="P267" i="2"/>
  <c r="Q267" i="2"/>
  <c r="R267" i="2"/>
  <c r="S267" i="2"/>
  <c r="T267" i="2"/>
  <c r="U267" i="2"/>
  <c r="V267" i="2"/>
  <c r="W267" i="2"/>
  <c r="X267" i="2"/>
  <c r="N268" i="2"/>
  <c r="O268" i="2"/>
  <c r="P268" i="2"/>
  <c r="Q268" i="2"/>
  <c r="R268" i="2"/>
  <c r="S268" i="2"/>
  <c r="T268" i="2"/>
  <c r="U268" i="2"/>
  <c r="V268" i="2"/>
  <c r="W268" i="2"/>
  <c r="X268" i="2"/>
  <c r="N269" i="2"/>
  <c r="O269" i="2"/>
  <c r="P269" i="2"/>
  <c r="Q269" i="2"/>
  <c r="R269" i="2"/>
  <c r="S269" i="2"/>
  <c r="T269" i="2"/>
  <c r="U269" i="2"/>
  <c r="V269" i="2"/>
  <c r="W269" i="2"/>
  <c r="X269" i="2"/>
  <c r="N270" i="2"/>
  <c r="O270" i="2"/>
  <c r="P270" i="2"/>
  <c r="Q270" i="2"/>
  <c r="R270" i="2"/>
  <c r="S270" i="2"/>
  <c r="T270" i="2"/>
  <c r="U270" i="2"/>
  <c r="V270" i="2"/>
  <c r="W270" i="2"/>
  <c r="X270" i="2"/>
  <c r="N271" i="2"/>
  <c r="O271" i="2"/>
  <c r="P271" i="2"/>
  <c r="Q271" i="2"/>
  <c r="R271" i="2"/>
  <c r="S271" i="2"/>
  <c r="T271" i="2"/>
  <c r="U271" i="2"/>
  <c r="V271" i="2"/>
  <c r="W271" i="2"/>
  <c r="X271" i="2"/>
  <c r="N272" i="2"/>
  <c r="O272" i="2"/>
  <c r="P272" i="2"/>
  <c r="Q272" i="2"/>
  <c r="R272" i="2"/>
  <c r="S272" i="2"/>
  <c r="T272" i="2"/>
  <c r="U272" i="2"/>
  <c r="V272" i="2"/>
  <c r="W272" i="2"/>
  <c r="X272" i="2"/>
  <c r="N273" i="2"/>
  <c r="O273" i="2"/>
  <c r="P273" i="2"/>
  <c r="Q273" i="2"/>
  <c r="R273" i="2"/>
  <c r="S273" i="2"/>
  <c r="T273" i="2"/>
  <c r="U273" i="2"/>
  <c r="V273" i="2"/>
  <c r="W273" i="2"/>
  <c r="X273" i="2"/>
  <c r="N274" i="2"/>
  <c r="O274" i="2"/>
  <c r="P274" i="2"/>
  <c r="Q274" i="2"/>
  <c r="R274" i="2"/>
  <c r="S274" i="2"/>
  <c r="T274" i="2"/>
  <c r="U274" i="2"/>
  <c r="V274" i="2"/>
  <c r="W274" i="2"/>
  <c r="X274" i="2"/>
  <c r="N275" i="2"/>
  <c r="O275" i="2"/>
  <c r="P275" i="2"/>
  <c r="Q275" i="2"/>
  <c r="R275" i="2"/>
  <c r="S275" i="2"/>
  <c r="T275" i="2"/>
  <c r="U275" i="2"/>
  <c r="V275" i="2"/>
  <c r="W275" i="2"/>
  <c r="X275" i="2"/>
  <c r="N276" i="2"/>
  <c r="O276" i="2"/>
  <c r="P276" i="2"/>
  <c r="Q276" i="2"/>
  <c r="R276" i="2"/>
  <c r="S276" i="2"/>
  <c r="T276" i="2"/>
  <c r="U276" i="2"/>
  <c r="V276" i="2"/>
  <c r="W276" i="2"/>
  <c r="X276" i="2"/>
  <c r="N277" i="2"/>
  <c r="O277" i="2"/>
  <c r="P277" i="2"/>
  <c r="Q277" i="2"/>
  <c r="R277" i="2"/>
  <c r="S277" i="2"/>
  <c r="T277" i="2"/>
  <c r="U277" i="2"/>
  <c r="V277" i="2"/>
  <c r="W277" i="2"/>
  <c r="X277" i="2"/>
  <c r="N278" i="2"/>
  <c r="O278" i="2"/>
  <c r="P278" i="2"/>
  <c r="Q278" i="2"/>
  <c r="R278" i="2"/>
  <c r="S278" i="2"/>
  <c r="T278" i="2"/>
  <c r="U278" i="2"/>
  <c r="V278" i="2"/>
  <c r="W278" i="2"/>
  <c r="X278" i="2"/>
  <c r="N279" i="2"/>
  <c r="O279" i="2"/>
  <c r="P279" i="2"/>
  <c r="Q279" i="2"/>
  <c r="R279" i="2"/>
  <c r="S279" i="2"/>
  <c r="T279" i="2"/>
  <c r="U279" i="2"/>
  <c r="V279" i="2"/>
  <c r="W279" i="2"/>
  <c r="X279" i="2"/>
  <c r="N280" i="2"/>
  <c r="O280" i="2"/>
  <c r="P280" i="2"/>
  <c r="Q280" i="2"/>
  <c r="R280" i="2"/>
  <c r="S280" i="2"/>
  <c r="T280" i="2"/>
  <c r="U280" i="2"/>
  <c r="V280" i="2"/>
  <c r="W280" i="2"/>
  <c r="X280" i="2"/>
  <c r="N281" i="2"/>
  <c r="O281" i="2"/>
  <c r="P281" i="2"/>
  <c r="Q281" i="2"/>
  <c r="R281" i="2"/>
  <c r="S281" i="2"/>
  <c r="T281" i="2"/>
  <c r="U281" i="2"/>
  <c r="V281" i="2"/>
  <c r="W281" i="2"/>
  <c r="X281" i="2"/>
  <c r="N282" i="2"/>
  <c r="O282" i="2"/>
  <c r="P282" i="2"/>
  <c r="Q282" i="2"/>
  <c r="R282" i="2"/>
  <c r="S282" i="2"/>
  <c r="T282" i="2"/>
  <c r="U282" i="2"/>
  <c r="V282" i="2"/>
  <c r="W282" i="2"/>
  <c r="X282" i="2"/>
  <c r="N283" i="2"/>
  <c r="O283" i="2"/>
  <c r="P283" i="2"/>
  <c r="Q283" i="2"/>
  <c r="R283" i="2"/>
  <c r="S283" i="2"/>
  <c r="T283" i="2"/>
  <c r="U283" i="2"/>
  <c r="V283" i="2"/>
  <c r="W283" i="2"/>
  <c r="X283" i="2"/>
  <c r="N284" i="2"/>
  <c r="O284" i="2"/>
  <c r="P284" i="2"/>
  <c r="Q284" i="2"/>
  <c r="R284" i="2"/>
  <c r="S284" i="2"/>
  <c r="T284" i="2"/>
  <c r="U284" i="2"/>
  <c r="V284" i="2"/>
  <c r="W284" i="2"/>
  <c r="X284" i="2"/>
  <c r="N285" i="2"/>
  <c r="O285" i="2"/>
  <c r="P285" i="2"/>
  <c r="Q285" i="2"/>
  <c r="R285" i="2"/>
  <c r="S285" i="2"/>
  <c r="T285" i="2"/>
  <c r="U285" i="2"/>
  <c r="V285" i="2"/>
  <c r="W285" i="2"/>
  <c r="X285" i="2"/>
  <c r="N286" i="2"/>
  <c r="O286" i="2"/>
  <c r="P286" i="2"/>
  <c r="Q286" i="2"/>
  <c r="R286" i="2"/>
  <c r="S286" i="2"/>
  <c r="T286" i="2"/>
  <c r="U286" i="2"/>
  <c r="V286" i="2"/>
  <c r="W286" i="2"/>
  <c r="X286" i="2"/>
  <c r="N287" i="2"/>
  <c r="O287" i="2"/>
  <c r="P287" i="2"/>
  <c r="Q287" i="2"/>
  <c r="R287" i="2"/>
  <c r="S287" i="2"/>
  <c r="T287" i="2"/>
  <c r="U287" i="2"/>
  <c r="V287" i="2"/>
  <c r="W287" i="2"/>
  <c r="X287" i="2"/>
  <c r="N288" i="2"/>
  <c r="O288" i="2"/>
  <c r="P288" i="2"/>
  <c r="Q288" i="2"/>
  <c r="R288" i="2"/>
  <c r="S288" i="2"/>
  <c r="T288" i="2"/>
  <c r="U288" i="2"/>
  <c r="V288" i="2"/>
  <c r="W288" i="2"/>
  <c r="X288" i="2"/>
  <c r="N289" i="2"/>
  <c r="O289" i="2"/>
  <c r="P289" i="2"/>
  <c r="Q289" i="2"/>
  <c r="R289" i="2"/>
  <c r="S289" i="2"/>
  <c r="T289" i="2"/>
  <c r="U289" i="2"/>
  <c r="V289" i="2"/>
  <c r="W289" i="2"/>
  <c r="X289" i="2"/>
  <c r="N290" i="2"/>
  <c r="O290" i="2"/>
  <c r="P290" i="2"/>
  <c r="Q290" i="2"/>
  <c r="R290" i="2"/>
  <c r="S290" i="2"/>
  <c r="T290" i="2"/>
  <c r="U290" i="2"/>
  <c r="V290" i="2"/>
  <c r="W290" i="2"/>
  <c r="X290" i="2"/>
  <c r="N291" i="2"/>
  <c r="O291" i="2"/>
  <c r="P291" i="2"/>
  <c r="Q291" i="2"/>
  <c r="R291" i="2"/>
  <c r="S291" i="2"/>
  <c r="T291" i="2"/>
  <c r="U291" i="2"/>
  <c r="V291" i="2"/>
  <c r="W291" i="2"/>
  <c r="X291" i="2"/>
  <c r="N292" i="2"/>
  <c r="O292" i="2"/>
  <c r="P292" i="2"/>
  <c r="Q292" i="2"/>
  <c r="R292" i="2"/>
  <c r="S292" i="2"/>
  <c r="T292" i="2"/>
  <c r="U292" i="2"/>
  <c r="V292" i="2"/>
  <c r="W292" i="2"/>
  <c r="X292" i="2"/>
  <c r="N293" i="2"/>
  <c r="O293" i="2"/>
  <c r="P293" i="2"/>
  <c r="Q293" i="2"/>
  <c r="R293" i="2"/>
  <c r="S293" i="2"/>
  <c r="T293" i="2"/>
  <c r="U293" i="2"/>
  <c r="V293" i="2"/>
  <c r="W293" i="2"/>
  <c r="X293" i="2"/>
  <c r="N294" i="2"/>
  <c r="O294" i="2"/>
  <c r="P294" i="2"/>
  <c r="Q294" i="2"/>
  <c r="R294" i="2"/>
  <c r="S294" i="2"/>
  <c r="T294" i="2"/>
  <c r="U294" i="2"/>
  <c r="V294" i="2"/>
  <c r="W294" i="2"/>
  <c r="X294" i="2"/>
  <c r="N295" i="2"/>
  <c r="O295" i="2"/>
  <c r="P295" i="2"/>
  <c r="Q295" i="2"/>
  <c r="R295" i="2"/>
  <c r="S295" i="2"/>
  <c r="T295" i="2"/>
  <c r="U295" i="2"/>
  <c r="V295" i="2"/>
  <c r="W295" i="2"/>
  <c r="X295" i="2"/>
  <c r="N296" i="2"/>
  <c r="O296" i="2"/>
  <c r="P296" i="2"/>
  <c r="Q296" i="2"/>
  <c r="R296" i="2"/>
  <c r="S296" i="2"/>
  <c r="T296" i="2"/>
  <c r="U296" i="2"/>
  <c r="V296" i="2"/>
  <c r="W296" i="2"/>
  <c r="X296" i="2"/>
  <c r="N297" i="2"/>
  <c r="O297" i="2"/>
  <c r="P297" i="2"/>
  <c r="Q297" i="2"/>
  <c r="R297" i="2"/>
  <c r="S297" i="2"/>
  <c r="T297" i="2"/>
  <c r="U297" i="2"/>
  <c r="V297" i="2"/>
  <c r="W297" i="2"/>
  <c r="X297" i="2"/>
  <c r="N298" i="2"/>
  <c r="O298" i="2"/>
  <c r="P298" i="2"/>
  <c r="Q298" i="2"/>
  <c r="R298" i="2"/>
  <c r="S298" i="2"/>
  <c r="T298" i="2"/>
  <c r="U298" i="2"/>
  <c r="V298" i="2"/>
  <c r="W298" i="2"/>
  <c r="X298" i="2"/>
  <c r="N299" i="2"/>
  <c r="O299" i="2"/>
  <c r="P299" i="2"/>
  <c r="Q299" i="2"/>
  <c r="R299" i="2"/>
  <c r="S299" i="2"/>
  <c r="T299" i="2"/>
  <c r="U299" i="2"/>
  <c r="V299" i="2"/>
  <c r="W299" i="2"/>
  <c r="X299" i="2"/>
  <c r="N300" i="2"/>
  <c r="O300" i="2"/>
  <c r="P300" i="2"/>
  <c r="Q300" i="2"/>
  <c r="R300" i="2"/>
  <c r="S300" i="2"/>
  <c r="T300" i="2"/>
  <c r="U300" i="2"/>
  <c r="V300" i="2"/>
  <c r="W300" i="2"/>
  <c r="X300" i="2"/>
  <c r="N301" i="2"/>
  <c r="O301" i="2"/>
  <c r="P301" i="2"/>
  <c r="Q301" i="2"/>
  <c r="R301" i="2"/>
  <c r="S301" i="2"/>
  <c r="T301" i="2"/>
  <c r="U301" i="2"/>
  <c r="V301" i="2"/>
  <c r="W301" i="2"/>
  <c r="X301" i="2"/>
  <c r="N302" i="2"/>
  <c r="O302" i="2"/>
  <c r="P302" i="2"/>
  <c r="Q302" i="2"/>
  <c r="R302" i="2"/>
  <c r="S302" i="2"/>
  <c r="T302" i="2"/>
  <c r="U302" i="2"/>
  <c r="V302" i="2"/>
  <c r="W302" i="2"/>
  <c r="X302" i="2"/>
  <c r="N303" i="2"/>
  <c r="O303" i="2"/>
  <c r="P303" i="2"/>
  <c r="Q303" i="2"/>
  <c r="R303" i="2"/>
  <c r="S303" i="2"/>
  <c r="T303" i="2"/>
  <c r="U303" i="2"/>
  <c r="V303" i="2"/>
  <c r="W303" i="2"/>
  <c r="X303" i="2"/>
  <c r="N304" i="2"/>
  <c r="O304" i="2"/>
  <c r="P304" i="2"/>
  <c r="Q304" i="2"/>
  <c r="R304" i="2"/>
  <c r="S304" i="2"/>
  <c r="T304" i="2"/>
  <c r="U304" i="2"/>
  <c r="V304" i="2"/>
  <c r="W304" i="2"/>
  <c r="X304" i="2"/>
  <c r="N305" i="2"/>
  <c r="O305" i="2"/>
  <c r="P305" i="2"/>
  <c r="Q305" i="2"/>
  <c r="R305" i="2"/>
  <c r="S305" i="2"/>
  <c r="T305" i="2"/>
  <c r="U305" i="2"/>
  <c r="V305" i="2"/>
  <c r="W305" i="2"/>
  <c r="X305" i="2"/>
  <c r="N306" i="2"/>
  <c r="O306" i="2"/>
  <c r="P306" i="2"/>
  <c r="Q306" i="2"/>
  <c r="R306" i="2"/>
  <c r="S306" i="2"/>
  <c r="T306" i="2"/>
  <c r="U306" i="2"/>
  <c r="V306" i="2"/>
  <c r="W306" i="2"/>
  <c r="X306" i="2"/>
  <c r="N307" i="2"/>
  <c r="O307" i="2"/>
  <c r="P307" i="2"/>
  <c r="Q307" i="2"/>
  <c r="R307" i="2"/>
  <c r="S307" i="2"/>
  <c r="T307" i="2"/>
  <c r="U307" i="2"/>
  <c r="V307" i="2"/>
  <c r="W307" i="2"/>
  <c r="X307" i="2"/>
  <c r="N308" i="2"/>
  <c r="O308" i="2"/>
  <c r="P308" i="2"/>
  <c r="Q308" i="2"/>
  <c r="R308" i="2"/>
  <c r="S308" i="2"/>
  <c r="T308" i="2"/>
  <c r="U308" i="2"/>
  <c r="V308" i="2"/>
  <c r="W308" i="2"/>
  <c r="X308" i="2"/>
  <c r="N309" i="2"/>
  <c r="O309" i="2"/>
  <c r="P309" i="2"/>
  <c r="Q309" i="2"/>
  <c r="R309" i="2"/>
  <c r="S309" i="2"/>
  <c r="T309" i="2"/>
  <c r="U309" i="2"/>
  <c r="V309" i="2"/>
  <c r="W309" i="2"/>
  <c r="X309" i="2"/>
  <c r="N310" i="2"/>
  <c r="O310" i="2"/>
  <c r="P310" i="2"/>
  <c r="Q310" i="2"/>
  <c r="R310" i="2"/>
  <c r="S310" i="2"/>
  <c r="T310" i="2"/>
  <c r="U310" i="2"/>
  <c r="V310" i="2"/>
  <c r="W310" i="2"/>
  <c r="X310" i="2"/>
  <c r="N311" i="2"/>
  <c r="O311" i="2"/>
  <c r="P311" i="2"/>
  <c r="Q311" i="2"/>
  <c r="R311" i="2"/>
  <c r="S311" i="2"/>
  <c r="T311" i="2"/>
  <c r="U311" i="2"/>
  <c r="V311" i="2"/>
  <c r="W311" i="2"/>
  <c r="X311" i="2"/>
  <c r="N312" i="2"/>
  <c r="O312" i="2"/>
  <c r="P312" i="2"/>
  <c r="Q312" i="2"/>
  <c r="R312" i="2"/>
  <c r="S312" i="2"/>
  <c r="T312" i="2"/>
  <c r="U312" i="2"/>
  <c r="V312" i="2"/>
  <c r="W312" i="2"/>
  <c r="X312" i="2"/>
  <c r="N313" i="2"/>
  <c r="O313" i="2"/>
  <c r="P313" i="2"/>
  <c r="Q313" i="2"/>
  <c r="R313" i="2"/>
  <c r="S313" i="2"/>
  <c r="T313" i="2"/>
  <c r="U313" i="2"/>
  <c r="V313" i="2"/>
  <c r="W313" i="2"/>
  <c r="X313" i="2"/>
  <c r="N314" i="2"/>
  <c r="O314" i="2"/>
  <c r="P314" i="2"/>
  <c r="Q314" i="2"/>
  <c r="R314" i="2"/>
  <c r="S314" i="2"/>
  <c r="T314" i="2"/>
  <c r="U314" i="2"/>
  <c r="V314" i="2"/>
  <c r="W314" i="2"/>
  <c r="X314" i="2"/>
  <c r="N315" i="2"/>
  <c r="O315" i="2"/>
  <c r="P315" i="2"/>
  <c r="Q315" i="2"/>
  <c r="R315" i="2"/>
  <c r="S315" i="2"/>
  <c r="T315" i="2"/>
  <c r="U315" i="2"/>
  <c r="V315" i="2"/>
  <c r="W315" i="2"/>
  <c r="X315" i="2"/>
  <c r="N316" i="2"/>
  <c r="O316" i="2"/>
  <c r="P316" i="2"/>
  <c r="Q316" i="2"/>
  <c r="R316" i="2"/>
  <c r="S316" i="2"/>
  <c r="T316" i="2"/>
  <c r="U316" i="2"/>
  <c r="V316" i="2"/>
  <c r="W316" i="2"/>
  <c r="X316" i="2"/>
  <c r="N317" i="2"/>
  <c r="O317" i="2"/>
  <c r="P317" i="2"/>
  <c r="Q317" i="2"/>
  <c r="R317" i="2"/>
  <c r="S317" i="2"/>
  <c r="T317" i="2"/>
  <c r="U317" i="2"/>
  <c r="V317" i="2"/>
  <c r="W317" i="2"/>
  <c r="X317" i="2"/>
  <c r="N318" i="2"/>
  <c r="O318" i="2"/>
  <c r="P318" i="2"/>
  <c r="Q318" i="2"/>
  <c r="R318" i="2"/>
  <c r="S318" i="2"/>
  <c r="T318" i="2"/>
  <c r="U318" i="2"/>
  <c r="V318" i="2"/>
  <c r="W318" i="2"/>
  <c r="X318" i="2"/>
  <c r="N319" i="2"/>
  <c r="O319" i="2"/>
  <c r="P319" i="2"/>
  <c r="Q319" i="2"/>
  <c r="R319" i="2"/>
  <c r="S319" i="2"/>
  <c r="T319" i="2"/>
  <c r="U319" i="2"/>
  <c r="V319" i="2"/>
  <c r="W319" i="2"/>
  <c r="X319" i="2"/>
  <c r="N320" i="2"/>
  <c r="O320" i="2"/>
  <c r="P320" i="2"/>
  <c r="Q320" i="2"/>
  <c r="R320" i="2"/>
  <c r="S320" i="2"/>
  <c r="T320" i="2"/>
  <c r="U320" i="2"/>
  <c r="V320" i="2"/>
  <c r="W320" i="2"/>
  <c r="X320" i="2"/>
  <c r="N321" i="2"/>
  <c r="O321" i="2"/>
  <c r="P321" i="2"/>
  <c r="Q321" i="2"/>
  <c r="R321" i="2"/>
  <c r="S321" i="2"/>
  <c r="T321" i="2"/>
  <c r="U321" i="2"/>
  <c r="V321" i="2"/>
  <c r="W321" i="2"/>
  <c r="X32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N348" i="2"/>
  <c r="O348" i="2"/>
  <c r="P348" i="2"/>
  <c r="Q348" i="2"/>
  <c r="R348" i="2"/>
  <c r="S348" i="2"/>
  <c r="T348" i="2"/>
  <c r="U348" i="2"/>
  <c r="V348" i="2"/>
  <c r="W348" i="2"/>
  <c r="X348" i="2"/>
  <c r="N349" i="2"/>
  <c r="O349" i="2"/>
  <c r="P349" i="2"/>
  <c r="Q349" i="2"/>
  <c r="R349" i="2"/>
  <c r="S349" i="2"/>
  <c r="T349" i="2"/>
  <c r="U349" i="2"/>
  <c r="V349" i="2"/>
  <c r="W349" i="2"/>
  <c r="X349" i="2"/>
  <c r="N350" i="2"/>
  <c r="O350" i="2"/>
  <c r="P350" i="2"/>
  <c r="Q350" i="2"/>
  <c r="R350" i="2"/>
  <c r="S350" i="2"/>
  <c r="T350" i="2"/>
  <c r="U350" i="2"/>
  <c r="V350" i="2"/>
  <c r="W350" i="2"/>
  <c r="X350" i="2"/>
  <c r="N351" i="2"/>
  <c r="O351" i="2"/>
  <c r="P351" i="2"/>
  <c r="Q351" i="2"/>
  <c r="R351" i="2"/>
  <c r="S351" i="2"/>
  <c r="T351" i="2"/>
  <c r="U351" i="2"/>
  <c r="V351" i="2"/>
  <c r="W351" i="2"/>
  <c r="X351" i="2"/>
  <c r="N352" i="2"/>
  <c r="O352" i="2"/>
  <c r="P352" i="2"/>
  <c r="Q352" i="2"/>
  <c r="R352" i="2"/>
  <c r="S352" i="2"/>
  <c r="T352" i="2"/>
  <c r="U352" i="2"/>
  <c r="V352" i="2"/>
  <c r="W352" i="2"/>
  <c r="X352" i="2"/>
  <c r="N353" i="2"/>
  <c r="O353" i="2"/>
  <c r="P353" i="2"/>
  <c r="Q353" i="2"/>
  <c r="R353" i="2"/>
  <c r="S353" i="2"/>
  <c r="T353" i="2"/>
  <c r="U353" i="2"/>
  <c r="V353" i="2"/>
  <c r="W353" i="2"/>
  <c r="X353" i="2"/>
  <c r="N354" i="2"/>
  <c r="O354" i="2"/>
  <c r="P354" i="2"/>
  <c r="Q354" i="2"/>
  <c r="R354" i="2"/>
  <c r="S354" i="2"/>
  <c r="T354" i="2"/>
  <c r="U354" i="2"/>
  <c r="V354" i="2"/>
  <c r="W354" i="2"/>
  <c r="X354" i="2"/>
  <c r="N355" i="2"/>
  <c r="O355" i="2"/>
  <c r="P355" i="2"/>
  <c r="Q355" i="2"/>
  <c r="R355" i="2"/>
  <c r="S355" i="2"/>
  <c r="T355" i="2"/>
  <c r="U355" i="2"/>
  <c r="V355" i="2"/>
  <c r="W355" i="2"/>
  <c r="X355" i="2"/>
  <c r="N356" i="2"/>
  <c r="O356" i="2"/>
  <c r="P356" i="2"/>
  <c r="Q356" i="2"/>
  <c r="R356" i="2"/>
  <c r="S356" i="2"/>
  <c r="T356" i="2"/>
  <c r="U356" i="2"/>
  <c r="V356" i="2"/>
  <c r="W356" i="2"/>
  <c r="X356" i="2"/>
  <c r="N357" i="2"/>
  <c r="O357" i="2"/>
  <c r="P357" i="2"/>
  <c r="Q357" i="2"/>
  <c r="R357" i="2"/>
  <c r="S357" i="2"/>
  <c r="T357" i="2"/>
  <c r="U357" i="2"/>
  <c r="V357" i="2"/>
  <c r="W357" i="2"/>
  <c r="X357" i="2"/>
  <c r="N358" i="2"/>
  <c r="O358" i="2"/>
  <c r="P358" i="2"/>
  <c r="Q358" i="2"/>
  <c r="R358" i="2"/>
  <c r="S358" i="2"/>
  <c r="T358" i="2"/>
  <c r="U358" i="2"/>
  <c r="V358" i="2"/>
  <c r="W358" i="2"/>
  <c r="X358" i="2"/>
  <c r="N359" i="2"/>
  <c r="O359" i="2"/>
  <c r="P359" i="2"/>
  <c r="Q359" i="2"/>
  <c r="R359" i="2"/>
  <c r="S359" i="2"/>
  <c r="T359" i="2"/>
  <c r="U359" i="2"/>
  <c r="V359" i="2"/>
  <c r="W359" i="2"/>
  <c r="X359" i="2"/>
  <c r="N360" i="2"/>
  <c r="O360" i="2"/>
  <c r="P360" i="2"/>
  <c r="Q360" i="2"/>
  <c r="R360" i="2"/>
  <c r="S360" i="2"/>
  <c r="T360" i="2"/>
  <c r="U360" i="2"/>
  <c r="V360" i="2"/>
  <c r="W360" i="2"/>
  <c r="X360" i="2"/>
  <c r="N361" i="2"/>
  <c r="O361" i="2"/>
  <c r="P361" i="2"/>
  <c r="Q361" i="2"/>
  <c r="R361" i="2"/>
  <c r="S361" i="2"/>
  <c r="T361" i="2"/>
  <c r="U361" i="2"/>
  <c r="V361" i="2"/>
  <c r="W361" i="2"/>
  <c r="X361" i="2"/>
  <c r="N362" i="2"/>
  <c r="O362" i="2"/>
  <c r="P362" i="2"/>
  <c r="Q362" i="2"/>
  <c r="R362" i="2"/>
  <c r="S362" i="2"/>
  <c r="T362" i="2"/>
  <c r="U362" i="2"/>
  <c r="V362" i="2"/>
  <c r="W362" i="2"/>
  <c r="X362" i="2"/>
  <c r="N363" i="2"/>
  <c r="O363" i="2"/>
  <c r="P363" i="2"/>
  <c r="Q363" i="2"/>
  <c r="R363" i="2"/>
  <c r="S363" i="2"/>
  <c r="T363" i="2"/>
  <c r="U363" i="2"/>
  <c r="V363" i="2"/>
  <c r="W363" i="2"/>
  <c r="X363" i="2"/>
  <c r="N364" i="2"/>
  <c r="O364" i="2"/>
  <c r="P364" i="2"/>
  <c r="Q364" i="2"/>
  <c r="R364" i="2"/>
  <c r="S364" i="2"/>
  <c r="T364" i="2"/>
  <c r="U364" i="2"/>
  <c r="V364" i="2"/>
  <c r="W364" i="2"/>
  <c r="X364" i="2"/>
  <c r="N365" i="2"/>
  <c r="O365" i="2"/>
  <c r="P365" i="2"/>
  <c r="Q365" i="2"/>
  <c r="R365" i="2"/>
  <c r="S365" i="2"/>
  <c r="T365" i="2"/>
  <c r="U365" i="2"/>
  <c r="V365" i="2"/>
  <c r="W365" i="2"/>
  <c r="X365" i="2"/>
  <c r="N366" i="2"/>
  <c r="O366" i="2"/>
  <c r="P366" i="2"/>
  <c r="Q366" i="2"/>
  <c r="R366" i="2"/>
  <c r="S366" i="2"/>
  <c r="T366" i="2"/>
  <c r="U366" i="2"/>
  <c r="V366" i="2"/>
  <c r="W366" i="2"/>
  <c r="X366" i="2"/>
  <c r="N367" i="2"/>
  <c r="O367" i="2"/>
  <c r="P367" i="2"/>
  <c r="Q367" i="2"/>
  <c r="R367" i="2"/>
  <c r="S367" i="2"/>
  <c r="T367" i="2"/>
  <c r="U367" i="2"/>
  <c r="V367" i="2"/>
  <c r="W367" i="2"/>
  <c r="X367" i="2"/>
  <c r="N368" i="2"/>
  <c r="O368" i="2"/>
  <c r="P368" i="2"/>
  <c r="Q368" i="2"/>
  <c r="R368" i="2"/>
  <c r="S368" i="2"/>
  <c r="T368" i="2"/>
  <c r="U368" i="2"/>
  <c r="V368" i="2"/>
  <c r="W368" i="2"/>
  <c r="X368" i="2"/>
  <c r="N369" i="2"/>
  <c r="O369" i="2"/>
  <c r="P369" i="2"/>
  <c r="Q369" i="2"/>
  <c r="R369" i="2"/>
  <c r="S369" i="2"/>
  <c r="T369" i="2"/>
  <c r="U369" i="2"/>
  <c r="V369" i="2"/>
  <c r="W369" i="2"/>
  <c r="X369" i="2"/>
  <c r="N370" i="2"/>
  <c r="O370" i="2"/>
  <c r="P370" i="2"/>
  <c r="Q370" i="2"/>
  <c r="R370" i="2"/>
  <c r="S370" i="2"/>
  <c r="T370" i="2"/>
  <c r="U370" i="2"/>
  <c r="V370" i="2"/>
  <c r="W370" i="2"/>
  <c r="X370" i="2"/>
  <c r="N371" i="2"/>
  <c r="O371" i="2"/>
  <c r="P371" i="2"/>
  <c r="Q371" i="2"/>
  <c r="R371" i="2"/>
  <c r="S371" i="2"/>
  <c r="T371" i="2"/>
  <c r="U371" i="2"/>
  <c r="V371" i="2"/>
  <c r="W371" i="2"/>
  <c r="X371" i="2"/>
  <c r="N372" i="2"/>
  <c r="O372" i="2"/>
  <c r="P372" i="2"/>
  <c r="Q372" i="2"/>
  <c r="R372" i="2"/>
  <c r="S372" i="2"/>
  <c r="T372" i="2"/>
  <c r="U372" i="2"/>
  <c r="V372" i="2"/>
  <c r="W372" i="2"/>
  <c r="X372" i="2"/>
  <c r="N373" i="2"/>
  <c r="O373" i="2"/>
  <c r="P373" i="2"/>
  <c r="Q373" i="2"/>
  <c r="R373" i="2"/>
  <c r="S373" i="2"/>
  <c r="T373" i="2"/>
  <c r="U373" i="2"/>
  <c r="V373" i="2"/>
  <c r="W373" i="2"/>
  <c r="X373" i="2"/>
  <c r="N374" i="2"/>
  <c r="P374" i="2"/>
  <c r="Q374" i="2"/>
  <c r="R374" i="2"/>
  <c r="S374" i="2"/>
  <c r="T374" i="2"/>
  <c r="U374" i="2"/>
  <c r="V374" i="2"/>
  <c r="W374" i="2"/>
  <c r="X374" i="2"/>
  <c r="N375" i="2"/>
  <c r="P375" i="2"/>
  <c r="Q375" i="2"/>
  <c r="R375" i="2"/>
  <c r="S375" i="2"/>
  <c r="T375" i="2"/>
  <c r="U375" i="2"/>
  <c r="V375" i="2"/>
  <c r="W375" i="2"/>
  <c r="X375" i="2"/>
  <c r="N376" i="2"/>
  <c r="P376" i="2"/>
  <c r="Q376" i="2"/>
  <c r="R376" i="2"/>
  <c r="S376" i="2"/>
  <c r="T376" i="2"/>
  <c r="U376" i="2"/>
  <c r="V376" i="2"/>
  <c r="W376" i="2"/>
  <c r="X376" i="2"/>
  <c r="N377" i="2"/>
  <c r="P377" i="2"/>
  <c r="Q377" i="2"/>
  <c r="R377" i="2"/>
  <c r="S377" i="2"/>
  <c r="T377" i="2"/>
  <c r="U377" i="2"/>
  <c r="V377" i="2"/>
  <c r="W377" i="2"/>
  <c r="X377" i="2"/>
  <c r="N378" i="2"/>
  <c r="P378" i="2"/>
  <c r="Q378" i="2"/>
  <c r="R378" i="2"/>
  <c r="S378" i="2"/>
  <c r="T378" i="2"/>
  <c r="U378" i="2"/>
  <c r="V378" i="2"/>
  <c r="W378" i="2"/>
  <c r="X378" i="2"/>
  <c r="N379" i="2"/>
  <c r="P379" i="2"/>
  <c r="Q379" i="2"/>
  <c r="R379" i="2"/>
  <c r="S379" i="2"/>
  <c r="T379" i="2"/>
  <c r="U379" i="2"/>
  <c r="V379" i="2"/>
  <c r="W379" i="2"/>
  <c r="X379" i="2"/>
  <c r="N380" i="2"/>
  <c r="P380" i="2"/>
  <c r="Q380" i="2"/>
  <c r="R380" i="2"/>
  <c r="S380" i="2"/>
  <c r="T380" i="2"/>
  <c r="U380" i="2"/>
  <c r="V380" i="2"/>
  <c r="W380" i="2"/>
  <c r="X380" i="2"/>
  <c r="N381" i="2"/>
  <c r="P381" i="2"/>
  <c r="Q381" i="2"/>
  <c r="R381" i="2"/>
  <c r="S381" i="2"/>
  <c r="T381" i="2"/>
  <c r="U381" i="2"/>
  <c r="V381" i="2"/>
  <c r="W381" i="2"/>
  <c r="X381" i="2"/>
  <c r="N382" i="2"/>
  <c r="P382" i="2"/>
  <c r="Q382" i="2"/>
  <c r="R382" i="2"/>
  <c r="S382" i="2"/>
  <c r="T382" i="2"/>
  <c r="U382" i="2"/>
  <c r="V382" i="2"/>
  <c r="W382" i="2"/>
  <c r="X382" i="2"/>
  <c r="N383" i="2"/>
  <c r="P383" i="2"/>
  <c r="Q383" i="2"/>
  <c r="R383" i="2"/>
  <c r="S383" i="2"/>
  <c r="T383" i="2"/>
  <c r="U383" i="2"/>
  <c r="V383" i="2"/>
  <c r="W383" i="2"/>
  <c r="X383" i="2"/>
  <c r="N384" i="2"/>
  <c r="P384" i="2"/>
  <c r="Q384" i="2"/>
  <c r="R384" i="2"/>
  <c r="S384" i="2"/>
  <c r="T384" i="2"/>
  <c r="U384" i="2"/>
  <c r="V384" i="2"/>
  <c r="W384" i="2"/>
  <c r="X384" i="2"/>
  <c r="N385" i="2"/>
  <c r="P385" i="2"/>
  <c r="Q385" i="2"/>
  <c r="R385" i="2"/>
  <c r="S385" i="2"/>
  <c r="T385" i="2"/>
  <c r="U385" i="2"/>
  <c r="V385" i="2"/>
  <c r="W385" i="2"/>
  <c r="X385" i="2"/>
  <c r="N386" i="2"/>
  <c r="P386" i="2"/>
  <c r="Q386" i="2"/>
  <c r="R386" i="2"/>
  <c r="S386" i="2"/>
  <c r="T386" i="2"/>
  <c r="U386" i="2"/>
  <c r="V386" i="2"/>
  <c r="W386" i="2"/>
  <c r="X386" i="2"/>
  <c r="N387" i="2"/>
  <c r="P387" i="2"/>
  <c r="Q387" i="2"/>
  <c r="R387" i="2"/>
  <c r="S387" i="2"/>
  <c r="T387" i="2"/>
  <c r="U387" i="2"/>
  <c r="V387" i="2"/>
  <c r="W387" i="2"/>
  <c r="X387" i="2"/>
  <c r="N388" i="2"/>
  <c r="P388" i="2"/>
  <c r="Q388" i="2"/>
  <c r="R388" i="2"/>
  <c r="S388" i="2"/>
  <c r="T388" i="2"/>
  <c r="U388" i="2"/>
  <c r="V388" i="2"/>
  <c r="W388" i="2"/>
  <c r="X388" i="2"/>
  <c r="N389" i="2"/>
  <c r="P389" i="2"/>
  <c r="Q389" i="2"/>
  <c r="R389" i="2"/>
  <c r="S389" i="2"/>
  <c r="T389" i="2"/>
  <c r="U389" i="2"/>
  <c r="V389" i="2"/>
  <c r="W389" i="2"/>
  <c r="X389" i="2"/>
  <c r="N390" i="2"/>
  <c r="P390" i="2"/>
  <c r="Q390" i="2"/>
  <c r="R390" i="2"/>
  <c r="S390" i="2"/>
  <c r="T390" i="2"/>
  <c r="U390" i="2"/>
  <c r="V390" i="2"/>
  <c r="W390" i="2"/>
  <c r="X390" i="2"/>
  <c r="N391" i="2"/>
  <c r="P391" i="2"/>
  <c r="Q391" i="2"/>
  <c r="R391" i="2"/>
  <c r="S391" i="2"/>
  <c r="T391" i="2"/>
  <c r="U391" i="2"/>
  <c r="V391" i="2"/>
  <c r="W391" i="2"/>
  <c r="X391" i="2"/>
  <c r="N392" i="2"/>
  <c r="P392" i="2"/>
  <c r="Q392" i="2"/>
  <c r="R392" i="2"/>
  <c r="S392" i="2"/>
  <c r="T392" i="2"/>
  <c r="U392" i="2"/>
  <c r="V392" i="2"/>
  <c r="W392" i="2"/>
  <c r="X392" i="2"/>
  <c r="N393" i="2"/>
  <c r="P393" i="2"/>
  <c r="Q393" i="2"/>
  <c r="R393" i="2"/>
  <c r="S393" i="2"/>
  <c r="T393" i="2"/>
  <c r="U393" i="2"/>
  <c r="V393" i="2"/>
  <c r="W393" i="2"/>
  <c r="X393" i="2"/>
  <c r="N394" i="2"/>
  <c r="P394" i="2"/>
  <c r="Q394" i="2"/>
  <c r="R394" i="2"/>
  <c r="S394" i="2"/>
  <c r="T394" i="2"/>
  <c r="U394" i="2"/>
  <c r="V394" i="2"/>
  <c r="W394" i="2"/>
  <c r="X394" i="2"/>
  <c r="N395" i="2"/>
  <c r="P395" i="2"/>
  <c r="Q395" i="2"/>
  <c r="R395" i="2"/>
  <c r="S395" i="2"/>
  <c r="T395" i="2"/>
  <c r="U395" i="2"/>
  <c r="V395" i="2"/>
  <c r="W395" i="2"/>
  <c r="X395" i="2"/>
  <c r="N396" i="2"/>
  <c r="P396" i="2"/>
  <c r="Q396" i="2"/>
  <c r="R396" i="2"/>
  <c r="S396" i="2"/>
  <c r="T396" i="2"/>
  <c r="U396" i="2"/>
  <c r="V396" i="2"/>
  <c r="W396" i="2"/>
  <c r="X396" i="2"/>
  <c r="N397" i="2"/>
  <c r="P397" i="2"/>
  <c r="Q397" i="2"/>
  <c r="R397" i="2"/>
  <c r="S397" i="2"/>
  <c r="T397" i="2"/>
  <c r="U397" i="2"/>
  <c r="V397" i="2"/>
  <c r="W397" i="2"/>
  <c r="X397" i="2"/>
  <c r="N398" i="2"/>
  <c r="P398" i="2"/>
  <c r="Q398" i="2"/>
  <c r="R398" i="2"/>
  <c r="S398" i="2"/>
  <c r="T398" i="2"/>
  <c r="U398" i="2"/>
  <c r="V398" i="2"/>
  <c r="W398" i="2"/>
  <c r="X398" i="2"/>
  <c r="N399" i="2"/>
  <c r="P399" i="2"/>
  <c r="Q399" i="2"/>
  <c r="R399" i="2"/>
  <c r="S399" i="2"/>
  <c r="T399" i="2"/>
  <c r="U399" i="2"/>
  <c r="V399" i="2"/>
  <c r="W399" i="2"/>
  <c r="X399" i="2"/>
  <c r="N400" i="2"/>
  <c r="P400" i="2"/>
  <c r="Q400" i="2"/>
  <c r="R400" i="2"/>
  <c r="S400" i="2"/>
  <c r="T400" i="2"/>
  <c r="U400" i="2"/>
  <c r="V400" i="2"/>
  <c r="W400" i="2"/>
  <c r="X400" i="2"/>
  <c r="N401" i="2"/>
  <c r="P401" i="2"/>
  <c r="Q401" i="2"/>
  <c r="R401" i="2"/>
  <c r="S401" i="2"/>
  <c r="T401" i="2"/>
  <c r="U401" i="2"/>
  <c r="V401" i="2"/>
  <c r="W401" i="2"/>
  <c r="X401" i="2"/>
  <c r="N402" i="2"/>
  <c r="P402" i="2"/>
  <c r="Q402" i="2"/>
  <c r="R402" i="2"/>
  <c r="S402" i="2"/>
  <c r="T402" i="2"/>
  <c r="U402" i="2"/>
  <c r="V402" i="2"/>
  <c r="W402" i="2"/>
  <c r="X402" i="2"/>
  <c r="N403" i="2"/>
  <c r="P403" i="2"/>
  <c r="Q403" i="2"/>
  <c r="R403" i="2"/>
  <c r="S403" i="2"/>
  <c r="T403" i="2"/>
  <c r="U403" i="2"/>
  <c r="V403" i="2"/>
  <c r="W403" i="2"/>
  <c r="X403" i="2"/>
  <c r="N404" i="2"/>
  <c r="P404" i="2"/>
  <c r="Q404" i="2"/>
  <c r="R404" i="2"/>
  <c r="S404" i="2"/>
  <c r="T404" i="2"/>
  <c r="U404" i="2"/>
  <c r="V404" i="2"/>
  <c r="W404" i="2"/>
  <c r="X404" i="2"/>
  <c r="N405" i="2"/>
  <c r="P405" i="2"/>
  <c r="Q405" i="2"/>
  <c r="R405" i="2"/>
  <c r="S405" i="2"/>
  <c r="T405" i="2"/>
  <c r="U405" i="2"/>
  <c r="V405" i="2"/>
  <c r="W405" i="2"/>
  <c r="X405" i="2"/>
  <c r="N406" i="2"/>
  <c r="P406" i="2"/>
  <c r="Q406" i="2"/>
  <c r="R406" i="2"/>
  <c r="S406" i="2"/>
  <c r="T406" i="2"/>
  <c r="U406" i="2"/>
  <c r="V406" i="2"/>
  <c r="W406" i="2"/>
  <c r="X406" i="2"/>
  <c r="N407" i="2"/>
  <c r="P407" i="2"/>
  <c r="Q407" i="2"/>
  <c r="R407" i="2"/>
  <c r="S407" i="2"/>
  <c r="T407" i="2"/>
  <c r="U407" i="2"/>
  <c r="V407" i="2"/>
  <c r="W407" i="2"/>
  <c r="X407" i="2"/>
  <c r="N408" i="2"/>
  <c r="P408" i="2"/>
  <c r="Q408" i="2"/>
  <c r="R408" i="2"/>
  <c r="S408" i="2"/>
  <c r="T408" i="2"/>
  <c r="U408" i="2"/>
  <c r="V408" i="2"/>
  <c r="W408" i="2"/>
  <c r="X408" i="2"/>
  <c r="N409" i="2"/>
  <c r="P409" i="2"/>
  <c r="Q409" i="2"/>
  <c r="R409" i="2"/>
  <c r="S409" i="2"/>
  <c r="T409" i="2"/>
  <c r="U409" i="2"/>
  <c r="V409" i="2"/>
  <c r="W409" i="2"/>
  <c r="X409" i="2"/>
  <c r="N410" i="2"/>
  <c r="O410" i="2"/>
  <c r="P410" i="2"/>
  <c r="Q410" i="2"/>
  <c r="R410" i="2"/>
  <c r="S410" i="2"/>
  <c r="T410" i="2"/>
  <c r="U410" i="2"/>
  <c r="V410" i="2"/>
  <c r="W410" i="2"/>
  <c r="X410" i="2"/>
  <c r="N411" i="2"/>
  <c r="O411" i="2"/>
  <c r="P411" i="2"/>
  <c r="Q411" i="2"/>
  <c r="R411" i="2"/>
  <c r="S411" i="2"/>
  <c r="T411" i="2"/>
  <c r="U411" i="2"/>
  <c r="V411" i="2"/>
  <c r="W411" i="2"/>
  <c r="X411" i="2"/>
  <c r="N412" i="2"/>
  <c r="O412" i="2"/>
  <c r="P412" i="2"/>
  <c r="Q412" i="2"/>
  <c r="R412" i="2"/>
  <c r="S412" i="2"/>
  <c r="T412" i="2"/>
  <c r="U412" i="2"/>
  <c r="V412" i="2"/>
  <c r="W412" i="2"/>
  <c r="X412" i="2"/>
  <c r="N413" i="2"/>
  <c r="O413" i="2"/>
  <c r="P413" i="2"/>
  <c r="Q413" i="2"/>
  <c r="R413" i="2"/>
  <c r="S413" i="2"/>
  <c r="T413" i="2"/>
  <c r="U413" i="2"/>
  <c r="V413" i="2"/>
  <c r="W413" i="2"/>
  <c r="X413" i="2"/>
  <c r="N414" i="2"/>
  <c r="O414" i="2"/>
  <c r="P414" i="2"/>
  <c r="Q414" i="2"/>
  <c r="R414" i="2"/>
  <c r="S414" i="2"/>
  <c r="T414" i="2"/>
  <c r="U414" i="2"/>
  <c r="V414" i="2"/>
  <c r="W414" i="2"/>
  <c r="X414" i="2"/>
  <c r="N415" i="2"/>
  <c r="O415" i="2"/>
  <c r="P415" i="2"/>
  <c r="Q415" i="2"/>
  <c r="R415" i="2"/>
  <c r="S415" i="2"/>
  <c r="T415" i="2"/>
  <c r="U415" i="2"/>
  <c r="V415" i="2"/>
  <c r="W415" i="2"/>
  <c r="X415" i="2"/>
  <c r="N416" i="2"/>
  <c r="O416" i="2"/>
  <c r="P416" i="2"/>
  <c r="Q416" i="2"/>
  <c r="R416" i="2"/>
  <c r="S416" i="2"/>
  <c r="T416" i="2"/>
  <c r="U416" i="2"/>
  <c r="V416" i="2"/>
  <c r="W416" i="2"/>
  <c r="X416" i="2"/>
  <c r="N417" i="2"/>
  <c r="O417" i="2"/>
  <c r="P417" i="2"/>
  <c r="Q417" i="2"/>
  <c r="R417" i="2"/>
  <c r="S417" i="2"/>
  <c r="T417" i="2"/>
  <c r="U417" i="2"/>
  <c r="V417" i="2"/>
  <c r="W417" i="2"/>
  <c r="X417" i="2"/>
  <c r="N418" i="2"/>
  <c r="O418" i="2"/>
  <c r="P418" i="2"/>
  <c r="Q418" i="2"/>
  <c r="R418" i="2"/>
  <c r="S418" i="2"/>
  <c r="T418" i="2"/>
  <c r="U418" i="2"/>
  <c r="V418" i="2"/>
  <c r="W418" i="2"/>
  <c r="X418" i="2"/>
  <c r="N419" i="2"/>
  <c r="O419" i="2"/>
  <c r="P419" i="2"/>
  <c r="Q419" i="2"/>
  <c r="R419" i="2"/>
  <c r="S419" i="2"/>
  <c r="T419" i="2"/>
  <c r="U419" i="2"/>
  <c r="V419" i="2"/>
  <c r="W419" i="2"/>
  <c r="X419" i="2"/>
  <c r="N420" i="2"/>
  <c r="O420" i="2"/>
  <c r="P420" i="2"/>
  <c r="Q420" i="2"/>
  <c r="R420" i="2"/>
  <c r="S420" i="2"/>
  <c r="T420" i="2"/>
  <c r="U420" i="2"/>
  <c r="V420" i="2"/>
  <c r="W420" i="2"/>
  <c r="X420" i="2"/>
  <c r="N421" i="2"/>
  <c r="O421" i="2"/>
  <c r="P421" i="2"/>
  <c r="Q421" i="2"/>
  <c r="R421" i="2"/>
  <c r="S421" i="2"/>
  <c r="T421" i="2"/>
  <c r="U421" i="2"/>
  <c r="V421" i="2"/>
  <c r="W421" i="2"/>
  <c r="X421" i="2"/>
  <c r="N422" i="2"/>
  <c r="O422" i="2"/>
  <c r="P422" i="2"/>
  <c r="Q422" i="2"/>
  <c r="R422" i="2"/>
  <c r="S422" i="2"/>
  <c r="T422" i="2"/>
  <c r="U422" i="2"/>
  <c r="V422" i="2"/>
  <c r="W422" i="2"/>
  <c r="X422" i="2"/>
  <c r="N423" i="2"/>
  <c r="O423" i="2"/>
  <c r="P423" i="2"/>
  <c r="Q423" i="2"/>
  <c r="R423" i="2"/>
  <c r="S423" i="2"/>
  <c r="T423" i="2"/>
  <c r="U423" i="2"/>
  <c r="V423" i="2"/>
  <c r="W423" i="2"/>
  <c r="X423" i="2"/>
  <c r="N424" i="2"/>
  <c r="O424" i="2"/>
  <c r="P424" i="2"/>
  <c r="Q424" i="2"/>
  <c r="R424" i="2"/>
  <c r="S424" i="2"/>
  <c r="T424" i="2"/>
  <c r="U424" i="2"/>
  <c r="V424" i="2"/>
  <c r="W424" i="2"/>
  <c r="X424" i="2"/>
  <c r="N425" i="2"/>
  <c r="O425" i="2"/>
  <c r="P425" i="2"/>
  <c r="Q425" i="2"/>
  <c r="R425" i="2"/>
  <c r="S425" i="2"/>
  <c r="T425" i="2"/>
  <c r="U425" i="2"/>
  <c r="V425" i="2"/>
  <c r="W425" i="2"/>
  <c r="X425" i="2"/>
  <c r="N426" i="2"/>
  <c r="O426" i="2"/>
  <c r="P426" i="2"/>
  <c r="Q426" i="2"/>
  <c r="R426" i="2"/>
  <c r="S426" i="2"/>
  <c r="T426" i="2"/>
  <c r="U426" i="2"/>
  <c r="V426" i="2"/>
  <c r="W426" i="2"/>
  <c r="X426" i="2"/>
  <c r="N427" i="2"/>
  <c r="O427" i="2"/>
  <c r="P427" i="2"/>
  <c r="Q427" i="2"/>
  <c r="R427" i="2"/>
  <c r="S427" i="2"/>
  <c r="T427" i="2"/>
  <c r="U427" i="2"/>
  <c r="V427" i="2"/>
  <c r="W427" i="2"/>
  <c r="X427" i="2"/>
  <c r="N428" i="2"/>
  <c r="O428" i="2"/>
  <c r="P428" i="2"/>
  <c r="Q428" i="2"/>
  <c r="R428" i="2"/>
  <c r="S428" i="2"/>
  <c r="T428" i="2"/>
  <c r="U428" i="2"/>
  <c r="V428" i="2"/>
  <c r="W428" i="2"/>
  <c r="X428" i="2"/>
  <c r="N429" i="2"/>
  <c r="O429" i="2"/>
  <c r="P429" i="2"/>
  <c r="Q429" i="2"/>
  <c r="R429" i="2"/>
  <c r="S429" i="2"/>
  <c r="T429" i="2"/>
  <c r="U429" i="2"/>
  <c r="V429" i="2"/>
  <c r="W429" i="2"/>
  <c r="X429" i="2"/>
  <c r="N430" i="2"/>
  <c r="O430" i="2"/>
  <c r="P430" i="2"/>
  <c r="Q430" i="2"/>
  <c r="R430" i="2"/>
  <c r="S430" i="2"/>
  <c r="T430" i="2"/>
  <c r="U430" i="2"/>
  <c r="V430" i="2"/>
  <c r="W430" i="2"/>
  <c r="X430" i="2"/>
  <c r="N431" i="2"/>
  <c r="O431" i="2"/>
  <c r="P431" i="2"/>
  <c r="Q431" i="2"/>
  <c r="R431" i="2"/>
  <c r="S431" i="2"/>
  <c r="T431" i="2"/>
  <c r="U431" i="2"/>
  <c r="V431" i="2"/>
  <c r="W431" i="2"/>
  <c r="X431" i="2"/>
  <c r="N432" i="2"/>
  <c r="O432" i="2"/>
  <c r="P432" i="2"/>
  <c r="Q432" i="2"/>
  <c r="R432" i="2"/>
  <c r="S432" i="2"/>
  <c r="T432" i="2"/>
  <c r="U432" i="2"/>
  <c r="V432" i="2"/>
  <c r="W432" i="2"/>
  <c r="X432" i="2"/>
  <c r="N433" i="2"/>
  <c r="O433" i="2"/>
  <c r="P433" i="2"/>
  <c r="Q433" i="2"/>
  <c r="R433" i="2"/>
  <c r="S433" i="2"/>
  <c r="T433" i="2"/>
  <c r="U433" i="2"/>
  <c r="V433" i="2"/>
  <c r="W433" i="2"/>
  <c r="X433" i="2"/>
  <c r="N434" i="2"/>
  <c r="O434" i="2"/>
  <c r="P434" i="2"/>
  <c r="Q434" i="2"/>
  <c r="R434" i="2"/>
  <c r="S434" i="2"/>
  <c r="T434" i="2"/>
  <c r="U434" i="2"/>
  <c r="V434" i="2"/>
  <c r="W434" i="2"/>
  <c r="X434" i="2"/>
  <c r="N435" i="2"/>
  <c r="O435" i="2"/>
  <c r="P435" i="2"/>
  <c r="Q435" i="2"/>
  <c r="R435" i="2"/>
  <c r="S435" i="2"/>
  <c r="T435" i="2"/>
  <c r="U435" i="2"/>
  <c r="V435" i="2"/>
  <c r="W435" i="2"/>
  <c r="X435" i="2"/>
  <c r="N436" i="2"/>
  <c r="O436" i="2"/>
  <c r="P436" i="2"/>
  <c r="Q436" i="2"/>
  <c r="R436" i="2"/>
  <c r="S436" i="2"/>
  <c r="T436" i="2"/>
  <c r="U436" i="2"/>
  <c r="V436" i="2"/>
  <c r="W436" i="2"/>
  <c r="X436" i="2"/>
  <c r="N437" i="2"/>
  <c r="O437" i="2"/>
  <c r="P437" i="2"/>
  <c r="Q437" i="2"/>
  <c r="R437" i="2"/>
  <c r="S437" i="2"/>
  <c r="T437" i="2"/>
  <c r="U437" i="2"/>
  <c r="V437" i="2"/>
  <c r="W437" i="2"/>
  <c r="X437" i="2"/>
  <c r="N438" i="2"/>
  <c r="O438" i="2"/>
  <c r="P438" i="2"/>
  <c r="Q438" i="2"/>
  <c r="R438" i="2"/>
  <c r="S438" i="2"/>
  <c r="T438" i="2"/>
  <c r="U438" i="2"/>
  <c r="V438" i="2"/>
  <c r="W438" i="2"/>
  <c r="X438" i="2"/>
  <c r="N439" i="2"/>
  <c r="O439" i="2"/>
  <c r="P439" i="2"/>
  <c r="Q439" i="2"/>
  <c r="R439" i="2"/>
  <c r="S439" i="2"/>
  <c r="T439" i="2"/>
  <c r="U439" i="2"/>
  <c r="V439" i="2"/>
  <c r="W439" i="2"/>
  <c r="X439" i="2"/>
  <c r="N440" i="2"/>
  <c r="O440" i="2"/>
  <c r="P440" i="2"/>
  <c r="Q440" i="2"/>
  <c r="R440" i="2"/>
  <c r="S440" i="2"/>
  <c r="T440" i="2"/>
  <c r="U440" i="2"/>
  <c r="V440" i="2"/>
  <c r="W440" i="2"/>
  <c r="X440" i="2"/>
  <c r="N441" i="2"/>
  <c r="O441" i="2"/>
  <c r="P441" i="2"/>
  <c r="Q441" i="2"/>
  <c r="R441" i="2"/>
  <c r="S441" i="2"/>
  <c r="T441" i="2"/>
  <c r="U441" i="2"/>
  <c r="V441" i="2"/>
  <c r="W441" i="2"/>
  <c r="X441" i="2"/>
  <c r="N442" i="2"/>
  <c r="O442" i="2"/>
  <c r="P442" i="2"/>
  <c r="Q442" i="2"/>
  <c r="R442" i="2"/>
  <c r="S442" i="2"/>
  <c r="T442" i="2"/>
  <c r="U442" i="2"/>
  <c r="V442" i="2"/>
  <c r="W442" i="2"/>
  <c r="X442" i="2"/>
  <c r="N443" i="2"/>
  <c r="O443" i="2"/>
  <c r="P443" i="2"/>
  <c r="Q443" i="2"/>
  <c r="R443" i="2"/>
  <c r="S443" i="2"/>
  <c r="T443" i="2"/>
  <c r="U443" i="2"/>
  <c r="V443" i="2"/>
  <c r="W443" i="2"/>
  <c r="X443" i="2"/>
  <c r="N444" i="2"/>
  <c r="O444" i="2"/>
  <c r="P444" i="2"/>
  <c r="Q444" i="2"/>
  <c r="R444" i="2"/>
  <c r="S444" i="2"/>
  <c r="T444" i="2"/>
  <c r="U444" i="2"/>
  <c r="V444" i="2"/>
  <c r="W444" i="2"/>
  <c r="X444" i="2"/>
  <c r="N445" i="2"/>
  <c r="O445" i="2"/>
  <c r="P445" i="2"/>
  <c r="Q445" i="2"/>
  <c r="R445" i="2"/>
  <c r="S445" i="2"/>
  <c r="T445" i="2"/>
  <c r="U445" i="2"/>
  <c r="V445" i="2"/>
  <c r="W445" i="2"/>
  <c r="X445" i="2"/>
  <c r="N446" i="2"/>
  <c r="P446" i="2"/>
  <c r="Q446" i="2"/>
  <c r="R446" i="2"/>
  <c r="S446" i="2"/>
  <c r="T446" i="2"/>
  <c r="U446" i="2"/>
  <c r="V446" i="2"/>
  <c r="W446" i="2"/>
  <c r="X446" i="2"/>
  <c r="N447" i="2"/>
  <c r="P447" i="2"/>
  <c r="Q447" i="2"/>
  <c r="R447" i="2"/>
  <c r="S447" i="2"/>
  <c r="T447" i="2"/>
  <c r="U447" i="2"/>
  <c r="V447" i="2"/>
  <c r="W447" i="2"/>
  <c r="X447" i="2"/>
  <c r="N448" i="2"/>
  <c r="P448" i="2"/>
  <c r="Q448" i="2"/>
  <c r="R448" i="2"/>
  <c r="S448" i="2"/>
  <c r="T448" i="2"/>
  <c r="U448" i="2"/>
  <c r="V448" i="2"/>
  <c r="W448" i="2"/>
  <c r="X448" i="2"/>
  <c r="N449" i="2"/>
  <c r="P449" i="2"/>
  <c r="Q449" i="2"/>
  <c r="R449" i="2"/>
  <c r="S449" i="2"/>
  <c r="T449" i="2"/>
  <c r="U449" i="2"/>
  <c r="V449" i="2"/>
  <c r="W449" i="2"/>
  <c r="X449" i="2"/>
  <c r="N450" i="2"/>
  <c r="P450" i="2"/>
  <c r="Q450" i="2"/>
  <c r="R450" i="2"/>
  <c r="S450" i="2"/>
  <c r="T450" i="2"/>
  <c r="U450" i="2"/>
  <c r="V450" i="2"/>
  <c r="W450" i="2"/>
  <c r="X450" i="2"/>
  <c r="N451" i="2"/>
  <c r="P451" i="2"/>
  <c r="Q451" i="2"/>
  <c r="R451" i="2"/>
  <c r="S451" i="2"/>
  <c r="T451" i="2"/>
  <c r="U451" i="2"/>
  <c r="V451" i="2"/>
  <c r="W451" i="2"/>
  <c r="X451" i="2"/>
  <c r="N452" i="2"/>
  <c r="P452" i="2"/>
  <c r="Q452" i="2"/>
  <c r="R452" i="2"/>
  <c r="S452" i="2"/>
  <c r="T452" i="2"/>
  <c r="U452" i="2"/>
  <c r="V452" i="2"/>
  <c r="W452" i="2"/>
  <c r="X452" i="2"/>
  <c r="N453" i="2"/>
  <c r="P453" i="2"/>
  <c r="Q453" i="2"/>
  <c r="R453" i="2"/>
  <c r="S453" i="2"/>
  <c r="T453" i="2"/>
  <c r="U453" i="2"/>
  <c r="V453" i="2"/>
  <c r="W453" i="2"/>
  <c r="X453" i="2"/>
  <c r="N454" i="2"/>
  <c r="P454" i="2"/>
  <c r="Q454" i="2"/>
  <c r="R454" i="2"/>
  <c r="S454" i="2"/>
  <c r="T454" i="2"/>
  <c r="U454" i="2"/>
  <c r="V454" i="2"/>
  <c r="W454" i="2"/>
  <c r="X454" i="2"/>
  <c r="N455" i="2"/>
  <c r="P455" i="2"/>
  <c r="Q455" i="2"/>
  <c r="R455" i="2"/>
  <c r="S455" i="2"/>
  <c r="T455" i="2"/>
  <c r="U455" i="2"/>
  <c r="V455" i="2"/>
  <c r="W455" i="2"/>
  <c r="X455" i="2"/>
  <c r="N456" i="2"/>
  <c r="P456" i="2"/>
  <c r="Q456" i="2"/>
  <c r="R456" i="2"/>
  <c r="S456" i="2"/>
  <c r="T456" i="2"/>
  <c r="U456" i="2"/>
  <c r="V456" i="2"/>
  <c r="W456" i="2"/>
  <c r="X456" i="2"/>
  <c r="N457" i="2"/>
  <c r="P457" i="2"/>
  <c r="Q457" i="2"/>
  <c r="R457" i="2"/>
  <c r="S457" i="2"/>
  <c r="T457" i="2"/>
  <c r="U457" i="2"/>
  <c r="V457" i="2"/>
  <c r="W457" i="2"/>
  <c r="X457" i="2"/>
  <c r="N458" i="2"/>
  <c r="P458" i="2"/>
  <c r="Q458" i="2"/>
  <c r="R458" i="2"/>
  <c r="S458" i="2"/>
  <c r="T458" i="2"/>
  <c r="U458" i="2"/>
  <c r="V458" i="2"/>
  <c r="W458" i="2"/>
  <c r="X458" i="2"/>
  <c r="N459" i="2"/>
  <c r="P459" i="2"/>
  <c r="Q459" i="2"/>
  <c r="R459" i="2"/>
  <c r="S459" i="2"/>
  <c r="T459" i="2"/>
  <c r="U459" i="2"/>
  <c r="V459" i="2"/>
  <c r="W459" i="2"/>
  <c r="X459" i="2"/>
  <c r="N460" i="2"/>
  <c r="P460" i="2"/>
  <c r="Q460" i="2"/>
  <c r="R460" i="2"/>
  <c r="S460" i="2"/>
  <c r="T460" i="2"/>
  <c r="U460" i="2"/>
  <c r="V460" i="2"/>
  <c r="W460" i="2"/>
  <c r="X460" i="2"/>
  <c r="N461" i="2"/>
  <c r="P461" i="2"/>
  <c r="Q461" i="2"/>
  <c r="R461" i="2"/>
  <c r="S461" i="2"/>
  <c r="T461" i="2"/>
  <c r="U461" i="2"/>
  <c r="V461" i="2"/>
  <c r="W461" i="2"/>
  <c r="X461" i="2"/>
  <c r="N462" i="2"/>
  <c r="P462" i="2"/>
  <c r="Q462" i="2"/>
  <c r="R462" i="2"/>
  <c r="S462" i="2"/>
  <c r="T462" i="2"/>
  <c r="U462" i="2"/>
  <c r="V462" i="2"/>
  <c r="W462" i="2"/>
  <c r="X462" i="2"/>
  <c r="N463" i="2"/>
  <c r="P463" i="2"/>
  <c r="Q463" i="2"/>
  <c r="R463" i="2"/>
  <c r="S463" i="2"/>
  <c r="T463" i="2"/>
  <c r="U463" i="2"/>
  <c r="V463" i="2"/>
  <c r="W463" i="2"/>
  <c r="X463" i="2"/>
  <c r="N464" i="2"/>
  <c r="P464" i="2"/>
  <c r="Q464" i="2"/>
  <c r="R464" i="2"/>
  <c r="S464" i="2"/>
  <c r="T464" i="2"/>
  <c r="U464" i="2"/>
  <c r="V464" i="2"/>
  <c r="W464" i="2"/>
  <c r="X464" i="2"/>
  <c r="N465" i="2"/>
  <c r="P465" i="2"/>
  <c r="Q465" i="2"/>
  <c r="R465" i="2"/>
  <c r="S465" i="2"/>
  <c r="T465" i="2"/>
  <c r="U465" i="2"/>
  <c r="V465" i="2"/>
  <c r="W465" i="2"/>
  <c r="X465" i="2"/>
  <c r="N466" i="2"/>
  <c r="P466" i="2"/>
  <c r="Q466" i="2"/>
  <c r="R466" i="2"/>
  <c r="S466" i="2"/>
  <c r="T466" i="2"/>
  <c r="U466" i="2"/>
  <c r="V466" i="2"/>
  <c r="W466" i="2"/>
  <c r="X466" i="2"/>
  <c r="N467" i="2"/>
  <c r="P467" i="2"/>
  <c r="Q467" i="2"/>
  <c r="R467" i="2"/>
  <c r="S467" i="2"/>
  <c r="T467" i="2"/>
  <c r="U467" i="2"/>
  <c r="V467" i="2"/>
  <c r="W467" i="2"/>
  <c r="X467" i="2"/>
  <c r="N468" i="2"/>
  <c r="P468" i="2"/>
  <c r="Q468" i="2"/>
  <c r="R468" i="2"/>
  <c r="S468" i="2"/>
  <c r="T468" i="2"/>
  <c r="U468" i="2"/>
  <c r="V468" i="2"/>
  <c r="W468" i="2"/>
  <c r="X468" i="2"/>
  <c r="N469" i="2"/>
  <c r="P469" i="2"/>
  <c r="Q469" i="2"/>
  <c r="R469" i="2"/>
  <c r="S469" i="2"/>
  <c r="T469" i="2"/>
  <c r="U469" i="2"/>
  <c r="V469" i="2"/>
  <c r="W469" i="2"/>
  <c r="X469" i="2"/>
  <c r="N470" i="2"/>
  <c r="P470" i="2"/>
  <c r="Q470" i="2"/>
  <c r="R470" i="2"/>
  <c r="S470" i="2"/>
  <c r="T470" i="2"/>
  <c r="U470" i="2"/>
  <c r="V470" i="2"/>
  <c r="W470" i="2"/>
  <c r="X470" i="2"/>
  <c r="N471" i="2"/>
  <c r="P471" i="2"/>
  <c r="Q471" i="2"/>
  <c r="R471" i="2"/>
  <c r="S471" i="2"/>
  <c r="T471" i="2"/>
  <c r="U471" i="2"/>
  <c r="V471" i="2"/>
  <c r="W471" i="2"/>
  <c r="X471" i="2"/>
  <c r="N472" i="2"/>
  <c r="P472" i="2"/>
  <c r="Q472" i="2"/>
  <c r="R472" i="2"/>
  <c r="S472" i="2"/>
  <c r="T472" i="2"/>
  <c r="U472" i="2"/>
  <c r="V472" i="2"/>
  <c r="W472" i="2"/>
  <c r="X472" i="2"/>
  <c r="N473" i="2"/>
  <c r="P473" i="2"/>
  <c r="Q473" i="2"/>
  <c r="R473" i="2"/>
  <c r="S473" i="2"/>
  <c r="T473" i="2"/>
  <c r="U473" i="2"/>
  <c r="V473" i="2"/>
  <c r="W473" i="2"/>
  <c r="X473" i="2"/>
  <c r="N474" i="2"/>
  <c r="P474" i="2"/>
  <c r="Q474" i="2"/>
  <c r="R474" i="2"/>
  <c r="S474" i="2"/>
  <c r="T474" i="2"/>
  <c r="U474" i="2"/>
  <c r="V474" i="2"/>
  <c r="W474" i="2"/>
  <c r="X474" i="2"/>
  <c r="N475" i="2"/>
  <c r="P475" i="2"/>
  <c r="Q475" i="2"/>
  <c r="R475" i="2"/>
  <c r="S475" i="2"/>
  <c r="T475" i="2"/>
  <c r="U475" i="2"/>
  <c r="V475" i="2"/>
  <c r="W475" i="2"/>
  <c r="X475" i="2"/>
  <c r="N476" i="2"/>
  <c r="P476" i="2"/>
  <c r="Q476" i="2"/>
  <c r="R476" i="2"/>
  <c r="S476" i="2"/>
  <c r="T476" i="2"/>
  <c r="U476" i="2"/>
  <c r="V476" i="2"/>
  <c r="W476" i="2"/>
  <c r="X476" i="2"/>
  <c r="N477" i="2"/>
  <c r="P477" i="2"/>
  <c r="Q477" i="2"/>
  <c r="R477" i="2"/>
  <c r="S477" i="2"/>
  <c r="T477" i="2"/>
  <c r="U477" i="2"/>
  <c r="V477" i="2"/>
  <c r="W477" i="2"/>
  <c r="X477" i="2"/>
  <c r="N478" i="2"/>
  <c r="P478" i="2"/>
  <c r="Q478" i="2"/>
  <c r="R478" i="2"/>
  <c r="S478" i="2"/>
  <c r="T478" i="2"/>
  <c r="U478" i="2"/>
  <c r="V478" i="2"/>
  <c r="W478" i="2"/>
  <c r="X478" i="2"/>
  <c r="N479" i="2"/>
  <c r="P479" i="2"/>
  <c r="Q479" i="2"/>
  <c r="R479" i="2"/>
  <c r="S479" i="2"/>
  <c r="T479" i="2"/>
  <c r="U479" i="2"/>
  <c r="V479" i="2"/>
  <c r="W479" i="2"/>
  <c r="X479" i="2"/>
  <c r="N480" i="2"/>
  <c r="P480" i="2"/>
  <c r="Q480" i="2"/>
  <c r="R480" i="2"/>
  <c r="S480" i="2"/>
  <c r="T480" i="2"/>
  <c r="U480" i="2"/>
  <c r="V480" i="2"/>
  <c r="W480" i="2"/>
  <c r="X480" i="2"/>
  <c r="N481" i="2"/>
  <c r="P481" i="2"/>
  <c r="Q481" i="2"/>
  <c r="R481" i="2"/>
  <c r="S481" i="2"/>
  <c r="T481" i="2"/>
  <c r="U481" i="2"/>
  <c r="V481" i="2"/>
  <c r="W481" i="2"/>
  <c r="X481" i="2"/>
  <c r="N482" i="2"/>
  <c r="P482" i="2"/>
  <c r="Q482" i="2"/>
  <c r="R482" i="2"/>
  <c r="S482" i="2"/>
  <c r="T482" i="2"/>
  <c r="U482" i="2"/>
  <c r="V482" i="2"/>
  <c r="W482" i="2"/>
  <c r="X482" i="2"/>
  <c r="N483" i="2"/>
  <c r="P483" i="2"/>
  <c r="Q483" i="2"/>
  <c r="R483" i="2"/>
  <c r="S483" i="2"/>
  <c r="T483" i="2"/>
  <c r="U483" i="2"/>
  <c r="V483" i="2"/>
  <c r="W483" i="2"/>
  <c r="X483" i="2"/>
  <c r="N484" i="2"/>
  <c r="P484" i="2"/>
  <c r="Q484" i="2"/>
  <c r="R484" i="2"/>
  <c r="S484" i="2"/>
  <c r="T484" i="2"/>
  <c r="U484" i="2"/>
  <c r="V484" i="2"/>
  <c r="W484" i="2"/>
  <c r="X484" i="2"/>
  <c r="N485" i="2"/>
  <c r="P485" i="2"/>
  <c r="Q485" i="2"/>
  <c r="R485" i="2"/>
  <c r="S485" i="2"/>
  <c r="T485" i="2"/>
  <c r="U485" i="2"/>
  <c r="V485" i="2"/>
  <c r="W485" i="2"/>
  <c r="X485" i="2"/>
  <c r="N486" i="2"/>
  <c r="P486" i="2"/>
  <c r="Q486" i="2"/>
  <c r="R486" i="2"/>
  <c r="S486" i="2"/>
  <c r="T486" i="2"/>
  <c r="U486" i="2"/>
  <c r="V486" i="2"/>
  <c r="W486" i="2"/>
  <c r="X486" i="2"/>
  <c r="N487" i="2"/>
  <c r="P487" i="2"/>
  <c r="Q487" i="2"/>
  <c r="R487" i="2"/>
  <c r="S487" i="2"/>
  <c r="T487" i="2"/>
  <c r="U487" i="2"/>
  <c r="V487" i="2"/>
  <c r="W487" i="2"/>
  <c r="X487" i="2"/>
  <c r="N488" i="2"/>
  <c r="P488" i="2"/>
  <c r="Q488" i="2"/>
  <c r="R488" i="2"/>
  <c r="S488" i="2"/>
  <c r="T488" i="2"/>
  <c r="U488" i="2"/>
  <c r="V488" i="2"/>
  <c r="W488" i="2"/>
  <c r="X488" i="2"/>
  <c r="N489" i="2"/>
  <c r="P489" i="2"/>
  <c r="Q489" i="2"/>
  <c r="R489" i="2"/>
  <c r="S489" i="2"/>
  <c r="T489" i="2"/>
  <c r="U489" i="2"/>
  <c r="V489" i="2"/>
  <c r="W489" i="2"/>
  <c r="X489" i="2"/>
  <c r="N490" i="2"/>
  <c r="P490" i="2"/>
  <c r="Q490" i="2"/>
  <c r="R490" i="2"/>
  <c r="S490" i="2"/>
  <c r="T490" i="2"/>
  <c r="U490" i="2"/>
  <c r="V490" i="2"/>
  <c r="W490" i="2"/>
  <c r="X490" i="2"/>
  <c r="N491" i="2"/>
  <c r="P491" i="2"/>
  <c r="Q491" i="2"/>
  <c r="R491" i="2"/>
  <c r="S491" i="2"/>
  <c r="T491" i="2"/>
  <c r="U491" i="2"/>
  <c r="V491" i="2"/>
  <c r="W491" i="2"/>
  <c r="X491" i="2"/>
  <c r="N492" i="2"/>
  <c r="P492" i="2"/>
  <c r="Q492" i="2"/>
  <c r="R492" i="2"/>
  <c r="S492" i="2"/>
  <c r="T492" i="2"/>
  <c r="U492" i="2"/>
  <c r="V492" i="2"/>
  <c r="W492" i="2"/>
  <c r="X492" i="2"/>
  <c r="N493" i="2"/>
  <c r="O493" i="2"/>
  <c r="P493" i="2"/>
  <c r="Q493" i="2"/>
  <c r="R493" i="2"/>
  <c r="S493" i="2"/>
  <c r="T493" i="2"/>
  <c r="U493" i="2"/>
  <c r="V493" i="2"/>
  <c r="W493" i="2"/>
  <c r="X493" i="2"/>
  <c r="N494" i="2"/>
  <c r="O494" i="2"/>
  <c r="P494" i="2"/>
  <c r="Q494" i="2"/>
  <c r="R494" i="2"/>
  <c r="S494" i="2"/>
  <c r="T494" i="2"/>
  <c r="U494" i="2"/>
  <c r="V494" i="2"/>
  <c r="W494" i="2"/>
  <c r="X494" i="2"/>
  <c r="N495" i="2"/>
  <c r="O495" i="2"/>
  <c r="P495" i="2"/>
  <c r="Q495" i="2"/>
  <c r="R495" i="2"/>
  <c r="S495" i="2"/>
  <c r="T495" i="2"/>
  <c r="U495" i="2"/>
  <c r="V495" i="2"/>
  <c r="W495" i="2"/>
  <c r="X495" i="2"/>
  <c r="N496" i="2"/>
  <c r="O496" i="2"/>
  <c r="P496" i="2"/>
  <c r="Q496" i="2"/>
  <c r="R496" i="2"/>
  <c r="S496" i="2"/>
  <c r="T496" i="2"/>
  <c r="U496" i="2"/>
  <c r="V496" i="2"/>
  <c r="W496" i="2"/>
  <c r="X496" i="2"/>
  <c r="N497" i="2"/>
  <c r="O497" i="2"/>
  <c r="P497" i="2"/>
  <c r="Q497" i="2"/>
  <c r="R497" i="2"/>
  <c r="S497" i="2"/>
  <c r="T497" i="2"/>
  <c r="U497" i="2"/>
  <c r="V497" i="2"/>
  <c r="W497" i="2"/>
  <c r="X497" i="2"/>
  <c r="N498" i="2"/>
  <c r="O498" i="2"/>
  <c r="P498" i="2"/>
  <c r="Q498" i="2"/>
  <c r="R498" i="2"/>
  <c r="S498" i="2"/>
  <c r="T498" i="2"/>
  <c r="U498" i="2"/>
  <c r="V498" i="2"/>
  <c r="W498" i="2"/>
  <c r="X498" i="2"/>
  <c r="N499" i="2"/>
  <c r="O499" i="2"/>
  <c r="P499" i="2"/>
  <c r="Q499" i="2"/>
  <c r="R499" i="2"/>
  <c r="S499" i="2"/>
  <c r="T499" i="2"/>
  <c r="U499" i="2"/>
  <c r="V499" i="2"/>
  <c r="W499" i="2"/>
  <c r="X499" i="2"/>
  <c r="N500" i="2"/>
  <c r="O500" i="2"/>
  <c r="P500" i="2"/>
  <c r="Q500" i="2"/>
  <c r="R500" i="2"/>
  <c r="S500" i="2"/>
  <c r="T500" i="2"/>
  <c r="U500" i="2"/>
  <c r="V500" i="2"/>
  <c r="W500" i="2"/>
  <c r="X500" i="2"/>
  <c r="N501" i="2"/>
  <c r="O501" i="2"/>
  <c r="P501" i="2"/>
  <c r="Q501" i="2"/>
  <c r="R501" i="2"/>
  <c r="S501" i="2"/>
  <c r="T501" i="2"/>
  <c r="U501" i="2"/>
  <c r="V501" i="2"/>
  <c r="W501" i="2"/>
  <c r="X501" i="2"/>
  <c r="N502" i="2"/>
  <c r="O502" i="2"/>
  <c r="P502" i="2"/>
  <c r="Q502" i="2"/>
  <c r="R502" i="2"/>
  <c r="S502" i="2"/>
  <c r="T502" i="2"/>
  <c r="U502" i="2"/>
  <c r="V502" i="2"/>
  <c r="W502" i="2"/>
  <c r="X502" i="2"/>
  <c r="N503" i="2"/>
  <c r="O503" i="2"/>
  <c r="P503" i="2"/>
  <c r="Q503" i="2"/>
  <c r="R503" i="2"/>
  <c r="S503" i="2"/>
  <c r="T503" i="2"/>
  <c r="U503" i="2"/>
  <c r="V503" i="2"/>
  <c r="W503" i="2"/>
  <c r="X503" i="2"/>
  <c r="N504" i="2"/>
  <c r="O504" i="2"/>
  <c r="P504" i="2"/>
  <c r="Q504" i="2"/>
  <c r="R504" i="2"/>
  <c r="S504" i="2"/>
  <c r="T504" i="2"/>
  <c r="U504" i="2"/>
  <c r="V504" i="2"/>
  <c r="W504" i="2"/>
  <c r="X504" i="2"/>
  <c r="N505" i="2"/>
  <c r="O505" i="2"/>
  <c r="P505" i="2"/>
  <c r="Q505" i="2"/>
  <c r="R505" i="2"/>
  <c r="S505" i="2"/>
  <c r="T505" i="2"/>
  <c r="U505" i="2"/>
  <c r="V505" i="2"/>
  <c r="W505" i="2"/>
  <c r="X505" i="2"/>
  <c r="N506" i="2"/>
  <c r="O506" i="2"/>
  <c r="P506" i="2"/>
  <c r="Q506" i="2"/>
  <c r="R506" i="2"/>
  <c r="S506" i="2"/>
  <c r="T506" i="2"/>
  <c r="U506" i="2"/>
  <c r="V506" i="2"/>
  <c r="W506" i="2"/>
  <c r="X506" i="2"/>
  <c r="N507" i="2"/>
  <c r="O507" i="2"/>
  <c r="P507" i="2"/>
  <c r="Q507" i="2"/>
  <c r="R507" i="2"/>
  <c r="S507" i="2"/>
  <c r="T507" i="2"/>
  <c r="U507" i="2"/>
  <c r="V507" i="2"/>
  <c r="W507" i="2"/>
  <c r="X507" i="2"/>
  <c r="N508" i="2"/>
  <c r="O508" i="2"/>
  <c r="P508" i="2"/>
  <c r="Q508" i="2"/>
  <c r="R508" i="2"/>
  <c r="S508" i="2"/>
  <c r="T508" i="2"/>
  <c r="U508" i="2"/>
  <c r="V508" i="2"/>
  <c r="W508" i="2"/>
  <c r="X508" i="2"/>
  <c r="N509" i="2"/>
  <c r="O509" i="2"/>
  <c r="P509" i="2"/>
  <c r="Q509" i="2"/>
  <c r="R509" i="2"/>
  <c r="S509" i="2"/>
  <c r="T509" i="2"/>
  <c r="U509" i="2"/>
  <c r="V509" i="2"/>
  <c r="W509" i="2"/>
  <c r="X509" i="2"/>
  <c r="N510" i="2"/>
  <c r="O510" i="2"/>
  <c r="P510" i="2"/>
  <c r="Q510" i="2"/>
  <c r="R510" i="2"/>
  <c r="S510" i="2"/>
  <c r="T510" i="2"/>
  <c r="U510" i="2"/>
  <c r="V510" i="2"/>
  <c r="W510" i="2"/>
  <c r="X510" i="2"/>
  <c r="N511" i="2"/>
  <c r="O511" i="2"/>
  <c r="P511" i="2"/>
  <c r="Q511" i="2"/>
  <c r="R511" i="2"/>
  <c r="S511" i="2"/>
  <c r="T511" i="2"/>
  <c r="U511" i="2"/>
  <c r="V511" i="2"/>
  <c r="W511" i="2"/>
  <c r="X511" i="2"/>
  <c r="N512" i="2"/>
  <c r="O512" i="2"/>
  <c r="P512" i="2"/>
  <c r="Q512" i="2"/>
  <c r="R512" i="2"/>
  <c r="S512" i="2"/>
  <c r="T512" i="2"/>
  <c r="U512" i="2"/>
  <c r="V512" i="2"/>
  <c r="W512" i="2"/>
  <c r="X512" i="2"/>
  <c r="N513" i="2"/>
  <c r="O513" i="2"/>
  <c r="P513" i="2"/>
  <c r="Q513" i="2"/>
  <c r="R513" i="2"/>
  <c r="S513" i="2"/>
  <c r="T513" i="2"/>
  <c r="U513" i="2"/>
  <c r="V513" i="2"/>
  <c r="W513" i="2"/>
  <c r="X513" i="2"/>
  <c r="N514" i="2"/>
  <c r="O514" i="2"/>
  <c r="P514" i="2"/>
  <c r="Q514" i="2"/>
  <c r="R514" i="2"/>
  <c r="S514" i="2"/>
  <c r="T514" i="2"/>
  <c r="U514" i="2"/>
  <c r="V514" i="2"/>
  <c r="W514" i="2"/>
  <c r="X514" i="2"/>
  <c r="N515" i="2"/>
  <c r="O515" i="2"/>
  <c r="P515" i="2"/>
  <c r="Q515" i="2"/>
  <c r="R515" i="2"/>
  <c r="S515" i="2"/>
  <c r="T515" i="2"/>
  <c r="U515" i="2"/>
  <c r="V515" i="2"/>
  <c r="W515" i="2"/>
  <c r="X515" i="2"/>
  <c r="N516" i="2"/>
  <c r="O516" i="2"/>
  <c r="P516" i="2"/>
  <c r="Q516" i="2"/>
  <c r="R516" i="2"/>
  <c r="S516" i="2"/>
  <c r="T516" i="2"/>
  <c r="U516" i="2"/>
  <c r="V516" i="2"/>
  <c r="W516" i="2"/>
  <c r="X516" i="2"/>
  <c r="N517" i="2"/>
  <c r="O517" i="2"/>
  <c r="P517" i="2"/>
  <c r="Q517" i="2"/>
  <c r="R517" i="2"/>
  <c r="S517" i="2"/>
  <c r="T517" i="2"/>
  <c r="U517" i="2"/>
  <c r="V517" i="2"/>
  <c r="W517" i="2"/>
  <c r="X517" i="2"/>
  <c r="N518" i="2"/>
  <c r="O518" i="2"/>
  <c r="P518" i="2"/>
  <c r="Q518" i="2"/>
  <c r="R518" i="2"/>
  <c r="S518" i="2"/>
  <c r="T518" i="2"/>
  <c r="U518" i="2"/>
  <c r="V518" i="2"/>
  <c r="W518" i="2"/>
  <c r="X518" i="2"/>
  <c r="N519" i="2"/>
  <c r="O519" i="2"/>
  <c r="P519" i="2"/>
  <c r="Q519" i="2"/>
  <c r="R519" i="2"/>
  <c r="S519" i="2"/>
  <c r="T519" i="2"/>
  <c r="U519" i="2"/>
  <c r="V519" i="2"/>
  <c r="W519" i="2"/>
  <c r="X519" i="2"/>
  <c r="N520" i="2"/>
  <c r="O520" i="2"/>
  <c r="P520" i="2"/>
  <c r="Q520" i="2"/>
  <c r="R520" i="2"/>
  <c r="S520" i="2"/>
  <c r="T520" i="2"/>
  <c r="U520" i="2"/>
  <c r="V520" i="2"/>
  <c r="W520" i="2"/>
  <c r="X520" i="2"/>
  <c r="N521" i="2"/>
  <c r="O521" i="2"/>
  <c r="P521" i="2"/>
  <c r="Q521" i="2"/>
  <c r="R521" i="2"/>
  <c r="S521" i="2"/>
  <c r="T521" i="2"/>
  <c r="U521" i="2"/>
  <c r="V521" i="2"/>
  <c r="W521" i="2"/>
  <c r="X521" i="2"/>
  <c r="N522" i="2"/>
  <c r="O522" i="2"/>
  <c r="P522" i="2"/>
  <c r="Q522" i="2"/>
  <c r="R522" i="2"/>
  <c r="S522" i="2"/>
  <c r="T522" i="2"/>
  <c r="U522" i="2"/>
  <c r="V522" i="2"/>
  <c r="W522" i="2"/>
  <c r="X522" i="2"/>
  <c r="N523" i="2"/>
  <c r="O523" i="2"/>
  <c r="P523" i="2"/>
  <c r="Q523" i="2"/>
  <c r="R523" i="2"/>
  <c r="S523" i="2"/>
  <c r="T523" i="2"/>
  <c r="U523" i="2"/>
  <c r="V523" i="2"/>
  <c r="W523" i="2"/>
  <c r="X523" i="2"/>
  <c r="N524" i="2"/>
  <c r="O524" i="2"/>
  <c r="P524" i="2"/>
  <c r="Q524" i="2"/>
  <c r="R524" i="2"/>
  <c r="S524" i="2"/>
  <c r="T524" i="2"/>
  <c r="U524" i="2"/>
  <c r="V524" i="2"/>
  <c r="W524" i="2"/>
  <c r="X524" i="2"/>
  <c r="N525" i="2"/>
  <c r="O525" i="2"/>
  <c r="P525" i="2"/>
  <c r="Q525" i="2"/>
  <c r="R525" i="2"/>
  <c r="S525" i="2"/>
  <c r="T525" i="2"/>
  <c r="U525" i="2"/>
  <c r="V525" i="2"/>
  <c r="W525" i="2"/>
  <c r="X525" i="2"/>
  <c r="N526" i="2"/>
  <c r="O526" i="2"/>
  <c r="P526" i="2"/>
  <c r="Q526" i="2"/>
  <c r="R526" i="2"/>
  <c r="S526" i="2"/>
  <c r="T526" i="2"/>
  <c r="U526" i="2"/>
  <c r="V526" i="2"/>
  <c r="W526" i="2"/>
  <c r="X526" i="2"/>
  <c r="N527" i="2"/>
  <c r="O527" i="2"/>
  <c r="P527" i="2"/>
  <c r="Q527" i="2"/>
  <c r="R527" i="2"/>
  <c r="S527" i="2"/>
  <c r="T527" i="2"/>
  <c r="U527" i="2"/>
  <c r="V527" i="2"/>
  <c r="W527" i="2"/>
  <c r="X527" i="2"/>
  <c r="N528" i="2"/>
  <c r="O528" i="2"/>
  <c r="P528" i="2"/>
  <c r="Q528" i="2"/>
  <c r="R528" i="2"/>
  <c r="S528" i="2"/>
  <c r="T528" i="2"/>
  <c r="U528" i="2"/>
  <c r="V528" i="2"/>
  <c r="W528" i="2"/>
  <c r="X528" i="2"/>
  <c r="N529" i="2"/>
  <c r="O529" i="2"/>
  <c r="P529" i="2"/>
  <c r="Q529" i="2"/>
  <c r="R529" i="2"/>
  <c r="S529" i="2"/>
  <c r="T529" i="2"/>
  <c r="U529" i="2"/>
  <c r="V529" i="2"/>
  <c r="W529" i="2"/>
  <c r="X529" i="2"/>
  <c r="N530" i="2"/>
  <c r="O530" i="2"/>
  <c r="P530" i="2"/>
  <c r="Q530" i="2"/>
  <c r="R530" i="2"/>
  <c r="S530" i="2"/>
  <c r="T530" i="2"/>
  <c r="U530" i="2"/>
  <c r="V530" i="2"/>
  <c r="W530" i="2"/>
  <c r="X530" i="2"/>
  <c r="N531" i="2"/>
  <c r="O531" i="2"/>
  <c r="P531" i="2"/>
  <c r="Q531" i="2"/>
  <c r="R531" i="2"/>
  <c r="S531" i="2"/>
  <c r="T531" i="2"/>
  <c r="U531" i="2"/>
  <c r="V531" i="2"/>
  <c r="W531" i="2"/>
  <c r="X531" i="2"/>
  <c r="N532" i="2"/>
  <c r="O532" i="2"/>
  <c r="P532" i="2"/>
  <c r="Q532" i="2"/>
  <c r="R532" i="2"/>
  <c r="S532" i="2"/>
  <c r="T532" i="2"/>
  <c r="U532" i="2"/>
  <c r="V532" i="2"/>
  <c r="W532" i="2"/>
  <c r="X532" i="2"/>
  <c r="N533" i="2"/>
  <c r="O533" i="2"/>
  <c r="P533" i="2"/>
  <c r="Q533" i="2"/>
  <c r="R533" i="2"/>
  <c r="S533" i="2"/>
  <c r="T533" i="2"/>
  <c r="U533" i="2"/>
  <c r="V533" i="2"/>
  <c r="W533" i="2"/>
  <c r="X533" i="2"/>
  <c r="N534" i="2"/>
  <c r="O534" i="2"/>
  <c r="P534" i="2"/>
  <c r="Q534" i="2"/>
  <c r="R534" i="2"/>
  <c r="S534" i="2"/>
  <c r="T534" i="2"/>
  <c r="U534" i="2"/>
  <c r="V534" i="2"/>
  <c r="W534" i="2"/>
  <c r="X534" i="2"/>
  <c r="N535" i="2"/>
  <c r="O535" i="2"/>
  <c r="P535" i="2"/>
  <c r="Q535" i="2"/>
  <c r="R535" i="2"/>
  <c r="S535" i="2"/>
  <c r="T535" i="2"/>
  <c r="U535" i="2"/>
  <c r="V535" i="2"/>
  <c r="W535" i="2"/>
  <c r="X535" i="2"/>
  <c r="N536" i="2"/>
  <c r="O536" i="2"/>
  <c r="P536" i="2"/>
  <c r="Q536" i="2"/>
  <c r="R536" i="2"/>
  <c r="S536" i="2"/>
  <c r="T536" i="2"/>
  <c r="U536" i="2"/>
  <c r="V536" i="2"/>
  <c r="W536" i="2"/>
  <c r="X536" i="2"/>
  <c r="N537" i="2"/>
  <c r="O537" i="2"/>
  <c r="P537" i="2"/>
  <c r="Q537" i="2"/>
  <c r="R537" i="2"/>
  <c r="S537" i="2"/>
  <c r="T537" i="2"/>
  <c r="U537" i="2"/>
  <c r="V537" i="2"/>
  <c r="W537" i="2"/>
  <c r="X537" i="2"/>
  <c r="N538" i="2"/>
  <c r="O538" i="2"/>
  <c r="P538" i="2"/>
  <c r="Q538" i="2"/>
  <c r="R538" i="2"/>
  <c r="S538" i="2"/>
  <c r="T538" i="2"/>
  <c r="U538" i="2"/>
  <c r="V538" i="2"/>
  <c r="W538" i="2"/>
  <c r="X538" i="2"/>
  <c r="N539" i="2"/>
  <c r="O539" i="2"/>
  <c r="P539" i="2"/>
  <c r="Q539" i="2"/>
  <c r="R539" i="2"/>
  <c r="S539" i="2"/>
  <c r="T539" i="2"/>
  <c r="U539" i="2"/>
  <c r="V539" i="2"/>
  <c r="W539" i="2"/>
  <c r="X539" i="2"/>
  <c r="N540" i="2"/>
  <c r="O540" i="2"/>
  <c r="P540" i="2"/>
  <c r="Q540" i="2"/>
  <c r="R540" i="2"/>
  <c r="S540" i="2"/>
  <c r="T540" i="2"/>
  <c r="U540" i="2"/>
  <c r="V540" i="2"/>
  <c r="W540" i="2"/>
  <c r="X540" i="2"/>
  <c r="N541" i="2"/>
  <c r="O541" i="2"/>
  <c r="P541" i="2"/>
  <c r="Q541" i="2"/>
  <c r="R541" i="2"/>
  <c r="S541" i="2"/>
  <c r="T541" i="2"/>
  <c r="U541" i="2"/>
  <c r="V541" i="2"/>
  <c r="W541" i="2"/>
  <c r="X541" i="2"/>
  <c r="N542" i="2"/>
  <c r="O542" i="2"/>
  <c r="P542" i="2"/>
  <c r="Q542" i="2"/>
  <c r="R542" i="2"/>
  <c r="S542" i="2"/>
  <c r="T542" i="2"/>
  <c r="U542" i="2"/>
  <c r="V542" i="2"/>
  <c r="W542" i="2"/>
  <c r="X542" i="2"/>
  <c r="N543" i="2"/>
  <c r="O543" i="2"/>
  <c r="P543" i="2"/>
  <c r="Q543" i="2"/>
  <c r="R543" i="2"/>
  <c r="S543" i="2"/>
  <c r="T543" i="2"/>
  <c r="U543" i="2"/>
  <c r="V543" i="2"/>
  <c r="W543" i="2"/>
  <c r="X543" i="2"/>
  <c r="N544" i="2"/>
  <c r="O544" i="2"/>
  <c r="P544" i="2"/>
  <c r="Q544" i="2"/>
  <c r="R544" i="2"/>
  <c r="S544" i="2"/>
  <c r="T544" i="2"/>
  <c r="U544" i="2"/>
  <c r="V544" i="2"/>
  <c r="W544" i="2"/>
  <c r="X544" i="2"/>
  <c r="N545" i="2"/>
  <c r="O545" i="2"/>
  <c r="P545" i="2"/>
  <c r="Q545" i="2"/>
  <c r="R545" i="2"/>
  <c r="S545" i="2"/>
  <c r="T545" i="2"/>
  <c r="U545" i="2"/>
  <c r="V545" i="2"/>
  <c r="W545" i="2"/>
  <c r="X545" i="2"/>
  <c r="N546" i="2"/>
  <c r="O546" i="2"/>
  <c r="P546" i="2"/>
  <c r="Q546" i="2"/>
  <c r="R546" i="2"/>
  <c r="S546" i="2"/>
  <c r="T546" i="2"/>
  <c r="U546" i="2"/>
  <c r="V546" i="2"/>
  <c r="W546" i="2"/>
  <c r="X546" i="2"/>
  <c r="N547" i="2"/>
  <c r="O547" i="2"/>
  <c r="P547" i="2"/>
  <c r="Q547" i="2"/>
  <c r="R547" i="2"/>
  <c r="S547" i="2"/>
  <c r="T547" i="2"/>
  <c r="U547" i="2"/>
  <c r="V547" i="2"/>
  <c r="W547" i="2"/>
  <c r="X547" i="2"/>
  <c r="N548" i="2"/>
  <c r="O548" i="2"/>
  <c r="P548" i="2"/>
  <c r="Q548" i="2"/>
  <c r="R548" i="2"/>
  <c r="S548" i="2"/>
  <c r="T548" i="2"/>
  <c r="U548" i="2"/>
  <c r="V548" i="2"/>
  <c r="W548" i="2"/>
  <c r="X548" i="2"/>
  <c r="N549" i="2"/>
  <c r="O549" i="2"/>
  <c r="P549" i="2"/>
  <c r="Q549" i="2"/>
  <c r="R549" i="2"/>
  <c r="S549" i="2"/>
  <c r="T549" i="2"/>
  <c r="U549" i="2"/>
  <c r="V549" i="2"/>
  <c r="W549" i="2"/>
  <c r="X549" i="2"/>
  <c r="N550" i="2"/>
  <c r="O550" i="2"/>
  <c r="P550" i="2"/>
  <c r="Q550" i="2"/>
  <c r="R550" i="2"/>
  <c r="S550" i="2"/>
  <c r="T550" i="2"/>
  <c r="U550" i="2"/>
  <c r="V550" i="2"/>
  <c r="W550" i="2"/>
  <c r="X550" i="2"/>
  <c r="N551" i="2"/>
  <c r="O551" i="2"/>
  <c r="P551" i="2"/>
  <c r="Q551" i="2"/>
  <c r="R551" i="2"/>
  <c r="S551" i="2"/>
  <c r="T551" i="2"/>
  <c r="U551" i="2"/>
  <c r="V551" i="2"/>
  <c r="W551" i="2"/>
  <c r="X551" i="2"/>
  <c r="N552" i="2"/>
  <c r="O552" i="2"/>
  <c r="P552" i="2"/>
  <c r="Q552" i="2"/>
  <c r="R552" i="2"/>
  <c r="S552" i="2"/>
  <c r="T552" i="2"/>
  <c r="U552" i="2"/>
  <c r="V552" i="2"/>
  <c r="W552" i="2"/>
  <c r="X552" i="2"/>
  <c r="N553" i="2"/>
  <c r="O553" i="2"/>
  <c r="P553" i="2"/>
  <c r="Q553" i="2"/>
  <c r="R553" i="2"/>
  <c r="S553" i="2"/>
  <c r="T553" i="2"/>
  <c r="U553" i="2"/>
  <c r="V553" i="2"/>
  <c r="W553" i="2"/>
  <c r="X553" i="2"/>
  <c r="N554" i="2"/>
  <c r="O554" i="2"/>
  <c r="P554" i="2"/>
  <c r="Q554" i="2"/>
  <c r="R554" i="2"/>
  <c r="S554" i="2"/>
  <c r="T554" i="2"/>
  <c r="U554" i="2"/>
  <c r="V554" i="2"/>
  <c r="W554" i="2"/>
  <c r="X554" i="2"/>
  <c r="N555" i="2"/>
  <c r="O555" i="2"/>
  <c r="P555" i="2"/>
  <c r="Q555" i="2"/>
  <c r="R555" i="2"/>
  <c r="S555" i="2"/>
  <c r="T555" i="2"/>
  <c r="U555" i="2"/>
  <c r="V555" i="2"/>
  <c r="W555" i="2"/>
  <c r="X555" i="2"/>
  <c r="N556" i="2"/>
  <c r="O556" i="2"/>
  <c r="P556" i="2"/>
  <c r="Q556" i="2"/>
  <c r="R556" i="2"/>
  <c r="S556" i="2"/>
  <c r="T556" i="2"/>
  <c r="U556" i="2"/>
  <c r="V556" i="2"/>
  <c r="W556" i="2"/>
  <c r="X556" i="2"/>
  <c r="N557" i="2"/>
  <c r="O557" i="2"/>
  <c r="P557" i="2"/>
  <c r="Q557" i="2"/>
  <c r="R557" i="2"/>
  <c r="S557" i="2"/>
  <c r="T557" i="2"/>
  <c r="U557" i="2"/>
  <c r="V557" i="2"/>
  <c r="W557" i="2"/>
  <c r="X557" i="2"/>
  <c r="N558" i="2"/>
  <c r="O558" i="2"/>
  <c r="P558" i="2"/>
  <c r="Q558" i="2"/>
  <c r="R558" i="2"/>
  <c r="S558" i="2"/>
  <c r="T558" i="2"/>
  <c r="U558" i="2"/>
  <c r="V558" i="2"/>
  <c r="W558" i="2"/>
  <c r="X558" i="2"/>
  <c r="N559" i="2"/>
  <c r="O559" i="2"/>
  <c r="P559" i="2"/>
  <c r="Q559" i="2"/>
  <c r="R559" i="2"/>
  <c r="S559" i="2"/>
  <c r="T559" i="2"/>
  <c r="U559" i="2"/>
  <c r="V559" i="2"/>
  <c r="W559" i="2"/>
  <c r="X559" i="2"/>
  <c r="N560" i="2"/>
  <c r="O560" i="2"/>
  <c r="P560" i="2"/>
  <c r="Q560" i="2"/>
  <c r="R560" i="2"/>
  <c r="S560" i="2"/>
  <c r="T560" i="2"/>
  <c r="U560" i="2"/>
  <c r="V560" i="2"/>
  <c r="W560" i="2"/>
  <c r="X560" i="2"/>
  <c r="N561" i="2"/>
  <c r="O561" i="2"/>
  <c r="P561" i="2"/>
  <c r="Q561" i="2"/>
  <c r="R561" i="2"/>
  <c r="S561" i="2"/>
  <c r="T561" i="2"/>
  <c r="U561" i="2"/>
  <c r="V561" i="2"/>
  <c r="W561" i="2"/>
  <c r="X561" i="2"/>
  <c r="N562" i="2"/>
  <c r="O562" i="2"/>
  <c r="P562" i="2"/>
  <c r="Q562" i="2"/>
  <c r="R562" i="2"/>
  <c r="S562" i="2"/>
  <c r="T562" i="2"/>
  <c r="U562" i="2"/>
  <c r="V562" i="2"/>
  <c r="W562" i="2"/>
  <c r="X562" i="2"/>
  <c r="N563" i="2"/>
  <c r="O563" i="2"/>
  <c r="P563" i="2"/>
  <c r="Q563" i="2"/>
  <c r="R563" i="2"/>
  <c r="S563" i="2"/>
  <c r="T563" i="2"/>
  <c r="U563" i="2"/>
  <c r="V563" i="2"/>
  <c r="W563" i="2"/>
  <c r="X563" i="2"/>
  <c r="N564" i="2"/>
  <c r="O564" i="2"/>
  <c r="P564" i="2"/>
  <c r="Q564" i="2"/>
  <c r="R564" i="2"/>
  <c r="S564" i="2"/>
  <c r="T564" i="2"/>
  <c r="U564" i="2"/>
  <c r="V564" i="2"/>
  <c r="W564" i="2"/>
  <c r="X564" i="2"/>
  <c r="N565" i="2"/>
  <c r="O565" i="2"/>
  <c r="P565" i="2"/>
  <c r="Q565" i="2"/>
  <c r="R565" i="2"/>
  <c r="S565" i="2"/>
  <c r="T565" i="2"/>
  <c r="U565" i="2"/>
  <c r="V565" i="2"/>
  <c r="W565" i="2"/>
  <c r="X565" i="2"/>
  <c r="N566" i="2"/>
  <c r="O566" i="2"/>
  <c r="P566" i="2"/>
  <c r="Q566" i="2"/>
  <c r="R566" i="2"/>
  <c r="S566" i="2"/>
  <c r="T566" i="2"/>
  <c r="U566" i="2"/>
  <c r="V566" i="2"/>
  <c r="W566" i="2"/>
  <c r="X566" i="2"/>
  <c r="N567" i="2"/>
  <c r="O567" i="2"/>
  <c r="P567" i="2"/>
  <c r="Q567" i="2"/>
  <c r="R567" i="2"/>
  <c r="S567" i="2"/>
  <c r="T567" i="2"/>
  <c r="U567" i="2"/>
  <c r="V567" i="2"/>
  <c r="W567" i="2"/>
  <c r="X567" i="2"/>
  <c r="N568" i="2"/>
  <c r="O568" i="2"/>
  <c r="P568" i="2"/>
  <c r="Q568" i="2"/>
  <c r="R568" i="2"/>
  <c r="S568" i="2"/>
  <c r="T568" i="2"/>
  <c r="U568" i="2"/>
  <c r="V568" i="2"/>
  <c r="W568" i="2"/>
  <c r="X568" i="2"/>
  <c r="N569" i="2"/>
  <c r="O569" i="2"/>
  <c r="P569" i="2"/>
  <c r="Q569" i="2"/>
  <c r="R569" i="2"/>
  <c r="S569" i="2"/>
  <c r="T569" i="2"/>
  <c r="U569" i="2"/>
  <c r="V569" i="2"/>
  <c r="W569" i="2"/>
  <c r="X569" i="2"/>
  <c r="N570" i="2"/>
  <c r="O570" i="2"/>
  <c r="P570" i="2"/>
  <c r="Q570" i="2"/>
  <c r="R570" i="2"/>
  <c r="S570" i="2"/>
  <c r="T570" i="2"/>
  <c r="U570" i="2"/>
  <c r="V570" i="2"/>
  <c r="W570" i="2"/>
  <c r="X570" i="2"/>
  <c r="N571" i="2"/>
  <c r="O571" i="2"/>
  <c r="P571" i="2"/>
  <c r="Q571" i="2"/>
  <c r="R571" i="2"/>
  <c r="S571" i="2"/>
  <c r="T571" i="2"/>
  <c r="U571" i="2"/>
  <c r="V571" i="2"/>
  <c r="W571" i="2"/>
  <c r="X571" i="2"/>
  <c r="N572" i="2"/>
  <c r="O572" i="2"/>
  <c r="P572" i="2"/>
  <c r="Q572" i="2"/>
  <c r="R572" i="2"/>
  <c r="S572" i="2"/>
  <c r="T572" i="2"/>
  <c r="U572" i="2"/>
  <c r="V572" i="2"/>
  <c r="W572" i="2"/>
  <c r="X572" i="2"/>
  <c r="N573" i="2"/>
  <c r="O573" i="2"/>
  <c r="P573" i="2"/>
  <c r="Q573" i="2"/>
  <c r="R573" i="2"/>
  <c r="S573" i="2"/>
  <c r="T573" i="2"/>
  <c r="U573" i="2"/>
  <c r="V573" i="2"/>
  <c r="W573" i="2"/>
  <c r="X573" i="2"/>
  <c r="N574" i="2"/>
  <c r="O574" i="2"/>
  <c r="P574" i="2"/>
  <c r="Q574" i="2"/>
  <c r="R574" i="2"/>
  <c r="S574" i="2"/>
  <c r="T574" i="2"/>
  <c r="U574" i="2"/>
  <c r="V574" i="2"/>
  <c r="W574" i="2"/>
  <c r="X574" i="2"/>
  <c r="N575" i="2"/>
  <c r="O575" i="2"/>
  <c r="P575" i="2"/>
  <c r="Q575" i="2"/>
  <c r="R575" i="2"/>
  <c r="S575" i="2"/>
  <c r="T575" i="2"/>
  <c r="U575" i="2"/>
  <c r="V575" i="2"/>
  <c r="W575" i="2"/>
  <c r="X575" i="2"/>
  <c r="N576" i="2"/>
  <c r="O576" i="2"/>
  <c r="P576" i="2"/>
  <c r="Q576" i="2"/>
  <c r="R576" i="2"/>
  <c r="S576" i="2"/>
  <c r="T576" i="2"/>
  <c r="U576" i="2"/>
  <c r="V576" i="2"/>
  <c r="W576" i="2"/>
  <c r="X576" i="2"/>
  <c r="N577" i="2"/>
  <c r="O577" i="2"/>
  <c r="P577" i="2"/>
  <c r="Q577" i="2"/>
  <c r="R577" i="2"/>
  <c r="S577" i="2"/>
  <c r="T577" i="2"/>
  <c r="U577" i="2"/>
  <c r="V577" i="2"/>
  <c r="W577" i="2"/>
  <c r="X577" i="2"/>
  <c r="N578" i="2"/>
  <c r="O578" i="2"/>
  <c r="P578" i="2"/>
  <c r="Q578" i="2"/>
  <c r="R578" i="2"/>
  <c r="S578" i="2"/>
  <c r="T578" i="2"/>
  <c r="U578" i="2"/>
  <c r="V578" i="2"/>
  <c r="W578" i="2"/>
  <c r="X578" i="2"/>
  <c r="N579" i="2"/>
  <c r="O579" i="2"/>
  <c r="P579" i="2"/>
  <c r="Q579" i="2"/>
  <c r="R579" i="2"/>
  <c r="S579" i="2"/>
  <c r="T579" i="2"/>
  <c r="U579" i="2"/>
  <c r="V579" i="2"/>
  <c r="W579" i="2"/>
  <c r="X579" i="2"/>
  <c r="N580" i="2"/>
  <c r="O580" i="2"/>
  <c r="P580" i="2"/>
  <c r="Q580" i="2"/>
  <c r="R580" i="2"/>
  <c r="S580" i="2"/>
  <c r="T580" i="2"/>
  <c r="U580" i="2"/>
  <c r="V580" i="2"/>
  <c r="W580" i="2"/>
  <c r="X580" i="2"/>
  <c r="N581" i="2"/>
  <c r="O581" i="2"/>
  <c r="P581" i="2"/>
  <c r="Q581" i="2"/>
  <c r="R581" i="2"/>
  <c r="S581" i="2"/>
  <c r="T581" i="2"/>
  <c r="U581" i="2"/>
  <c r="V581" i="2"/>
  <c r="W581" i="2"/>
  <c r="X581" i="2"/>
  <c r="N582" i="2"/>
  <c r="O582" i="2"/>
  <c r="P582" i="2"/>
  <c r="Q582" i="2"/>
  <c r="R582" i="2"/>
  <c r="S582" i="2"/>
  <c r="T582" i="2"/>
  <c r="U582" i="2"/>
  <c r="V582" i="2"/>
  <c r="W582" i="2"/>
  <c r="X582" i="2"/>
  <c r="N583" i="2"/>
  <c r="O583" i="2"/>
  <c r="P583" i="2"/>
  <c r="Q583" i="2"/>
  <c r="R583" i="2"/>
  <c r="S583" i="2"/>
  <c r="T583" i="2"/>
  <c r="U583" i="2"/>
  <c r="V583" i="2"/>
  <c r="W583" i="2"/>
  <c r="X583" i="2"/>
  <c r="N584" i="2"/>
  <c r="O584" i="2"/>
  <c r="P584" i="2"/>
  <c r="Q584" i="2"/>
  <c r="R584" i="2"/>
  <c r="S584" i="2"/>
  <c r="T584" i="2"/>
  <c r="U584" i="2"/>
  <c r="V584" i="2"/>
  <c r="W584" i="2"/>
  <c r="X584" i="2"/>
  <c r="N585" i="2"/>
  <c r="O585" i="2"/>
  <c r="P585" i="2"/>
  <c r="Q585" i="2"/>
  <c r="R585" i="2"/>
  <c r="S585" i="2"/>
  <c r="T585" i="2"/>
  <c r="U585" i="2"/>
  <c r="V585" i="2"/>
  <c r="W585" i="2"/>
  <c r="X585" i="2"/>
  <c r="N586" i="2"/>
  <c r="O586" i="2"/>
  <c r="P586" i="2"/>
  <c r="Q586" i="2"/>
  <c r="R586" i="2"/>
  <c r="S586" i="2"/>
  <c r="T586" i="2"/>
  <c r="U586" i="2"/>
  <c r="V586" i="2"/>
  <c r="W586" i="2"/>
  <c r="X586" i="2"/>
  <c r="N587" i="2"/>
  <c r="O587" i="2"/>
  <c r="P587" i="2"/>
  <c r="Q587" i="2"/>
  <c r="R587" i="2"/>
  <c r="S587" i="2"/>
  <c r="T587" i="2"/>
  <c r="U587" i="2"/>
  <c r="V587" i="2"/>
  <c r="W587" i="2"/>
  <c r="X587" i="2"/>
  <c r="N588" i="2"/>
  <c r="O588" i="2"/>
  <c r="P588" i="2"/>
  <c r="Q588" i="2"/>
  <c r="R588" i="2"/>
  <c r="S588" i="2"/>
  <c r="T588" i="2"/>
  <c r="U588" i="2"/>
  <c r="V588" i="2"/>
  <c r="W588" i="2"/>
  <c r="X588" i="2"/>
  <c r="N589" i="2"/>
  <c r="O589" i="2"/>
  <c r="P589" i="2"/>
  <c r="Q589" i="2"/>
  <c r="R589" i="2"/>
  <c r="S589" i="2"/>
  <c r="T589" i="2"/>
  <c r="U589" i="2"/>
  <c r="V589" i="2"/>
  <c r="W589" i="2"/>
  <c r="X589" i="2"/>
  <c r="N590" i="2"/>
  <c r="O590" i="2"/>
  <c r="P590" i="2"/>
  <c r="Q590" i="2"/>
  <c r="R590" i="2"/>
  <c r="S590" i="2"/>
  <c r="T590" i="2"/>
  <c r="U590" i="2"/>
  <c r="V590" i="2"/>
  <c r="W590" i="2"/>
  <c r="X590" i="2"/>
  <c r="N591" i="2"/>
  <c r="O591" i="2"/>
  <c r="P591" i="2"/>
  <c r="Q591" i="2"/>
  <c r="R591" i="2"/>
  <c r="S591" i="2"/>
  <c r="T591" i="2"/>
  <c r="U591" i="2"/>
  <c r="V591" i="2"/>
  <c r="W591" i="2"/>
  <c r="X591" i="2"/>
  <c r="N592" i="2"/>
  <c r="O592" i="2"/>
  <c r="P592" i="2"/>
  <c r="Q592" i="2"/>
  <c r="R592" i="2"/>
  <c r="S592" i="2"/>
  <c r="T592" i="2"/>
  <c r="U592" i="2"/>
  <c r="V592" i="2"/>
  <c r="W592" i="2"/>
  <c r="X592" i="2"/>
  <c r="N593" i="2"/>
  <c r="O593" i="2"/>
  <c r="P593" i="2"/>
  <c r="Q593" i="2"/>
  <c r="R593" i="2"/>
  <c r="S593" i="2"/>
  <c r="T593" i="2"/>
  <c r="U593" i="2"/>
  <c r="V593" i="2"/>
  <c r="W593" i="2"/>
  <c r="X593" i="2"/>
  <c r="N594" i="2"/>
  <c r="O594" i="2"/>
  <c r="P594" i="2"/>
  <c r="Q594" i="2"/>
  <c r="R594" i="2"/>
  <c r="S594" i="2"/>
  <c r="T594" i="2"/>
  <c r="U594" i="2"/>
  <c r="V594" i="2"/>
  <c r="W594" i="2"/>
  <c r="X594" i="2"/>
  <c r="N595" i="2"/>
  <c r="O595" i="2"/>
  <c r="P595" i="2"/>
  <c r="Q595" i="2"/>
  <c r="R595" i="2"/>
  <c r="S595" i="2"/>
  <c r="T595" i="2"/>
  <c r="U595" i="2"/>
  <c r="V595" i="2"/>
  <c r="W595" i="2"/>
  <c r="X595" i="2"/>
  <c r="N596" i="2"/>
  <c r="O596" i="2"/>
  <c r="P596" i="2"/>
  <c r="Q596" i="2"/>
  <c r="R596" i="2"/>
  <c r="S596" i="2"/>
  <c r="T596" i="2"/>
  <c r="U596" i="2"/>
  <c r="V596" i="2"/>
  <c r="W596" i="2"/>
  <c r="X596" i="2"/>
  <c r="N597" i="2"/>
  <c r="O597" i="2"/>
  <c r="P597" i="2"/>
  <c r="Q597" i="2"/>
  <c r="R597" i="2"/>
  <c r="S597" i="2"/>
  <c r="T597" i="2"/>
  <c r="U597" i="2"/>
  <c r="V597" i="2"/>
  <c r="W597" i="2"/>
  <c r="X597" i="2"/>
  <c r="N598" i="2"/>
  <c r="O598" i="2"/>
  <c r="P598" i="2"/>
  <c r="Q598" i="2"/>
  <c r="R598" i="2"/>
  <c r="S598" i="2"/>
  <c r="T598" i="2"/>
  <c r="U598" i="2"/>
  <c r="V598" i="2"/>
  <c r="W598" i="2"/>
  <c r="X598" i="2"/>
  <c r="N599" i="2"/>
  <c r="O599" i="2"/>
  <c r="P599" i="2"/>
  <c r="Q599" i="2"/>
  <c r="R599" i="2"/>
  <c r="S599" i="2"/>
  <c r="T599" i="2"/>
  <c r="U599" i="2"/>
  <c r="V599" i="2"/>
  <c r="W599" i="2"/>
  <c r="X599" i="2"/>
  <c r="N600" i="2"/>
  <c r="O600" i="2"/>
  <c r="P600" i="2"/>
  <c r="Q600" i="2"/>
  <c r="R600" i="2"/>
  <c r="S600" i="2"/>
  <c r="T600" i="2"/>
  <c r="U600" i="2"/>
  <c r="V600" i="2"/>
  <c r="W600" i="2"/>
  <c r="X600" i="2"/>
  <c r="N601" i="2"/>
  <c r="O601" i="2"/>
  <c r="P601" i="2"/>
  <c r="Q601" i="2"/>
  <c r="R601" i="2"/>
  <c r="S601" i="2"/>
  <c r="T601" i="2"/>
  <c r="U601" i="2"/>
  <c r="V601" i="2"/>
  <c r="W601" i="2"/>
  <c r="X601" i="2"/>
  <c r="N602" i="2"/>
  <c r="O602" i="2"/>
  <c r="P602" i="2"/>
  <c r="Q602" i="2"/>
  <c r="R602" i="2"/>
  <c r="S602" i="2"/>
  <c r="T602" i="2"/>
  <c r="U602" i="2"/>
  <c r="V602" i="2"/>
  <c r="W602" i="2"/>
  <c r="X602" i="2"/>
  <c r="N603" i="2"/>
  <c r="O603" i="2"/>
  <c r="P603" i="2"/>
  <c r="Q603" i="2"/>
  <c r="R603" i="2"/>
  <c r="S603" i="2"/>
  <c r="T603" i="2"/>
  <c r="U603" i="2"/>
  <c r="V603" i="2"/>
  <c r="W603" i="2"/>
  <c r="X603" i="2"/>
  <c r="N604" i="2"/>
  <c r="O604" i="2"/>
  <c r="P604" i="2"/>
  <c r="Q604" i="2"/>
  <c r="R604" i="2"/>
  <c r="S604" i="2"/>
  <c r="T604" i="2"/>
  <c r="U604" i="2"/>
  <c r="V604" i="2"/>
  <c r="W604" i="2"/>
  <c r="X604" i="2"/>
  <c r="N605" i="2"/>
  <c r="O605" i="2"/>
  <c r="P605" i="2"/>
  <c r="Q605" i="2"/>
  <c r="R605" i="2"/>
  <c r="S605" i="2"/>
  <c r="T605" i="2"/>
  <c r="U605" i="2"/>
  <c r="V605" i="2"/>
  <c r="W605" i="2"/>
  <c r="X605" i="2"/>
  <c r="N606" i="2"/>
  <c r="O606" i="2"/>
  <c r="P606" i="2"/>
  <c r="Q606" i="2"/>
  <c r="R606" i="2"/>
  <c r="S606" i="2"/>
  <c r="T606" i="2"/>
  <c r="U606" i="2"/>
  <c r="V606" i="2"/>
  <c r="W606" i="2"/>
  <c r="X606" i="2"/>
  <c r="N607" i="2"/>
  <c r="O607" i="2"/>
  <c r="P607" i="2"/>
  <c r="Q607" i="2"/>
  <c r="R607" i="2"/>
  <c r="S607" i="2"/>
  <c r="T607" i="2"/>
  <c r="U607" i="2"/>
  <c r="V607" i="2"/>
  <c r="W607" i="2"/>
  <c r="X607" i="2"/>
  <c r="N608" i="2"/>
  <c r="O608" i="2"/>
  <c r="P608" i="2"/>
  <c r="Q608" i="2"/>
  <c r="R608" i="2"/>
  <c r="S608" i="2"/>
  <c r="T608" i="2"/>
  <c r="U608" i="2"/>
  <c r="V608" i="2"/>
  <c r="W608" i="2"/>
  <c r="X608" i="2"/>
  <c r="N609" i="2"/>
  <c r="O609" i="2"/>
  <c r="P609" i="2"/>
  <c r="Q609" i="2"/>
  <c r="R609" i="2"/>
  <c r="S609" i="2"/>
  <c r="T609" i="2"/>
  <c r="U609" i="2"/>
  <c r="V609" i="2"/>
  <c r="W609" i="2"/>
  <c r="X609" i="2"/>
  <c r="N610" i="2"/>
  <c r="O610" i="2"/>
  <c r="P610" i="2"/>
  <c r="Q610" i="2"/>
  <c r="R610" i="2"/>
  <c r="S610" i="2"/>
  <c r="T610" i="2"/>
  <c r="U610" i="2"/>
  <c r="V610" i="2"/>
  <c r="W610" i="2"/>
  <c r="X610" i="2"/>
  <c r="N611" i="2"/>
  <c r="O611" i="2"/>
  <c r="P611" i="2"/>
  <c r="Q611" i="2"/>
  <c r="R611" i="2"/>
  <c r="S611" i="2"/>
  <c r="T611" i="2"/>
  <c r="U611" i="2"/>
  <c r="V611" i="2"/>
  <c r="W611" i="2"/>
  <c r="X611" i="2"/>
  <c r="N612" i="2"/>
  <c r="O612" i="2"/>
  <c r="P612" i="2"/>
  <c r="Q612" i="2"/>
  <c r="R612" i="2"/>
  <c r="S612" i="2"/>
  <c r="T612" i="2"/>
  <c r="U612" i="2"/>
  <c r="V612" i="2"/>
  <c r="W612" i="2"/>
  <c r="X612" i="2"/>
  <c r="N613" i="2"/>
  <c r="O613" i="2"/>
  <c r="P613" i="2"/>
  <c r="Q613" i="2"/>
  <c r="R613" i="2"/>
  <c r="S613" i="2"/>
  <c r="T613" i="2"/>
  <c r="U613" i="2"/>
  <c r="V613" i="2"/>
  <c r="W613" i="2"/>
  <c r="X613" i="2"/>
  <c r="N614" i="2"/>
  <c r="O614" i="2"/>
  <c r="P614" i="2"/>
  <c r="Q614" i="2"/>
  <c r="R614" i="2"/>
  <c r="S614" i="2"/>
  <c r="T614" i="2"/>
  <c r="U614" i="2"/>
  <c r="V614" i="2"/>
  <c r="W614" i="2"/>
  <c r="X614" i="2"/>
  <c r="N615" i="2"/>
  <c r="O615" i="2"/>
  <c r="P615" i="2"/>
  <c r="Q615" i="2"/>
  <c r="R615" i="2"/>
  <c r="S615" i="2"/>
  <c r="T615" i="2"/>
  <c r="U615" i="2"/>
  <c r="V615" i="2"/>
  <c r="W615" i="2"/>
  <c r="X615" i="2"/>
  <c r="N616" i="2"/>
  <c r="O616" i="2"/>
  <c r="P616" i="2"/>
  <c r="Q616" i="2"/>
  <c r="R616" i="2"/>
  <c r="S616" i="2"/>
  <c r="T616" i="2"/>
  <c r="U616" i="2"/>
  <c r="V616" i="2"/>
  <c r="W616" i="2"/>
  <c r="X616" i="2"/>
  <c r="N617" i="2"/>
  <c r="O617" i="2"/>
  <c r="P617" i="2"/>
  <c r="Q617" i="2"/>
  <c r="R617" i="2"/>
  <c r="S617" i="2"/>
  <c r="T617" i="2"/>
  <c r="U617" i="2"/>
  <c r="V617" i="2"/>
  <c r="W617" i="2"/>
  <c r="X617" i="2"/>
  <c r="N618" i="2"/>
  <c r="O618" i="2"/>
  <c r="P618" i="2"/>
  <c r="Q618" i="2"/>
  <c r="R618" i="2"/>
  <c r="S618" i="2"/>
  <c r="T618" i="2"/>
  <c r="U618" i="2"/>
  <c r="V618" i="2"/>
  <c r="W618" i="2"/>
  <c r="X618" i="2"/>
  <c r="N619" i="2"/>
  <c r="O619" i="2"/>
  <c r="P619" i="2"/>
  <c r="Q619" i="2"/>
  <c r="R619" i="2"/>
  <c r="S619" i="2"/>
  <c r="T619" i="2"/>
  <c r="U619" i="2"/>
  <c r="V619" i="2"/>
  <c r="W619" i="2"/>
  <c r="X619" i="2"/>
  <c r="N620" i="2"/>
  <c r="O620" i="2"/>
  <c r="P620" i="2"/>
  <c r="Q620" i="2"/>
  <c r="R620" i="2"/>
  <c r="S620" i="2"/>
  <c r="T620" i="2"/>
  <c r="U620" i="2"/>
  <c r="V620" i="2"/>
  <c r="W620" i="2"/>
  <c r="X620" i="2"/>
  <c r="N621" i="2"/>
  <c r="O621" i="2"/>
  <c r="P621" i="2"/>
  <c r="Q621" i="2"/>
  <c r="R621" i="2"/>
  <c r="S621" i="2"/>
  <c r="T621" i="2"/>
  <c r="U621" i="2"/>
  <c r="V621" i="2"/>
  <c r="W621" i="2"/>
  <c r="X621" i="2"/>
  <c r="N622" i="2"/>
  <c r="O622" i="2"/>
  <c r="P622" i="2"/>
  <c r="Q622" i="2"/>
  <c r="R622" i="2"/>
  <c r="S622" i="2"/>
  <c r="T622" i="2"/>
  <c r="U622" i="2"/>
  <c r="V622" i="2"/>
  <c r="W622" i="2"/>
  <c r="X622" i="2"/>
  <c r="N623" i="2"/>
  <c r="O623" i="2"/>
  <c r="P623" i="2"/>
  <c r="Q623" i="2"/>
  <c r="R623" i="2"/>
  <c r="S623" i="2"/>
  <c r="T623" i="2"/>
  <c r="U623" i="2"/>
  <c r="V623" i="2"/>
  <c r="W623" i="2"/>
  <c r="X623" i="2"/>
  <c r="N624" i="2"/>
  <c r="O624" i="2"/>
  <c r="P624" i="2"/>
  <c r="Q624" i="2"/>
  <c r="R624" i="2"/>
  <c r="S624" i="2"/>
  <c r="T624" i="2"/>
  <c r="U624" i="2"/>
  <c r="V624" i="2"/>
  <c r="W624" i="2"/>
  <c r="X624" i="2"/>
  <c r="N625" i="2"/>
  <c r="O625" i="2"/>
  <c r="P625" i="2"/>
  <c r="Q625" i="2"/>
  <c r="R625" i="2"/>
  <c r="S625" i="2"/>
  <c r="T625" i="2"/>
  <c r="U625" i="2"/>
  <c r="V625" i="2"/>
  <c r="W625" i="2"/>
  <c r="X625" i="2"/>
  <c r="N626" i="2"/>
  <c r="O626" i="2"/>
  <c r="P626" i="2"/>
  <c r="Q626" i="2"/>
  <c r="R626" i="2"/>
  <c r="S626" i="2"/>
  <c r="T626" i="2"/>
  <c r="U626" i="2"/>
  <c r="V626" i="2"/>
  <c r="W626" i="2"/>
  <c r="X626" i="2"/>
  <c r="N627" i="2"/>
  <c r="O627" i="2"/>
  <c r="P627" i="2"/>
  <c r="Q627" i="2"/>
  <c r="R627" i="2"/>
  <c r="S627" i="2"/>
  <c r="T627" i="2"/>
  <c r="U627" i="2"/>
  <c r="V627" i="2"/>
  <c r="W627" i="2"/>
  <c r="X627" i="2"/>
  <c r="N628" i="2"/>
  <c r="O628" i="2"/>
  <c r="P628" i="2"/>
  <c r="Q628" i="2"/>
  <c r="R628" i="2"/>
  <c r="S628" i="2"/>
  <c r="T628" i="2"/>
  <c r="U628" i="2"/>
  <c r="V628" i="2"/>
  <c r="W628" i="2"/>
  <c r="X628" i="2"/>
  <c r="N629" i="2"/>
  <c r="O629" i="2"/>
  <c r="P629" i="2"/>
  <c r="Q629" i="2"/>
  <c r="R629" i="2"/>
  <c r="S629" i="2"/>
  <c r="T629" i="2"/>
  <c r="U629" i="2"/>
  <c r="V629" i="2"/>
  <c r="W629" i="2"/>
  <c r="X629" i="2"/>
  <c r="N630" i="2"/>
  <c r="O630" i="2"/>
  <c r="P630" i="2"/>
  <c r="Q630" i="2"/>
  <c r="R630" i="2"/>
  <c r="S630" i="2"/>
  <c r="T630" i="2"/>
  <c r="U630" i="2"/>
  <c r="V630" i="2"/>
  <c r="W630" i="2"/>
  <c r="X630" i="2"/>
  <c r="N631" i="2"/>
  <c r="O631" i="2"/>
  <c r="P631" i="2"/>
  <c r="Q631" i="2"/>
  <c r="R631" i="2"/>
  <c r="S631" i="2"/>
  <c r="T631" i="2"/>
  <c r="U631" i="2"/>
  <c r="V631" i="2"/>
  <c r="W631" i="2"/>
  <c r="X631" i="2"/>
  <c r="N632" i="2"/>
  <c r="O632" i="2"/>
  <c r="P632" i="2"/>
  <c r="Q632" i="2"/>
  <c r="R632" i="2"/>
  <c r="S632" i="2"/>
  <c r="T632" i="2"/>
  <c r="U632" i="2"/>
  <c r="V632" i="2"/>
  <c r="W632" i="2"/>
  <c r="X632" i="2"/>
  <c r="N633" i="2"/>
  <c r="O633" i="2"/>
  <c r="P633" i="2"/>
  <c r="Q633" i="2"/>
  <c r="R633" i="2"/>
  <c r="S633" i="2"/>
  <c r="T633" i="2"/>
  <c r="U633" i="2"/>
  <c r="V633" i="2"/>
  <c r="W633" i="2"/>
  <c r="X633" i="2"/>
  <c r="N634" i="2"/>
  <c r="O634" i="2"/>
  <c r="P634" i="2"/>
  <c r="Q634" i="2"/>
  <c r="R634" i="2"/>
  <c r="S634" i="2"/>
  <c r="T634" i="2"/>
  <c r="U634" i="2"/>
  <c r="V634" i="2"/>
  <c r="W634" i="2"/>
  <c r="X634" i="2"/>
  <c r="N635" i="2"/>
  <c r="O635" i="2"/>
  <c r="P635" i="2"/>
  <c r="Q635" i="2"/>
  <c r="R635" i="2"/>
  <c r="S635" i="2"/>
  <c r="T635" i="2"/>
  <c r="U635" i="2"/>
  <c r="V635" i="2"/>
  <c r="W635" i="2"/>
  <c r="X635" i="2"/>
  <c r="N636" i="2"/>
  <c r="O636" i="2"/>
  <c r="P636" i="2"/>
  <c r="Q636" i="2"/>
  <c r="R636" i="2"/>
  <c r="S636" i="2"/>
  <c r="T636" i="2"/>
  <c r="U636" i="2"/>
  <c r="V636" i="2"/>
  <c r="W636" i="2"/>
  <c r="X636" i="2"/>
  <c r="N637" i="2"/>
  <c r="O637" i="2"/>
  <c r="P637" i="2"/>
  <c r="Q637" i="2"/>
  <c r="R637" i="2"/>
  <c r="S637" i="2"/>
  <c r="T637" i="2"/>
  <c r="U637" i="2"/>
  <c r="V637" i="2"/>
  <c r="W637" i="2"/>
  <c r="X637" i="2"/>
  <c r="N638" i="2"/>
  <c r="O638" i="2"/>
  <c r="P638" i="2"/>
  <c r="Q638" i="2"/>
  <c r="R638" i="2"/>
  <c r="S638" i="2"/>
  <c r="T638" i="2"/>
  <c r="U638" i="2"/>
  <c r="V638" i="2"/>
  <c r="W638" i="2"/>
  <c r="X638" i="2"/>
  <c r="N639" i="2"/>
  <c r="O639" i="2"/>
  <c r="P639" i="2"/>
  <c r="Q639" i="2"/>
  <c r="R639" i="2"/>
  <c r="S639" i="2"/>
  <c r="T639" i="2"/>
  <c r="U639" i="2"/>
  <c r="V639" i="2"/>
  <c r="W639" i="2"/>
  <c r="X639" i="2"/>
  <c r="N640" i="2"/>
  <c r="O640" i="2"/>
  <c r="P640" i="2"/>
  <c r="Q640" i="2"/>
  <c r="R640" i="2"/>
  <c r="S640" i="2"/>
  <c r="T640" i="2"/>
  <c r="U640" i="2"/>
  <c r="V640" i="2"/>
  <c r="W640" i="2"/>
  <c r="X640" i="2"/>
  <c r="N641" i="2"/>
  <c r="O641" i="2"/>
  <c r="P641" i="2"/>
  <c r="Q641" i="2"/>
  <c r="R641" i="2"/>
  <c r="S641" i="2"/>
  <c r="T641" i="2"/>
  <c r="U641" i="2"/>
  <c r="V641" i="2"/>
  <c r="W641" i="2"/>
  <c r="X641" i="2"/>
  <c r="N642" i="2"/>
  <c r="O642" i="2"/>
  <c r="P642" i="2"/>
  <c r="Q642" i="2"/>
  <c r="R642" i="2"/>
  <c r="S642" i="2"/>
  <c r="T642" i="2"/>
  <c r="U642" i="2"/>
  <c r="V642" i="2"/>
  <c r="W642" i="2"/>
  <c r="X642" i="2"/>
  <c r="N643" i="2"/>
  <c r="O643" i="2"/>
  <c r="P643" i="2"/>
  <c r="Q643" i="2"/>
  <c r="R643" i="2"/>
  <c r="S643" i="2"/>
  <c r="T643" i="2"/>
  <c r="U643" i="2"/>
  <c r="V643" i="2"/>
  <c r="W643" i="2"/>
  <c r="X643" i="2"/>
  <c r="N644" i="2"/>
  <c r="O644" i="2"/>
  <c r="P644" i="2"/>
  <c r="Q644" i="2"/>
  <c r="R644" i="2"/>
  <c r="S644" i="2"/>
  <c r="T644" i="2"/>
  <c r="U644" i="2"/>
  <c r="V644" i="2"/>
  <c r="W644" i="2"/>
  <c r="X644" i="2"/>
  <c r="N645" i="2"/>
  <c r="O645" i="2"/>
  <c r="P645" i="2"/>
  <c r="Q645" i="2"/>
  <c r="R645" i="2"/>
  <c r="S645" i="2"/>
  <c r="T645" i="2"/>
  <c r="U645" i="2"/>
  <c r="V645" i="2"/>
  <c r="W645" i="2"/>
  <c r="X645" i="2"/>
  <c r="N646" i="2"/>
  <c r="O646" i="2"/>
  <c r="P646" i="2"/>
  <c r="Q646" i="2"/>
  <c r="R646" i="2"/>
  <c r="S646" i="2"/>
  <c r="T646" i="2"/>
  <c r="U646" i="2"/>
  <c r="V646" i="2"/>
  <c r="W646" i="2"/>
  <c r="X646" i="2"/>
  <c r="N647" i="2"/>
  <c r="O647" i="2"/>
  <c r="P647" i="2"/>
  <c r="Q647" i="2"/>
  <c r="R647" i="2"/>
  <c r="S647" i="2"/>
  <c r="T647" i="2"/>
  <c r="U647" i="2"/>
  <c r="V647" i="2"/>
  <c r="W647" i="2"/>
  <c r="X647" i="2"/>
  <c r="N648" i="2"/>
  <c r="O648" i="2"/>
  <c r="P648" i="2"/>
  <c r="Q648" i="2"/>
  <c r="R648" i="2"/>
  <c r="S648" i="2"/>
  <c r="T648" i="2"/>
  <c r="U648" i="2"/>
  <c r="V648" i="2"/>
  <c r="W648" i="2"/>
  <c r="X648" i="2"/>
  <c r="N649" i="2"/>
  <c r="O649" i="2"/>
  <c r="P649" i="2"/>
  <c r="Q649" i="2"/>
  <c r="R649" i="2"/>
  <c r="S649" i="2"/>
  <c r="T649" i="2"/>
  <c r="U649" i="2"/>
  <c r="V649" i="2"/>
  <c r="W649" i="2"/>
  <c r="X649" i="2"/>
  <c r="N650" i="2"/>
  <c r="O650" i="2"/>
  <c r="P650" i="2"/>
  <c r="Q650" i="2"/>
  <c r="R650" i="2"/>
  <c r="S650" i="2"/>
  <c r="T650" i="2"/>
  <c r="U650" i="2"/>
  <c r="V650" i="2"/>
  <c r="W650" i="2"/>
  <c r="X650" i="2"/>
  <c r="N651" i="2"/>
  <c r="O651" i="2"/>
  <c r="P651" i="2"/>
  <c r="Q651" i="2"/>
  <c r="R651" i="2"/>
  <c r="S651" i="2"/>
  <c r="T651" i="2"/>
  <c r="U651" i="2"/>
  <c r="V651" i="2"/>
  <c r="W651" i="2"/>
  <c r="X651" i="2"/>
  <c r="N652" i="2"/>
  <c r="O652" i="2"/>
  <c r="P652" i="2"/>
  <c r="Q652" i="2"/>
  <c r="R652" i="2"/>
  <c r="S652" i="2"/>
  <c r="T652" i="2"/>
  <c r="U652" i="2"/>
  <c r="V652" i="2"/>
  <c r="W652" i="2"/>
  <c r="X652" i="2"/>
  <c r="N653" i="2"/>
  <c r="O653" i="2"/>
  <c r="P653" i="2"/>
  <c r="Q653" i="2"/>
  <c r="R653" i="2"/>
  <c r="S653" i="2"/>
  <c r="T653" i="2"/>
  <c r="U653" i="2"/>
  <c r="V653" i="2"/>
  <c r="W653" i="2"/>
  <c r="X653" i="2"/>
  <c r="N654" i="2"/>
  <c r="O654" i="2"/>
  <c r="P654" i="2"/>
  <c r="Q654" i="2"/>
  <c r="R654" i="2"/>
  <c r="S654" i="2"/>
  <c r="T654" i="2"/>
  <c r="U654" i="2"/>
  <c r="V654" i="2"/>
  <c r="W654" i="2"/>
  <c r="X654" i="2"/>
  <c r="N655" i="2"/>
  <c r="O655" i="2"/>
  <c r="P655" i="2"/>
  <c r="Q655" i="2"/>
  <c r="R655" i="2"/>
  <c r="S655" i="2"/>
  <c r="T655" i="2"/>
  <c r="U655" i="2"/>
  <c r="V655" i="2"/>
  <c r="W655" i="2"/>
  <c r="X655" i="2"/>
  <c r="N656" i="2"/>
  <c r="O656" i="2"/>
  <c r="P656" i="2"/>
  <c r="Q656" i="2"/>
  <c r="R656" i="2"/>
  <c r="S656" i="2"/>
  <c r="T656" i="2"/>
  <c r="U656" i="2"/>
  <c r="V656" i="2"/>
  <c r="W656" i="2"/>
  <c r="X656" i="2"/>
  <c r="N657" i="2"/>
  <c r="O657" i="2"/>
  <c r="P657" i="2"/>
  <c r="Q657" i="2"/>
  <c r="R657" i="2"/>
  <c r="S657" i="2"/>
  <c r="T657" i="2"/>
  <c r="U657" i="2"/>
  <c r="V657" i="2"/>
  <c r="W657" i="2"/>
  <c r="X657" i="2"/>
  <c r="N658" i="2"/>
  <c r="O658" i="2"/>
  <c r="P658" i="2"/>
  <c r="Q658" i="2"/>
  <c r="R658" i="2"/>
  <c r="S658" i="2"/>
  <c r="T658" i="2"/>
  <c r="U658" i="2"/>
  <c r="V658" i="2"/>
  <c r="W658" i="2"/>
  <c r="X658" i="2"/>
  <c r="N659" i="2"/>
  <c r="O659" i="2"/>
  <c r="P659" i="2"/>
  <c r="Q659" i="2"/>
  <c r="R659" i="2"/>
  <c r="S659" i="2"/>
  <c r="T659" i="2"/>
  <c r="U659" i="2"/>
  <c r="V659" i="2"/>
  <c r="W659" i="2"/>
  <c r="X659" i="2"/>
  <c r="N660" i="2"/>
  <c r="O660" i="2"/>
  <c r="P660" i="2"/>
  <c r="Q660" i="2"/>
  <c r="R660" i="2"/>
  <c r="S660" i="2"/>
  <c r="T660" i="2"/>
  <c r="U660" i="2"/>
  <c r="V660" i="2"/>
  <c r="W660" i="2"/>
  <c r="X660" i="2"/>
  <c r="N661" i="2"/>
  <c r="O661" i="2"/>
  <c r="P661" i="2"/>
  <c r="Q661" i="2"/>
  <c r="R661" i="2"/>
  <c r="S661" i="2"/>
  <c r="T661" i="2"/>
  <c r="U661" i="2"/>
  <c r="V661" i="2"/>
  <c r="W661" i="2"/>
  <c r="X661" i="2"/>
  <c r="N662" i="2"/>
  <c r="O662" i="2"/>
  <c r="P662" i="2"/>
  <c r="Q662" i="2"/>
  <c r="R662" i="2"/>
  <c r="S662" i="2"/>
  <c r="T662" i="2"/>
  <c r="U662" i="2"/>
  <c r="V662" i="2"/>
  <c r="W662" i="2"/>
  <c r="X662" i="2"/>
  <c r="N663" i="2"/>
  <c r="O663" i="2"/>
  <c r="P663" i="2"/>
  <c r="Q663" i="2"/>
  <c r="R663" i="2"/>
  <c r="S663" i="2"/>
  <c r="T663" i="2"/>
  <c r="U663" i="2"/>
  <c r="V663" i="2"/>
  <c r="W663" i="2"/>
  <c r="X663" i="2"/>
  <c r="N664" i="2"/>
  <c r="O664" i="2"/>
  <c r="P664" i="2"/>
  <c r="Q664" i="2"/>
  <c r="R664" i="2"/>
  <c r="S664" i="2"/>
  <c r="T664" i="2"/>
  <c r="U664" i="2"/>
  <c r="V664" i="2"/>
  <c r="W664" i="2"/>
  <c r="X664" i="2"/>
  <c r="N665" i="2"/>
  <c r="O665" i="2"/>
  <c r="P665" i="2"/>
  <c r="Q665" i="2"/>
  <c r="R665" i="2"/>
  <c r="S665" i="2"/>
  <c r="T665" i="2"/>
  <c r="U665" i="2"/>
  <c r="V665" i="2"/>
  <c r="W665" i="2"/>
  <c r="X665" i="2"/>
  <c r="N666" i="2"/>
  <c r="O666" i="2"/>
  <c r="P666" i="2"/>
  <c r="Q666" i="2"/>
  <c r="R666" i="2"/>
  <c r="S666" i="2"/>
  <c r="T666" i="2"/>
  <c r="U666" i="2"/>
  <c r="V666" i="2"/>
  <c r="W666" i="2"/>
  <c r="X666" i="2"/>
  <c r="N667" i="2"/>
  <c r="O667" i="2"/>
  <c r="P667" i="2"/>
  <c r="Q667" i="2"/>
  <c r="R667" i="2"/>
  <c r="S667" i="2"/>
  <c r="T667" i="2"/>
  <c r="U667" i="2"/>
  <c r="V667" i="2"/>
  <c r="W667" i="2"/>
  <c r="X667" i="2"/>
  <c r="N668" i="2"/>
  <c r="O668" i="2"/>
  <c r="P668" i="2"/>
  <c r="Q668" i="2"/>
  <c r="R668" i="2"/>
  <c r="S668" i="2"/>
  <c r="T668" i="2"/>
  <c r="U668" i="2"/>
  <c r="V668" i="2"/>
  <c r="W668" i="2"/>
  <c r="X668" i="2"/>
  <c r="N669" i="2"/>
  <c r="O669" i="2"/>
  <c r="P669" i="2"/>
  <c r="Q669" i="2"/>
  <c r="R669" i="2"/>
  <c r="S669" i="2"/>
  <c r="T669" i="2"/>
  <c r="U669" i="2"/>
  <c r="V669" i="2"/>
  <c r="W669" i="2"/>
  <c r="X669" i="2"/>
  <c r="N670" i="2"/>
  <c r="O670" i="2"/>
  <c r="P670" i="2"/>
  <c r="Q670" i="2"/>
  <c r="R670" i="2"/>
  <c r="S670" i="2"/>
  <c r="T670" i="2"/>
  <c r="U670" i="2"/>
  <c r="V670" i="2"/>
  <c r="W670" i="2"/>
  <c r="X670" i="2"/>
  <c r="N671" i="2"/>
  <c r="O671" i="2"/>
  <c r="P671" i="2"/>
  <c r="Q671" i="2"/>
  <c r="R671" i="2"/>
  <c r="S671" i="2"/>
  <c r="T671" i="2"/>
  <c r="U671" i="2"/>
  <c r="V671" i="2"/>
  <c r="W671" i="2"/>
  <c r="X671" i="2"/>
  <c r="N672" i="2"/>
  <c r="O672" i="2"/>
  <c r="P672" i="2"/>
  <c r="Q672" i="2"/>
  <c r="R672" i="2"/>
  <c r="S672" i="2"/>
  <c r="T672" i="2"/>
  <c r="U672" i="2"/>
  <c r="V672" i="2"/>
  <c r="W672" i="2"/>
  <c r="X672" i="2"/>
  <c r="N673" i="2"/>
  <c r="O673" i="2"/>
  <c r="P673" i="2"/>
  <c r="Q673" i="2"/>
  <c r="R673" i="2"/>
  <c r="S673" i="2"/>
  <c r="T673" i="2"/>
  <c r="U673" i="2"/>
  <c r="V673" i="2"/>
  <c r="W673" i="2"/>
  <c r="X673" i="2"/>
  <c r="N674" i="2"/>
  <c r="O674" i="2"/>
  <c r="P674" i="2"/>
  <c r="Q674" i="2"/>
  <c r="R674" i="2"/>
  <c r="S674" i="2"/>
  <c r="T674" i="2"/>
  <c r="U674" i="2"/>
  <c r="V674" i="2"/>
  <c r="W674" i="2"/>
  <c r="X674" i="2"/>
  <c r="N675" i="2"/>
  <c r="O675" i="2"/>
  <c r="P675" i="2"/>
  <c r="Q675" i="2"/>
  <c r="R675" i="2"/>
  <c r="S675" i="2"/>
  <c r="T675" i="2"/>
  <c r="U675" i="2"/>
  <c r="V675" i="2"/>
  <c r="W675" i="2"/>
  <c r="X675" i="2"/>
  <c r="N676" i="2"/>
  <c r="O676" i="2"/>
  <c r="P676" i="2"/>
  <c r="Q676" i="2"/>
  <c r="R676" i="2"/>
  <c r="S676" i="2"/>
  <c r="T676" i="2"/>
  <c r="U676" i="2"/>
  <c r="V676" i="2"/>
  <c r="W676" i="2"/>
  <c r="X676" i="2"/>
  <c r="N677" i="2"/>
  <c r="O677" i="2"/>
  <c r="P677" i="2"/>
  <c r="Q677" i="2"/>
  <c r="R677" i="2"/>
  <c r="S677" i="2"/>
  <c r="T677" i="2"/>
  <c r="U677" i="2"/>
  <c r="V677" i="2"/>
  <c r="W677" i="2"/>
  <c r="X677" i="2"/>
  <c r="N678" i="2"/>
  <c r="O678" i="2"/>
  <c r="P678" i="2"/>
  <c r="Q678" i="2"/>
  <c r="R678" i="2"/>
  <c r="S678" i="2"/>
  <c r="T678" i="2"/>
  <c r="U678" i="2"/>
  <c r="V678" i="2"/>
  <c r="W678" i="2"/>
  <c r="X678" i="2"/>
  <c r="N679" i="2"/>
  <c r="O679" i="2"/>
  <c r="P679" i="2"/>
  <c r="Q679" i="2"/>
  <c r="R679" i="2"/>
  <c r="S679" i="2"/>
  <c r="T679" i="2"/>
  <c r="U679" i="2"/>
  <c r="V679" i="2"/>
  <c r="W679" i="2"/>
  <c r="X679" i="2"/>
  <c r="N680" i="2"/>
  <c r="O680" i="2"/>
  <c r="P680" i="2"/>
  <c r="Q680" i="2"/>
  <c r="R680" i="2"/>
  <c r="S680" i="2"/>
  <c r="T680" i="2"/>
  <c r="U680" i="2"/>
  <c r="V680" i="2"/>
  <c r="W680" i="2"/>
  <c r="X680" i="2"/>
  <c r="N681" i="2"/>
  <c r="O681" i="2"/>
  <c r="P681" i="2"/>
  <c r="Q681" i="2"/>
  <c r="R681" i="2"/>
  <c r="S681" i="2"/>
  <c r="T681" i="2"/>
  <c r="U681" i="2"/>
  <c r="V681" i="2"/>
  <c r="W681" i="2"/>
  <c r="X681" i="2"/>
  <c r="N682" i="2"/>
  <c r="O682" i="2"/>
  <c r="P682" i="2"/>
  <c r="Q682" i="2"/>
  <c r="R682" i="2"/>
  <c r="S682" i="2"/>
  <c r="T682" i="2"/>
  <c r="U682" i="2"/>
  <c r="V682" i="2"/>
  <c r="W682" i="2"/>
  <c r="X682" i="2"/>
  <c r="N683" i="2"/>
  <c r="O683" i="2"/>
  <c r="P683" i="2"/>
  <c r="Q683" i="2"/>
  <c r="R683" i="2"/>
  <c r="S683" i="2"/>
  <c r="T683" i="2"/>
  <c r="U683" i="2"/>
  <c r="V683" i="2"/>
  <c r="W683" i="2"/>
  <c r="X683" i="2"/>
  <c r="N684" i="2"/>
  <c r="O684" i="2"/>
  <c r="P684" i="2"/>
  <c r="Q684" i="2"/>
  <c r="R684" i="2"/>
  <c r="S684" i="2"/>
  <c r="T684" i="2"/>
  <c r="U684" i="2"/>
  <c r="V684" i="2"/>
  <c r="W684" i="2"/>
  <c r="X684" i="2"/>
  <c r="N685" i="2"/>
  <c r="O685" i="2"/>
  <c r="P685" i="2"/>
  <c r="Q685" i="2"/>
  <c r="R685" i="2"/>
  <c r="S685" i="2"/>
  <c r="T685" i="2"/>
  <c r="U685" i="2"/>
  <c r="V685" i="2"/>
  <c r="W685" i="2"/>
  <c r="X685" i="2"/>
  <c r="N686" i="2"/>
  <c r="O686" i="2"/>
  <c r="P686" i="2"/>
  <c r="Q686" i="2"/>
  <c r="R686" i="2"/>
  <c r="S686" i="2"/>
  <c r="T686" i="2"/>
  <c r="U686" i="2"/>
  <c r="V686" i="2"/>
  <c r="W686" i="2"/>
  <c r="X686" i="2"/>
  <c r="N687" i="2"/>
  <c r="O687" i="2"/>
  <c r="P687" i="2"/>
  <c r="Q687" i="2"/>
  <c r="R687" i="2"/>
  <c r="S687" i="2"/>
  <c r="T687" i="2"/>
  <c r="U687" i="2"/>
  <c r="V687" i="2"/>
  <c r="W687" i="2"/>
  <c r="X687" i="2"/>
  <c r="N688" i="2"/>
  <c r="O688" i="2"/>
  <c r="P688" i="2"/>
  <c r="Q688" i="2"/>
  <c r="R688" i="2"/>
  <c r="S688" i="2"/>
  <c r="T688" i="2"/>
  <c r="U688" i="2"/>
  <c r="V688" i="2"/>
  <c r="W688" i="2"/>
  <c r="X688" i="2"/>
  <c r="N689" i="2"/>
  <c r="O689" i="2"/>
  <c r="P689" i="2"/>
  <c r="Q689" i="2"/>
  <c r="R689" i="2"/>
  <c r="S689" i="2"/>
  <c r="T689" i="2"/>
  <c r="U689" i="2"/>
  <c r="V689" i="2"/>
  <c r="W689" i="2"/>
  <c r="X689" i="2"/>
  <c r="N690" i="2"/>
  <c r="O690" i="2"/>
  <c r="P690" i="2"/>
  <c r="Q690" i="2"/>
  <c r="R690" i="2"/>
  <c r="S690" i="2"/>
  <c r="T690" i="2"/>
  <c r="U690" i="2"/>
  <c r="V690" i="2"/>
  <c r="W690" i="2"/>
  <c r="X690" i="2"/>
  <c r="N691" i="2"/>
  <c r="O691" i="2"/>
  <c r="P691" i="2"/>
  <c r="Q691" i="2"/>
  <c r="R691" i="2"/>
  <c r="S691" i="2"/>
  <c r="T691" i="2"/>
  <c r="U691" i="2"/>
  <c r="V691" i="2"/>
  <c r="W691" i="2"/>
  <c r="X691" i="2"/>
  <c r="N692" i="2"/>
  <c r="O692" i="2"/>
  <c r="P692" i="2"/>
  <c r="Q692" i="2"/>
  <c r="R692" i="2"/>
  <c r="S692" i="2"/>
  <c r="T692" i="2"/>
  <c r="U692" i="2"/>
  <c r="V692" i="2"/>
  <c r="W692" i="2"/>
  <c r="X692" i="2"/>
  <c r="N693" i="2"/>
  <c r="O693" i="2"/>
  <c r="P693" i="2"/>
  <c r="Q693" i="2"/>
  <c r="R693" i="2"/>
  <c r="S693" i="2"/>
  <c r="T693" i="2"/>
  <c r="U693" i="2"/>
  <c r="V693" i="2"/>
  <c r="W693" i="2"/>
  <c r="X693" i="2"/>
  <c r="N694" i="2"/>
  <c r="O694" i="2"/>
  <c r="P694" i="2"/>
  <c r="Q694" i="2"/>
  <c r="R694" i="2"/>
  <c r="S694" i="2"/>
  <c r="T694" i="2"/>
  <c r="U694" i="2"/>
  <c r="V694" i="2"/>
  <c r="W694" i="2"/>
  <c r="X694" i="2"/>
  <c r="N695" i="2"/>
  <c r="O695" i="2"/>
  <c r="P695" i="2"/>
  <c r="Q695" i="2"/>
  <c r="R695" i="2"/>
  <c r="S695" i="2"/>
  <c r="T695" i="2"/>
  <c r="U695" i="2"/>
  <c r="V695" i="2"/>
  <c r="W695" i="2"/>
  <c r="X695" i="2"/>
  <c r="N696" i="2"/>
  <c r="O696" i="2"/>
  <c r="P696" i="2"/>
  <c r="Q696" i="2"/>
  <c r="R696" i="2"/>
  <c r="S696" i="2"/>
  <c r="T696" i="2"/>
  <c r="U696" i="2"/>
  <c r="V696" i="2"/>
  <c r="W696" i="2"/>
  <c r="X696" i="2"/>
  <c r="N697" i="2"/>
  <c r="O697" i="2"/>
  <c r="P697" i="2"/>
  <c r="Q697" i="2"/>
  <c r="R697" i="2"/>
  <c r="S697" i="2"/>
  <c r="T697" i="2"/>
  <c r="U697" i="2"/>
  <c r="V697" i="2"/>
  <c r="W697" i="2"/>
  <c r="X697" i="2"/>
  <c r="N698" i="2"/>
  <c r="O698" i="2"/>
  <c r="P698" i="2"/>
  <c r="Q698" i="2"/>
  <c r="R698" i="2"/>
  <c r="S698" i="2"/>
  <c r="T698" i="2"/>
  <c r="U698" i="2"/>
  <c r="V698" i="2"/>
  <c r="W698" i="2"/>
  <c r="X698" i="2"/>
  <c r="N699" i="2"/>
  <c r="O699" i="2"/>
  <c r="P699" i="2"/>
  <c r="Q699" i="2"/>
  <c r="R699" i="2"/>
  <c r="S699" i="2"/>
  <c r="T699" i="2"/>
  <c r="U699" i="2"/>
  <c r="V699" i="2"/>
  <c r="W699" i="2"/>
  <c r="X699" i="2"/>
  <c r="N700" i="2"/>
  <c r="O700" i="2"/>
  <c r="P700" i="2"/>
  <c r="Q700" i="2"/>
  <c r="R700" i="2"/>
  <c r="S700" i="2"/>
  <c r="T700" i="2"/>
  <c r="U700" i="2"/>
  <c r="V700" i="2"/>
  <c r="W700" i="2"/>
  <c r="X700" i="2"/>
  <c r="N701" i="2"/>
  <c r="O701" i="2"/>
  <c r="P701" i="2"/>
  <c r="Q701" i="2"/>
  <c r="R701" i="2"/>
  <c r="S701" i="2"/>
  <c r="T701" i="2"/>
  <c r="U701" i="2"/>
  <c r="V701" i="2"/>
  <c r="W701" i="2"/>
  <c r="X701" i="2"/>
  <c r="N702" i="2"/>
  <c r="O702" i="2"/>
  <c r="P702" i="2"/>
  <c r="Q702" i="2"/>
  <c r="R702" i="2"/>
  <c r="S702" i="2"/>
  <c r="T702" i="2"/>
  <c r="U702" i="2"/>
  <c r="V702" i="2"/>
  <c r="W702" i="2"/>
  <c r="X702" i="2"/>
  <c r="N703" i="2"/>
  <c r="O703" i="2"/>
  <c r="P703" i="2"/>
  <c r="Q703" i="2"/>
  <c r="R703" i="2"/>
  <c r="S703" i="2"/>
  <c r="T703" i="2"/>
  <c r="U703" i="2"/>
  <c r="V703" i="2"/>
  <c r="W703" i="2"/>
  <c r="X703" i="2"/>
  <c r="N704" i="2"/>
  <c r="O704" i="2"/>
  <c r="P704" i="2"/>
  <c r="Q704" i="2"/>
  <c r="R704" i="2"/>
  <c r="S704" i="2"/>
  <c r="T704" i="2"/>
  <c r="U704" i="2"/>
  <c r="V704" i="2"/>
  <c r="W704" i="2"/>
  <c r="X704" i="2"/>
  <c r="N705" i="2"/>
  <c r="O705" i="2"/>
  <c r="P705" i="2"/>
  <c r="Q705" i="2"/>
  <c r="R705" i="2"/>
  <c r="S705" i="2"/>
  <c r="T705" i="2"/>
  <c r="U705" i="2"/>
  <c r="V705" i="2"/>
  <c r="W705" i="2"/>
  <c r="X705" i="2"/>
  <c r="N706" i="2"/>
  <c r="O706" i="2"/>
  <c r="P706" i="2"/>
  <c r="Q706" i="2"/>
  <c r="R706" i="2"/>
  <c r="S706" i="2"/>
  <c r="T706" i="2"/>
  <c r="U706" i="2"/>
  <c r="V706" i="2"/>
  <c r="W706" i="2"/>
  <c r="X706" i="2"/>
  <c r="N707" i="2"/>
  <c r="O707" i="2"/>
  <c r="P707" i="2"/>
  <c r="Q707" i="2"/>
  <c r="R707" i="2"/>
  <c r="S707" i="2"/>
  <c r="T707" i="2"/>
  <c r="U707" i="2"/>
  <c r="V707" i="2"/>
  <c r="W707" i="2"/>
  <c r="X707" i="2"/>
  <c r="N708" i="2"/>
  <c r="O708" i="2"/>
  <c r="P708" i="2"/>
  <c r="Q708" i="2"/>
  <c r="R708" i="2"/>
  <c r="S708" i="2"/>
  <c r="T708" i="2"/>
  <c r="U708" i="2"/>
  <c r="V708" i="2"/>
  <c r="W708" i="2"/>
  <c r="X708" i="2"/>
  <c r="N709" i="2"/>
  <c r="O709" i="2"/>
  <c r="P709" i="2"/>
  <c r="Q709" i="2"/>
  <c r="R709" i="2"/>
  <c r="S709" i="2"/>
  <c r="T709" i="2"/>
  <c r="U709" i="2"/>
  <c r="V709" i="2"/>
  <c r="W709" i="2"/>
  <c r="X709" i="2"/>
  <c r="N710" i="2"/>
  <c r="O710" i="2"/>
  <c r="P710" i="2"/>
  <c r="Q710" i="2"/>
  <c r="R710" i="2"/>
  <c r="S710" i="2"/>
  <c r="T710" i="2"/>
  <c r="U710" i="2"/>
  <c r="V710" i="2"/>
  <c r="W710" i="2"/>
  <c r="X710" i="2"/>
  <c r="N711" i="2"/>
  <c r="O711" i="2"/>
  <c r="P711" i="2"/>
  <c r="Q711" i="2"/>
  <c r="R711" i="2"/>
  <c r="S711" i="2"/>
  <c r="T711" i="2"/>
  <c r="U711" i="2"/>
  <c r="V711" i="2"/>
  <c r="W711" i="2"/>
  <c r="X711" i="2"/>
  <c r="N712" i="2"/>
  <c r="O712" i="2"/>
  <c r="P712" i="2"/>
  <c r="Q712" i="2"/>
  <c r="R712" i="2"/>
  <c r="S712" i="2"/>
  <c r="T712" i="2"/>
  <c r="U712" i="2"/>
  <c r="V712" i="2"/>
  <c r="W712" i="2"/>
  <c r="X712" i="2"/>
  <c r="N713" i="2"/>
  <c r="O713" i="2"/>
  <c r="P713" i="2"/>
  <c r="Q713" i="2"/>
  <c r="R713" i="2"/>
  <c r="S713" i="2"/>
  <c r="T713" i="2"/>
  <c r="U713" i="2"/>
  <c r="V713" i="2"/>
  <c r="W713" i="2"/>
  <c r="X713" i="2"/>
  <c r="N714" i="2"/>
  <c r="O714" i="2"/>
  <c r="P714" i="2"/>
  <c r="Q714" i="2"/>
  <c r="R714" i="2"/>
  <c r="S714" i="2"/>
  <c r="T714" i="2"/>
  <c r="U714" i="2"/>
  <c r="V714" i="2"/>
  <c r="W714" i="2"/>
  <c r="X714" i="2"/>
  <c r="N715" i="2"/>
  <c r="O715" i="2"/>
  <c r="P715" i="2"/>
  <c r="Q715" i="2"/>
  <c r="R715" i="2"/>
  <c r="S715" i="2"/>
  <c r="T715" i="2"/>
  <c r="U715" i="2"/>
  <c r="V715" i="2"/>
  <c r="W715" i="2"/>
  <c r="X715" i="2"/>
  <c r="N716" i="2"/>
  <c r="O716" i="2"/>
  <c r="P716" i="2"/>
  <c r="Q716" i="2"/>
  <c r="R716" i="2"/>
  <c r="S716" i="2"/>
  <c r="T716" i="2"/>
  <c r="U716" i="2"/>
  <c r="V716" i="2"/>
  <c r="W716" i="2"/>
  <c r="X716" i="2"/>
  <c r="N717" i="2"/>
  <c r="O717" i="2"/>
  <c r="P717" i="2"/>
  <c r="Q717" i="2"/>
  <c r="R717" i="2"/>
  <c r="S717" i="2"/>
  <c r="T717" i="2"/>
  <c r="U717" i="2"/>
  <c r="V717" i="2"/>
  <c r="W717" i="2"/>
  <c r="X717" i="2"/>
  <c r="N718" i="2"/>
  <c r="O718" i="2"/>
  <c r="P718" i="2"/>
  <c r="Q718" i="2"/>
  <c r="R718" i="2"/>
  <c r="S718" i="2"/>
  <c r="T718" i="2"/>
  <c r="U718" i="2"/>
  <c r="V718" i="2"/>
  <c r="W718" i="2"/>
  <c r="X718" i="2"/>
  <c r="N719" i="2"/>
  <c r="O719" i="2"/>
  <c r="P719" i="2"/>
  <c r="Q719" i="2"/>
  <c r="R719" i="2"/>
  <c r="S719" i="2"/>
  <c r="T719" i="2"/>
  <c r="U719" i="2"/>
  <c r="V719" i="2"/>
  <c r="W719" i="2"/>
  <c r="X719" i="2"/>
  <c r="N720" i="2"/>
  <c r="O720" i="2"/>
  <c r="P720" i="2"/>
  <c r="Q720" i="2"/>
  <c r="R720" i="2"/>
  <c r="S720" i="2"/>
  <c r="T720" i="2"/>
  <c r="U720" i="2"/>
  <c r="V720" i="2"/>
  <c r="W720" i="2"/>
  <c r="X720" i="2"/>
  <c r="N721" i="2"/>
  <c r="O721" i="2"/>
  <c r="P721" i="2"/>
  <c r="Q721" i="2"/>
  <c r="R721" i="2"/>
  <c r="S721" i="2"/>
  <c r="T721" i="2"/>
  <c r="U721" i="2"/>
  <c r="V721" i="2"/>
  <c r="W721" i="2"/>
  <c r="X721" i="2"/>
  <c r="N722" i="2"/>
  <c r="O722" i="2"/>
  <c r="P722" i="2"/>
  <c r="Q722" i="2"/>
  <c r="R722" i="2"/>
  <c r="S722" i="2"/>
  <c r="T722" i="2"/>
  <c r="U722" i="2"/>
  <c r="V722" i="2"/>
  <c r="W722" i="2"/>
  <c r="X722" i="2"/>
  <c r="N723" i="2"/>
  <c r="O723" i="2"/>
  <c r="P723" i="2"/>
  <c r="Q723" i="2"/>
  <c r="R723" i="2"/>
  <c r="S723" i="2"/>
  <c r="T723" i="2"/>
  <c r="U723" i="2"/>
  <c r="V723" i="2"/>
  <c r="W723" i="2"/>
  <c r="X723" i="2"/>
  <c r="N724" i="2"/>
  <c r="O724" i="2"/>
  <c r="P724" i="2"/>
  <c r="Q724" i="2"/>
  <c r="R724" i="2"/>
  <c r="S724" i="2"/>
  <c r="T724" i="2"/>
  <c r="U724" i="2"/>
  <c r="V724" i="2"/>
  <c r="W724" i="2"/>
  <c r="X724" i="2"/>
  <c r="N725" i="2"/>
  <c r="O725" i="2"/>
  <c r="P725" i="2"/>
  <c r="Q725" i="2"/>
  <c r="R725" i="2"/>
  <c r="S725" i="2"/>
  <c r="T725" i="2"/>
  <c r="U725" i="2"/>
  <c r="V725" i="2"/>
  <c r="W725" i="2"/>
  <c r="X725" i="2"/>
  <c r="N726" i="2"/>
  <c r="O726" i="2"/>
  <c r="P726" i="2"/>
  <c r="Q726" i="2"/>
  <c r="R726" i="2"/>
  <c r="S726" i="2"/>
  <c r="T726" i="2"/>
  <c r="U726" i="2"/>
  <c r="V726" i="2"/>
  <c r="W726" i="2"/>
  <c r="X726" i="2"/>
  <c r="N727" i="2"/>
  <c r="O727" i="2"/>
  <c r="P727" i="2"/>
  <c r="Q727" i="2"/>
  <c r="R727" i="2"/>
  <c r="S727" i="2"/>
  <c r="T727" i="2"/>
  <c r="U727" i="2"/>
  <c r="V727" i="2"/>
  <c r="W727" i="2"/>
  <c r="X727" i="2"/>
  <c r="N728" i="2"/>
  <c r="O728" i="2"/>
  <c r="P728" i="2"/>
  <c r="Q728" i="2"/>
  <c r="R728" i="2"/>
  <c r="S728" i="2"/>
  <c r="T728" i="2"/>
  <c r="U728" i="2"/>
  <c r="V728" i="2"/>
  <c r="W728" i="2"/>
  <c r="X728" i="2"/>
  <c r="N729" i="2"/>
  <c r="O729" i="2"/>
  <c r="P729" i="2"/>
  <c r="Q729" i="2"/>
  <c r="R729" i="2"/>
  <c r="S729" i="2"/>
  <c r="T729" i="2"/>
  <c r="U729" i="2"/>
  <c r="V729" i="2"/>
  <c r="W729" i="2"/>
  <c r="X729" i="2"/>
  <c r="N730" i="2"/>
  <c r="O730" i="2"/>
  <c r="P730" i="2"/>
  <c r="Q730" i="2"/>
  <c r="R730" i="2"/>
  <c r="S730" i="2"/>
  <c r="T730" i="2"/>
  <c r="U730" i="2"/>
  <c r="V730" i="2"/>
  <c r="W730" i="2"/>
  <c r="X730" i="2"/>
  <c r="N731" i="2"/>
  <c r="O731" i="2"/>
  <c r="P731" i="2"/>
  <c r="Q731" i="2"/>
  <c r="R731" i="2"/>
  <c r="S731" i="2"/>
  <c r="T731" i="2"/>
  <c r="U731" i="2"/>
  <c r="V731" i="2"/>
  <c r="W731" i="2"/>
  <c r="X731" i="2"/>
  <c r="N732" i="2"/>
  <c r="O732" i="2"/>
  <c r="P732" i="2"/>
  <c r="Q732" i="2"/>
  <c r="R732" i="2"/>
  <c r="S732" i="2"/>
  <c r="T732" i="2"/>
  <c r="U732" i="2"/>
  <c r="V732" i="2"/>
  <c r="W732" i="2"/>
  <c r="X732" i="2"/>
  <c r="N733" i="2"/>
  <c r="O733" i="2"/>
  <c r="P733" i="2"/>
  <c r="Q733" i="2"/>
  <c r="R733" i="2"/>
  <c r="S733" i="2"/>
  <c r="T733" i="2"/>
  <c r="U733" i="2"/>
  <c r="V733" i="2"/>
  <c r="W733" i="2"/>
  <c r="X733" i="2"/>
  <c r="N734" i="2"/>
  <c r="O734" i="2"/>
  <c r="P734" i="2"/>
  <c r="Q734" i="2"/>
  <c r="R734" i="2"/>
  <c r="S734" i="2"/>
  <c r="T734" i="2"/>
  <c r="U734" i="2"/>
  <c r="V734" i="2"/>
  <c r="W734" i="2"/>
  <c r="X734" i="2"/>
  <c r="N735" i="2"/>
  <c r="O735" i="2"/>
  <c r="P735" i="2"/>
  <c r="Q735" i="2"/>
  <c r="R735" i="2"/>
  <c r="S735" i="2"/>
  <c r="T735" i="2"/>
  <c r="U735" i="2"/>
  <c r="V735" i="2"/>
  <c r="W735" i="2"/>
  <c r="X735" i="2"/>
  <c r="N736" i="2"/>
  <c r="O736" i="2"/>
  <c r="P736" i="2"/>
  <c r="Q736" i="2"/>
  <c r="R736" i="2"/>
  <c r="S736" i="2"/>
  <c r="T736" i="2"/>
  <c r="U736" i="2"/>
  <c r="V736" i="2"/>
  <c r="W736" i="2"/>
  <c r="X736" i="2"/>
  <c r="N737" i="2"/>
  <c r="O737" i="2"/>
  <c r="P737" i="2"/>
  <c r="Q737" i="2"/>
  <c r="R737" i="2"/>
  <c r="S737" i="2"/>
  <c r="T737" i="2"/>
  <c r="U737" i="2"/>
  <c r="V737" i="2"/>
  <c r="W737" i="2"/>
  <c r="X737" i="2"/>
  <c r="N738" i="2"/>
  <c r="O738" i="2"/>
  <c r="P738" i="2"/>
  <c r="Q738" i="2"/>
  <c r="R738" i="2"/>
  <c r="S738" i="2"/>
  <c r="T738" i="2"/>
  <c r="U738" i="2"/>
  <c r="V738" i="2"/>
  <c r="W738" i="2"/>
  <c r="X738" i="2"/>
  <c r="N739" i="2"/>
  <c r="O739" i="2"/>
  <c r="P739" i="2"/>
  <c r="Q739" i="2"/>
  <c r="R739" i="2"/>
  <c r="S739" i="2"/>
  <c r="T739" i="2"/>
  <c r="U739" i="2"/>
  <c r="V739" i="2"/>
  <c r="W739" i="2"/>
  <c r="X739" i="2"/>
  <c r="N740" i="2"/>
  <c r="O740" i="2"/>
  <c r="P740" i="2"/>
  <c r="Q740" i="2"/>
  <c r="R740" i="2"/>
  <c r="S740" i="2"/>
  <c r="T740" i="2"/>
  <c r="U740" i="2"/>
  <c r="V740" i="2"/>
  <c r="W740" i="2"/>
  <c r="X740" i="2"/>
  <c r="N741" i="2"/>
  <c r="O741" i="2"/>
  <c r="P741" i="2"/>
  <c r="Q741" i="2"/>
  <c r="R741" i="2"/>
  <c r="S741" i="2"/>
  <c r="T741" i="2"/>
  <c r="U741" i="2"/>
  <c r="V741" i="2"/>
  <c r="W741" i="2"/>
  <c r="X741" i="2"/>
  <c r="N742" i="2"/>
  <c r="O742" i="2"/>
  <c r="P742" i="2"/>
  <c r="Q742" i="2"/>
  <c r="R742" i="2"/>
  <c r="S742" i="2"/>
  <c r="T742" i="2"/>
  <c r="U742" i="2"/>
  <c r="V742" i="2"/>
  <c r="W742" i="2"/>
  <c r="X742" i="2"/>
  <c r="N743" i="2"/>
  <c r="O743" i="2"/>
  <c r="P743" i="2"/>
  <c r="Q743" i="2"/>
  <c r="R743" i="2"/>
  <c r="S743" i="2"/>
  <c r="T743" i="2"/>
  <c r="U743" i="2"/>
  <c r="V743" i="2"/>
  <c r="W743" i="2"/>
  <c r="X743" i="2"/>
  <c r="N744" i="2"/>
  <c r="O744" i="2"/>
  <c r="P744" i="2"/>
  <c r="Q744" i="2"/>
  <c r="R744" i="2"/>
  <c r="S744" i="2"/>
  <c r="T744" i="2"/>
  <c r="U744" i="2"/>
  <c r="V744" i="2"/>
  <c r="W744" i="2"/>
  <c r="X744" i="2"/>
  <c r="N745" i="2"/>
  <c r="O745" i="2"/>
  <c r="P745" i="2"/>
  <c r="Q745" i="2"/>
  <c r="R745" i="2"/>
  <c r="S745" i="2"/>
  <c r="T745" i="2"/>
  <c r="U745" i="2"/>
  <c r="V745" i="2"/>
  <c r="W745" i="2"/>
  <c r="X745" i="2"/>
  <c r="N746" i="2"/>
  <c r="O746" i="2"/>
  <c r="P746" i="2"/>
  <c r="Q746" i="2"/>
  <c r="R746" i="2"/>
  <c r="S746" i="2"/>
  <c r="T746" i="2"/>
  <c r="U746" i="2"/>
  <c r="V746" i="2"/>
  <c r="W746" i="2"/>
  <c r="X746" i="2"/>
  <c r="N747" i="2"/>
  <c r="O747" i="2"/>
  <c r="P747" i="2"/>
  <c r="Q747" i="2"/>
  <c r="R747" i="2"/>
  <c r="S747" i="2"/>
  <c r="T747" i="2"/>
  <c r="U747" i="2"/>
  <c r="V747" i="2"/>
  <c r="W747" i="2"/>
  <c r="X747" i="2"/>
  <c r="N748" i="2"/>
  <c r="O748" i="2"/>
  <c r="P748" i="2"/>
  <c r="Q748" i="2"/>
  <c r="R748" i="2"/>
  <c r="S748" i="2"/>
  <c r="T748" i="2"/>
  <c r="U748" i="2"/>
  <c r="V748" i="2"/>
  <c r="W748" i="2"/>
  <c r="X748" i="2"/>
  <c r="N749" i="2"/>
  <c r="O749" i="2"/>
  <c r="P749" i="2"/>
  <c r="Q749" i="2"/>
  <c r="R749" i="2"/>
  <c r="S749" i="2"/>
  <c r="T749" i="2"/>
  <c r="U749" i="2"/>
  <c r="V749" i="2"/>
  <c r="W749" i="2"/>
  <c r="X749" i="2"/>
  <c r="N750" i="2"/>
  <c r="O750" i="2"/>
  <c r="P750" i="2"/>
  <c r="Q750" i="2"/>
  <c r="R750" i="2"/>
  <c r="S750" i="2"/>
  <c r="T750" i="2"/>
  <c r="U750" i="2"/>
  <c r="V750" i="2"/>
  <c r="W750" i="2"/>
  <c r="X750" i="2"/>
  <c r="N751" i="2"/>
  <c r="O751" i="2"/>
  <c r="P751" i="2"/>
  <c r="Q751" i="2"/>
  <c r="R751" i="2"/>
  <c r="S751" i="2"/>
  <c r="T751" i="2"/>
  <c r="U751" i="2"/>
  <c r="V751" i="2"/>
  <c r="W751" i="2"/>
  <c r="X751" i="2"/>
  <c r="N752" i="2"/>
  <c r="O752" i="2"/>
  <c r="P752" i="2"/>
  <c r="Q752" i="2"/>
  <c r="R752" i="2"/>
  <c r="S752" i="2"/>
  <c r="T752" i="2"/>
  <c r="U752" i="2"/>
  <c r="V752" i="2"/>
  <c r="W752" i="2"/>
  <c r="X752" i="2"/>
  <c r="N753" i="2"/>
  <c r="O753" i="2"/>
  <c r="P753" i="2"/>
  <c r="Q753" i="2"/>
  <c r="R753" i="2"/>
  <c r="S753" i="2"/>
  <c r="T753" i="2"/>
  <c r="U753" i="2"/>
  <c r="V753" i="2"/>
  <c r="W753" i="2"/>
  <c r="X753" i="2"/>
  <c r="N754" i="2"/>
  <c r="O754" i="2"/>
  <c r="P754" i="2"/>
  <c r="Q754" i="2"/>
  <c r="R754" i="2"/>
  <c r="S754" i="2"/>
  <c r="T754" i="2"/>
  <c r="U754" i="2"/>
  <c r="V754" i="2"/>
  <c r="W754" i="2"/>
  <c r="X754" i="2"/>
  <c r="N755" i="2"/>
  <c r="O755" i="2"/>
  <c r="P755" i="2"/>
  <c r="Q755" i="2"/>
  <c r="R755" i="2"/>
  <c r="S755" i="2"/>
  <c r="T755" i="2"/>
  <c r="U755" i="2"/>
  <c r="V755" i="2"/>
  <c r="W755" i="2"/>
  <c r="X755" i="2"/>
  <c r="N756" i="2"/>
  <c r="O756" i="2"/>
  <c r="P756" i="2"/>
  <c r="Q756" i="2"/>
  <c r="R756" i="2"/>
  <c r="S756" i="2"/>
  <c r="T756" i="2"/>
  <c r="U756" i="2"/>
  <c r="V756" i="2"/>
  <c r="W756" i="2"/>
  <c r="X756" i="2"/>
  <c r="N757" i="2"/>
  <c r="O757" i="2"/>
  <c r="P757" i="2"/>
  <c r="Q757" i="2"/>
  <c r="R757" i="2"/>
  <c r="S757" i="2"/>
  <c r="T757" i="2"/>
  <c r="U757" i="2"/>
  <c r="V757" i="2"/>
  <c r="W757" i="2"/>
  <c r="X757" i="2"/>
  <c r="N758" i="2"/>
  <c r="O758" i="2"/>
  <c r="P758" i="2"/>
  <c r="Q758" i="2"/>
  <c r="R758" i="2"/>
  <c r="S758" i="2"/>
  <c r="T758" i="2"/>
  <c r="U758" i="2"/>
  <c r="V758" i="2"/>
  <c r="W758" i="2"/>
  <c r="X758" i="2"/>
  <c r="N759" i="2"/>
  <c r="O759" i="2"/>
  <c r="P759" i="2"/>
  <c r="Q759" i="2"/>
  <c r="R759" i="2"/>
  <c r="S759" i="2"/>
  <c r="T759" i="2"/>
  <c r="U759" i="2"/>
  <c r="V759" i="2"/>
  <c r="W759" i="2"/>
  <c r="X759" i="2"/>
  <c r="N760" i="2"/>
  <c r="O760" i="2"/>
  <c r="P760" i="2"/>
  <c r="Q760" i="2"/>
  <c r="R760" i="2"/>
  <c r="S760" i="2"/>
  <c r="T760" i="2"/>
  <c r="U760" i="2"/>
  <c r="V760" i="2"/>
  <c r="W760" i="2"/>
  <c r="X760" i="2"/>
  <c r="N761" i="2"/>
  <c r="O761" i="2"/>
  <c r="P761" i="2"/>
  <c r="Q761" i="2"/>
  <c r="R761" i="2"/>
  <c r="S761" i="2"/>
  <c r="T761" i="2"/>
  <c r="U761" i="2"/>
  <c r="V761" i="2"/>
  <c r="W761" i="2"/>
  <c r="X761" i="2"/>
  <c r="N762" i="2"/>
  <c r="O762" i="2"/>
  <c r="P762" i="2"/>
  <c r="Q762" i="2"/>
  <c r="R762" i="2"/>
  <c r="S762" i="2"/>
  <c r="T762" i="2"/>
  <c r="U762" i="2"/>
  <c r="V762" i="2"/>
  <c r="W762" i="2"/>
  <c r="X762" i="2"/>
  <c r="N763" i="2"/>
  <c r="O763" i="2"/>
  <c r="P763" i="2"/>
  <c r="Q763" i="2"/>
  <c r="R763" i="2"/>
  <c r="S763" i="2"/>
  <c r="T763" i="2"/>
  <c r="U763" i="2"/>
  <c r="V763" i="2"/>
  <c r="W763" i="2"/>
  <c r="X763" i="2"/>
  <c r="N764" i="2"/>
  <c r="O764" i="2"/>
  <c r="P764" i="2"/>
  <c r="Q764" i="2"/>
  <c r="R764" i="2"/>
  <c r="S764" i="2"/>
  <c r="T764" i="2"/>
  <c r="U764" i="2"/>
  <c r="V764" i="2"/>
  <c r="W764" i="2"/>
  <c r="X764" i="2"/>
  <c r="N765" i="2"/>
  <c r="O765" i="2"/>
  <c r="P765" i="2"/>
  <c r="Q765" i="2"/>
  <c r="R765" i="2"/>
  <c r="S765" i="2"/>
  <c r="T765" i="2"/>
  <c r="U765" i="2"/>
  <c r="V765" i="2"/>
  <c r="W765" i="2"/>
  <c r="X765" i="2"/>
  <c r="N766" i="2"/>
  <c r="O766" i="2"/>
  <c r="P766" i="2"/>
  <c r="Q766" i="2"/>
  <c r="R766" i="2"/>
  <c r="S766" i="2"/>
  <c r="T766" i="2"/>
  <c r="U766" i="2"/>
  <c r="V766" i="2"/>
  <c r="W766" i="2"/>
  <c r="X766" i="2"/>
  <c r="N767" i="2"/>
  <c r="O767" i="2"/>
  <c r="P767" i="2"/>
  <c r="Q767" i="2"/>
  <c r="R767" i="2"/>
  <c r="S767" i="2"/>
  <c r="T767" i="2"/>
  <c r="U767" i="2"/>
  <c r="V767" i="2"/>
  <c r="W767" i="2"/>
  <c r="X767" i="2"/>
  <c r="N768" i="2"/>
  <c r="O768" i="2"/>
  <c r="P768" i="2"/>
  <c r="Q768" i="2"/>
  <c r="R768" i="2"/>
  <c r="S768" i="2"/>
  <c r="T768" i="2"/>
  <c r="U768" i="2"/>
  <c r="V768" i="2"/>
  <c r="W768" i="2"/>
  <c r="X768" i="2"/>
  <c r="N769" i="2"/>
  <c r="O769" i="2"/>
  <c r="P769" i="2"/>
  <c r="Q769" i="2"/>
  <c r="R769" i="2"/>
  <c r="S769" i="2"/>
  <c r="T769" i="2"/>
  <c r="U769" i="2"/>
  <c r="V769" i="2"/>
  <c r="W769" i="2"/>
  <c r="X769" i="2"/>
  <c r="N770" i="2"/>
  <c r="O770" i="2"/>
  <c r="P770" i="2"/>
  <c r="Q770" i="2"/>
  <c r="R770" i="2"/>
  <c r="S770" i="2"/>
  <c r="T770" i="2"/>
  <c r="U770" i="2"/>
  <c r="V770" i="2"/>
  <c r="W770" i="2"/>
  <c r="X770" i="2"/>
  <c r="N771" i="2"/>
  <c r="O771" i="2"/>
  <c r="P771" i="2"/>
  <c r="Q771" i="2"/>
  <c r="R771" i="2"/>
  <c r="S771" i="2"/>
  <c r="T771" i="2"/>
  <c r="U771" i="2"/>
  <c r="V771" i="2"/>
  <c r="W771" i="2"/>
  <c r="X771" i="2"/>
  <c r="N772" i="2"/>
  <c r="O772" i="2"/>
  <c r="P772" i="2"/>
  <c r="Q772" i="2"/>
  <c r="R772" i="2"/>
  <c r="S772" i="2"/>
  <c r="T772" i="2"/>
  <c r="U772" i="2"/>
  <c r="V772" i="2"/>
  <c r="W772" i="2"/>
  <c r="X772" i="2"/>
  <c r="N773" i="2"/>
  <c r="O773" i="2"/>
  <c r="P773" i="2"/>
  <c r="Q773" i="2"/>
  <c r="R773" i="2"/>
  <c r="S773" i="2"/>
  <c r="T773" i="2"/>
  <c r="U773" i="2"/>
  <c r="V773" i="2"/>
  <c r="W773" i="2"/>
  <c r="X773" i="2"/>
  <c r="N774" i="2"/>
  <c r="O774" i="2"/>
  <c r="P774" i="2"/>
  <c r="Q774" i="2"/>
  <c r="R774" i="2"/>
  <c r="S774" i="2"/>
  <c r="T774" i="2"/>
  <c r="U774" i="2"/>
  <c r="V774" i="2"/>
  <c r="W774" i="2"/>
  <c r="X774" i="2"/>
  <c r="N775" i="2"/>
  <c r="O775" i="2"/>
  <c r="P775" i="2"/>
  <c r="Q775" i="2"/>
  <c r="R775" i="2"/>
  <c r="S775" i="2"/>
  <c r="T775" i="2"/>
  <c r="U775" i="2"/>
  <c r="V775" i="2"/>
  <c r="W775" i="2"/>
  <c r="X775" i="2"/>
  <c r="N776" i="2"/>
  <c r="O776" i="2"/>
  <c r="P776" i="2"/>
  <c r="Q776" i="2"/>
  <c r="R776" i="2"/>
  <c r="S776" i="2"/>
  <c r="T776" i="2"/>
  <c r="U776" i="2"/>
  <c r="V776" i="2"/>
  <c r="W776" i="2"/>
  <c r="X776" i="2"/>
  <c r="N777" i="2"/>
  <c r="O777" i="2"/>
  <c r="P777" i="2"/>
  <c r="Q777" i="2"/>
  <c r="R777" i="2"/>
  <c r="S777" i="2"/>
  <c r="T777" i="2"/>
  <c r="U777" i="2"/>
  <c r="V777" i="2"/>
  <c r="W777" i="2"/>
  <c r="X777" i="2"/>
  <c r="N778" i="2"/>
  <c r="O778" i="2"/>
  <c r="P778" i="2"/>
  <c r="Q778" i="2"/>
  <c r="R778" i="2"/>
  <c r="S778" i="2"/>
  <c r="T778" i="2"/>
  <c r="U778" i="2"/>
  <c r="V778" i="2"/>
  <c r="W778" i="2"/>
  <c r="X778" i="2"/>
  <c r="N779" i="2"/>
  <c r="O779" i="2"/>
  <c r="P779" i="2"/>
  <c r="Q779" i="2"/>
  <c r="R779" i="2"/>
  <c r="S779" i="2"/>
  <c r="T779" i="2"/>
  <c r="U779" i="2"/>
  <c r="V779" i="2"/>
  <c r="W779" i="2"/>
  <c r="X779" i="2"/>
  <c r="N780" i="2"/>
  <c r="O780" i="2"/>
  <c r="P780" i="2"/>
  <c r="Q780" i="2"/>
  <c r="R780" i="2"/>
  <c r="S780" i="2"/>
  <c r="T780" i="2"/>
  <c r="U780" i="2"/>
  <c r="V780" i="2"/>
  <c r="W780" i="2"/>
  <c r="X780" i="2"/>
  <c r="N781" i="2"/>
  <c r="O781" i="2"/>
  <c r="P781" i="2"/>
  <c r="Q781" i="2"/>
  <c r="R781" i="2"/>
  <c r="S781" i="2"/>
  <c r="T781" i="2"/>
  <c r="U781" i="2"/>
  <c r="V781" i="2"/>
  <c r="W781" i="2"/>
  <c r="X781" i="2"/>
  <c r="N782" i="2"/>
  <c r="O782" i="2"/>
  <c r="P782" i="2"/>
  <c r="Q782" i="2"/>
  <c r="R782" i="2"/>
  <c r="S782" i="2"/>
  <c r="T782" i="2"/>
  <c r="U782" i="2"/>
  <c r="V782" i="2"/>
  <c r="W782" i="2"/>
  <c r="X782" i="2"/>
  <c r="N783" i="2"/>
  <c r="O783" i="2"/>
  <c r="P783" i="2"/>
  <c r="Q783" i="2"/>
  <c r="R783" i="2"/>
  <c r="S783" i="2"/>
  <c r="T783" i="2"/>
  <c r="U783" i="2"/>
  <c r="V783" i="2"/>
  <c r="W783" i="2"/>
  <c r="X783" i="2"/>
  <c r="N784" i="2"/>
  <c r="O784" i="2"/>
  <c r="P784" i="2"/>
  <c r="Q784" i="2"/>
  <c r="R784" i="2"/>
  <c r="S784" i="2"/>
  <c r="T784" i="2"/>
  <c r="U784" i="2"/>
  <c r="V784" i="2"/>
  <c r="W784" i="2"/>
  <c r="X784" i="2"/>
  <c r="N785" i="2"/>
  <c r="O785" i="2"/>
  <c r="P785" i="2"/>
  <c r="Q785" i="2"/>
  <c r="R785" i="2"/>
  <c r="S785" i="2"/>
  <c r="T785" i="2"/>
  <c r="U785" i="2"/>
  <c r="V785" i="2"/>
  <c r="W785" i="2"/>
  <c r="X785" i="2"/>
  <c r="N786" i="2"/>
  <c r="O786" i="2"/>
  <c r="P786" i="2"/>
  <c r="Q786" i="2"/>
  <c r="R786" i="2"/>
  <c r="S786" i="2"/>
  <c r="T786" i="2"/>
  <c r="U786" i="2"/>
  <c r="V786" i="2"/>
  <c r="W786" i="2"/>
  <c r="X786" i="2"/>
  <c r="N787" i="2"/>
  <c r="O787" i="2"/>
  <c r="P787" i="2"/>
  <c r="Q787" i="2"/>
  <c r="R787" i="2"/>
  <c r="S787" i="2"/>
  <c r="T787" i="2"/>
  <c r="U787" i="2"/>
  <c r="V787" i="2"/>
  <c r="W787" i="2"/>
  <c r="X787" i="2"/>
  <c r="N788" i="2"/>
  <c r="O788" i="2"/>
  <c r="P788" i="2"/>
  <c r="Q788" i="2"/>
  <c r="R788" i="2"/>
  <c r="S788" i="2"/>
  <c r="T788" i="2"/>
  <c r="U788" i="2"/>
  <c r="V788" i="2"/>
  <c r="W788" i="2"/>
  <c r="X788" i="2"/>
  <c r="N789" i="2"/>
  <c r="O789" i="2"/>
  <c r="P789" i="2"/>
  <c r="Q789" i="2"/>
  <c r="R789" i="2"/>
  <c r="S789" i="2"/>
  <c r="T789" i="2"/>
  <c r="U789" i="2"/>
  <c r="V789" i="2"/>
  <c r="W789" i="2"/>
  <c r="X789" i="2"/>
  <c r="N790" i="2"/>
  <c r="O790" i="2"/>
  <c r="P790" i="2"/>
  <c r="Q790" i="2"/>
  <c r="R790" i="2"/>
  <c r="S790" i="2"/>
  <c r="T790" i="2"/>
  <c r="U790" i="2"/>
  <c r="V790" i="2"/>
  <c r="W790" i="2"/>
  <c r="X790" i="2"/>
  <c r="N791" i="2"/>
  <c r="O791" i="2"/>
  <c r="P791" i="2"/>
  <c r="Q791" i="2"/>
  <c r="R791" i="2"/>
  <c r="S791" i="2"/>
  <c r="T791" i="2"/>
  <c r="U791" i="2"/>
  <c r="V791" i="2"/>
  <c r="W791" i="2"/>
  <c r="X791" i="2"/>
  <c r="N792" i="2"/>
  <c r="O792" i="2"/>
  <c r="P792" i="2"/>
  <c r="Q792" i="2"/>
  <c r="R792" i="2"/>
  <c r="S792" i="2"/>
  <c r="T792" i="2"/>
  <c r="U792" i="2"/>
  <c r="V792" i="2"/>
  <c r="W792" i="2"/>
  <c r="X792" i="2"/>
  <c r="N793" i="2"/>
  <c r="O793" i="2"/>
  <c r="P793" i="2"/>
  <c r="Q793" i="2"/>
  <c r="R793" i="2"/>
  <c r="S793" i="2"/>
  <c r="T793" i="2"/>
  <c r="U793" i="2"/>
  <c r="V793" i="2"/>
  <c r="W793" i="2"/>
  <c r="X793" i="2"/>
  <c r="N794" i="2"/>
  <c r="O794" i="2"/>
  <c r="P794" i="2"/>
  <c r="Q794" i="2"/>
  <c r="R794" i="2"/>
  <c r="S794" i="2"/>
  <c r="T794" i="2"/>
  <c r="U794" i="2"/>
  <c r="V794" i="2"/>
  <c r="W794" i="2"/>
  <c r="X794" i="2"/>
  <c r="N795" i="2"/>
  <c r="O795" i="2"/>
  <c r="P795" i="2"/>
  <c r="Q795" i="2"/>
  <c r="R795" i="2"/>
  <c r="S795" i="2"/>
  <c r="T795" i="2"/>
  <c r="U795" i="2"/>
  <c r="V795" i="2"/>
  <c r="W795" i="2"/>
  <c r="X795" i="2"/>
  <c r="N796" i="2"/>
  <c r="O796" i="2"/>
  <c r="P796" i="2"/>
  <c r="Q796" i="2"/>
  <c r="R796" i="2"/>
  <c r="S796" i="2"/>
  <c r="T796" i="2"/>
  <c r="U796" i="2"/>
  <c r="V796" i="2"/>
  <c r="W796" i="2"/>
  <c r="X796" i="2"/>
  <c r="N797" i="2"/>
  <c r="O797" i="2"/>
  <c r="P797" i="2"/>
  <c r="Q797" i="2"/>
  <c r="R797" i="2"/>
  <c r="S797" i="2"/>
  <c r="T797" i="2"/>
  <c r="U797" i="2"/>
  <c r="V797" i="2"/>
  <c r="W797" i="2"/>
  <c r="X797" i="2"/>
  <c r="N798" i="2"/>
  <c r="O798" i="2"/>
  <c r="P798" i="2"/>
  <c r="Q798" i="2"/>
  <c r="R798" i="2"/>
  <c r="S798" i="2"/>
  <c r="T798" i="2"/>
  <c r="U798" i="2"/>
  <c r="V798" i="2"/>
  <c r="W798" i="2"/>
  <c r="X798" i="2"/>
  <c r="N799" i="2"/>
  <c r="O799" i="2"/>
  <c r="P799" i="2"/>
  <c r="Q799" i="2"/>
  <c r="R799" i="2"/>
  <c r="S799" i="2"/>
  <c r="T799" i="2"/>
  <c r="U799" i="2"/>
  <c r="V799" i="2"/>
  <c r="W799" i="2"/>
  <c r="X799" i="2"/>
  <c r="N800" i="2"/>
  <c r="O800" i="2"/>
  <c r="P800" i="2"/>
  <c r="Q800" i="2"/>
  <c r="R800" i="2"/>
  <c r="S800" i="2"/>
  <c r="T800" i="2"/>
  <c r="U800" i="2"/>
  <c r="V800" i="2"/>
  <c r="W800" i="2"/>
  <c r="X800" i="2"/>
  <c r="N801" i="2"/>
  <c r="O801" i="2"/>
  <c r="P801" i="2"/>
  <c r="Q801" i="2"/>
  <c r="R801" i="2"/>
  <c r="S801" i="2"/>
  <c r="T801" i="2"/>
  <c r="U801" i="2"/>
  <c r="V801" i="2"/>
  <c r="W801" i="2"/>
  <c r="X801" i="2"/>
  <c r="N802" i="2"/>
  <c r="O802" i="2"/>
  <c r="P802" i="2"/>
  <c r="Q802" i="2"/>
  <c r="R802" i="2"/>
  <c r="S802" i="2"/>
  <c r="T802" i="2"/>
  <c r="U802" i="2"/>
  <c r="V802" i="2"/>
  <c r="W802" i="2"/>
  <c r="X802" i="2"/>
  <c r="N803" i="2"/>
  <c r="O803" i="2"/>
  <c r="P803" i="2"/>
  <c r="Q803" i="2"/>
  <c r="R803" i="2"/>
  <c r="S803" i="2"/>
  <c r="T803" i="2"/>
  <c r="U803" i="2"/>
  <c r="V803" i="2"/>
  <c r="W803" i="2"/>
  <c r="X803" i="2"/>
  <c r="N804" i="2"/>
  <c r="O804" i="2"/>
  <c r="P804" i="2"/>
  <c r="Q804" i="2"/>
  <c r="R804" i="2"/>
  <c r="S804" i="2"/>
  <c r="T804" i="2"/>
  <c r="U804" i="2"/>
  <c r="V804" i="2"/>
  <c r="W804" i="2"/>
  <c r="X804" i="2"/>
  <c r="N805" i="2"/>
  <c r="O805" i="2"/>
  <c r="P805" i="2"/>
  <c r="Q805" i="2"/>
  <c r="R805" i="2"/>
  <c r="S805" i="2"/>
  <c r="T805" i="2"/>
  <c r="U805" i="2"/>
  <c r="V805" i="2"/>
  <c r="W805" i="2"/>
  <c r="X805" i="2"/>
  <c r="N806" i="2"/>
  <c r="O806" i="2"/>
  <c r="P806" i="2"/>
  <c r="Q806" i="2"/>
  <c r="R806" i="2"/>
  <c r="S806" i="2"/>
  <c r="T806" i="2"/>
  <c r="U806" i="2"/>
  <c r="V806" i="2"/>
  <c r="W806" i="2"/>
  <c r="X806" i="2"/>
  <c r="N807" i="2"/>
  <c r="O807" i="2"/>
  <c r="P807" i="2"/>
  <c r="Q807" i="2"/>
  <c r="R807" i="2"/>
  <c r="S807" i="2"/>
  <c r="T807" i="2"/>
  <c r="U807" i="2"/>
  <c r="V807" i="2"/>
  <c r="W807" i="2"/>
  <c r="X807" i="2"/>
  <c r="N808" i="2"/>
  <c r="O808" i="2"/>
  <c r="P808" i="2"/>
  <c r="Q808" i="2"/>
  <c r="R808" i="2"/>
  <c r="S808" i="2"/>
  <c r="T808" i="2"/>
  <c r="U808" i="2"/>
  <c r="V808" i="2"/>
  <c r="W808" i="2"/>
  <c r="X808" i="2"/>
  <c r="N809" i="2"/>
  <c r="O809" i="2"/>
  <c r="P809" i="2"/>
  <c r="Q809" i="2"/>
  <c r="R809" i="2"/>
  <c r="S809" i="2"/>
  <c r="T809" i="2"/>
  <c r="U809" i="2"/>
  <c r="V809" i="2"/>
  <c r="W809" i="2"/>
  <c r="X809" i="2"/>
  <c r="N810" i="2"/>
  <c r="O810" i="2"/>
  <c r="P810" i="2"/>
  <c r="Q810" i="2"/>
  <c r="R810" i="2"/>
  <c r="S810" i="2"/>
  <c r="T810" i="2"/>
  <c r="U810" i="2"/>
  <c r="V810" i="2"/>
  <c r="W810" i="2"/>
  <c r="X810" i="2"/>
  <c r="N811" i="2"/>
  <c r="O811" i="2"/>
  <c r="P811" i="2"/>
  <c r="Q811" i="2"/>
  <c r="R811" i="2"/>
  <c r="S811" i="2"/>
  <c r="T811" i="2"/>
  <c r="U811" i="2"/>
  <c r="V811" i="2"/>
  <c r="W811" i="2"/>
  <c r="X811" i="2"/>
  <c r="N812" i="2"/>
  <c r="O812" i="2"/>
  <c r="P812" i="2"/>
  <c r="Q812" i="2"/>
  <c r="R812" i="2"/>
  <c r="S812" i="2"/>
  <c r="T812" i="2"/>
  <c r="U812" i="2"/>
  <c r="V812" i="2"/>
  <c r="W812" i="2"/>
  <c r="X812" i="2"/>
  <c r="N813" i="2"/>
  <c r="O813" i="2"/>
  <c r="P813" i="2"/>
  <c r="Q813" i="2"/>
  <c r="R813" i="2"/>
  <c r="S813" i="2"/>
  <c r="T813" i="2"/>
  <c r="U813" i="2"/>
  <c r="V813" i="2"/>
  <c r="W813" i="2"/>
  <c r="X813" i="2"/>
  <c r="N814" i="2"/>
  <c r="O814" i="2"/>
  <c r="P814" i="2"/>
  <c r="Q814" i="2"/>
  <c r="R814" i="2"/>
  <c r="S814" i="2"/>
  <c r="T814" i="2"/>
  <c r="U814" i="2"/>
  <c r="V814" i="2"/>
  <c r="W814" i="2"/>
  <c r="X814" i="2"/>
  <c r="N815" i="2"/>
  <c r="O815" i="2"/>
  <c r="P815" i="2"/>
  <c r="Q815" i="2"/>
  <c r="R815" i="2"/>
  <c r="S815" i="2"/>
  <c r="T815" i="2"/>
  <c r="U815" i="2"/>
  <c r="V815" i="2"/>
  <c r="W815" i="2"/>
  <c r="X815" i="2"/>
  <c r="N816" i="2"/>
  <c r="O816" i="2"/>
  <c r="P816" i="2"/>
  <c r="Q816" i="2"/>
  <c r="R816" i="2"/>
  <c r="S816" i="2"/>
  <c r="T816" i="2"/>
  <c r="U816" i="2"/>
  <c r="V816" i="2"/>
  <c r="W816" i="2"/>
  <c r="X816" i="2"/>
  <c r="N817" i="2"/>
  <c r="O817" i="2"/>
  <c r="P817" i="2"/>
  <c r="Q817" i="2"/>
  <c r="R817" i="2"/>
  <c r="S817" i="2"/>
  <c r="T817" i="2"/>
  <c r="U817" i="2"/>
  <c r="V817" i="2"/>
  <c r="W817" i="2"/>
  <c r="X817" i="2"/>
  <c r="N818" i="2"/>
  <c r="O818" i="2"/>
  <c r="P818" i="2"/>
  <c r="Q818" i="2"/>
  <c r="R818" i="2"/>
  <c r="S818" i="2"/>
  <c r="T818" i="2"/>
  <c r="U818" i="2"/>
  <c r="V818" i="2"/>
  <c r="W818" i="2"/>
  <c r="X818" i="2"/>
  <c r="N819" i="2"/>
  <c r="O819" i="2"/>
  <c r="P819" i="2"/>
  <c r="Q819" i="2"/>
  <c r="R819" i="2"/>
  <c r="S819" i="2"/>
  <c r="T819" i="2"/>
  <c r="U819" i="2"/>
  <c r="V819" i="2"/>
  <c r="W819" i="2"/>
  <c r="X819" i="2"/>
  <c r="N820" i="2"/>
  <c r="O820" i="2"/>
  <c r="P820" i="2"/>
  <c r="Q820" i="2"/>
  <c r="R820" i="2"/>
  <c r="S820" i="2"/>
  <c r="T820" i="2"/>
  <c r="U820" i="2"/>
  <c r="V820" i="2"/>
  <c r="W820" i="2"/>
  <c r="X820" i="2"/>
  <c r="N821" i="2"/>
  <c r="O821" i="2"/>
  <c r="P821" i="2"/>
  <c r="Q821" i="2"/>
  <c r="R821" i="2"/>
  <c r="S821" i="2"/>
  <c r="T821" i="2"/>
  <c r="U821" i="2"/>
  <c r="V821" i="2"/>
  <c r="W821" i="2"/>
  <c r="X821" i="2"/>
  <c r="N822" i="2"/>
  <c r="O822" i="2"/>
  <c r="P822" i="2"/>
  <c r="Q822" i="2"/>
  <c r="R822" i="2"/>
  <c r="S822" i="2"/>
  <c r="T822" i="2"/>
  <c r="U822" i="2"/>
  <c r="V822" i="2"/>
  <c r="W822" i="2"/>
  <c r="X822" i="2"/>
  <c r="N823" i="2"/>
  <c r="O823" i="2"/>
  <c r="P823" i="2"/>
  <c r="Q823" i="2"/>
  <c r="R823" i="2"/>
  <c r="S823" i="2"/>
  <c r="T823" i="2"/>
  <c r="U823" i="2"/>
  <c r="V823" i="2"/>
  <c r="W823" i="2"/>
  <c r="X823" i="2"/>
  <c r="N824" i="2"/>
  <c r="O824" i="2"/>
  <c r="P824" i="2"/>
  <c r="Q824" i="2"/>
  <c r="R824" i="2"/>
  <c r="S824" i="2"/>
  <c r="T824" i="2"/>
  <c r="U824" i="2"/>
  <c r="V824" i="2"/>
  <c r="W824" i="2"/>
  <c r="X824" i="2"/>
  <c r="N825" i="2"/>
  <c r="O825" i="2"/>
  <c r="P825" i="2"/>
  <c r="Q825" i="2"/>
  <c r="R825" i="2"/>
  <c r="S825" i="2"/>
  <c r="T825" i="2"/>
  <c r="U825" i="2"/>
  <c r="V825" i="2"/>
  <c r="W825" i="2"/>
  <c r="X825" i="2"/>
  <c r="N826" i="2"/>
  <c r="O826" i="2"/>
  <c r="P826" i="2"/>
  <c r="Q826" i="2"/>
  <c r="R826" i="2"/>
  <c r="S826" i="2"/>
  <c r="T826" i="2"/>
  <c r="U826" i="2"/>
  <c r="V826" i="2"/>
  <c r="W826" i="2"/>
  <c r="X826" i="2"/>
  <c r="N827" i="2"/>
  <c r="O827" i="2"/>
  <c r="P827" i="2"/>
  <c r="Q827" i="2"/>
  <c r="R827" i="2"/>
  <c r="S827" i="2"/>
  <c r="T827" i="2"/>
  <c r="U827" i="2"/>
  <c r="V827" i="2"/>
  <c r="W827" i="2"/>
  <c r="X827" i="2"/>
  <c r="N828" i="2"/>
  <c r="O828" i="2"/>
  <c r="P828" i="2"/>
  <c r="Q828" i="2"/>
  <c r="R828" i="2"/>
  <c r="S828" i="2"/>
  <c r="T828" i="2"/>
  <c r="U828" i="2"/>
  <c r="V828" i="2"/>
  <c r="W828" i="2"/>
  <c r="X828" i="2"/>
  <c r="N829" i="2"/>
  <c r="O829" i="2"/>
  <c r="P829" i="2"/>
  <c r="Q829" i="2"/>
  <c r="R829" i="2"/>
  <c r="S829" i="2"/>
  <c r="T829" i="2"/>
  <c r="U829" i="2"/>
  <c r="V829" i="2"/>
  <c r="W829" i="2"/>
  <c r="X829" i="2"/>
  <c r="N830" i="2"/>
  <c r="O830" i="2"/>
  <c r="P830" i="2"/>
  <c r="Q830" i="2"/>
  <c r="R830" i="2"/>
  <c r="S830" i="2"/>
  <c r="T830" i="2"/>
  <c r="U830" i="2"/>
  <c r="V830" i="2"/>
  <c r="W830" i="2"/>
  <c r="X830" i="2"/>
  <c r="N831" i="2"/>
  <c r="O831" i="2"/>
  <c r="P831" i="2"/>
  <c r="Q831" i="2"/>
  <c r="R831" i="2"/>
  <c r="S831" i="2"/>
  <c r="T831" i="2"/>
  <c r="U831" i="2"/>
  <c r="V831" i="2"/>
  <c r="W831" i="2"/>
  <c r="X831" i="2"/>
  <c r="N832" i="2"/>
  <c r="O832" i="2"/>
  <c r="P832" i="2"/>
  <c r="Q832" i="2"/>
  <c r="R832" i="2"/>
  <c r="S832" i="2"/>
  <c r="T832" i="2"/>
  <c r="U832" i="2"/>
  <c r="V832" i="2"/>
  <c r="W832" i="2"/>
  <c r="X832" i="2"/>
  <c r="N833" i="2"/>
  <c r="O833" i="2"/>
  <c r="P833" i="2"/>
  <c r="Q833" i="2"/>
  <c r="R833" i="2"/>
  <c r="S833" i="2"/>
  <c r="T833" i="2"/>
  <c r="U833" i="2"/>
  <c r="V833" i="2"/>
  <c r="W833" i="2"/>
  <c r="X833" i="2"/>
  <c r="N834" i="2"/>
  <c r="O834" i="2"/>
  <c r="P834" i="2"/>
  <c r="Q834" i="2"/>
  <c r="R834" i="2"/>
  <c r="S834" i="2"/>
  <c r="T834" i="2"/>
  <c r="U834" i="2"/>
  <c r="V834" i="2"/>
  <c r="W834" i="2"/>
  <c r="X834" i="2"/>
  <c r="N835" i="2"/>
  <c r="O835" i="2"/>
  <c r="P835" i="2"/>
  <c r="Q835" i="2"/>
  <c r="R835" i="2"/>
  <c r="S835" i="2"/>
  <c r="T835" i="2"/>
  <c r="U835" i="2"/>
  <c r="V835" i="2"/>
  <c r="W835" i="2"/>
  <c r="X835" i="2"/>
  <c r="N836" i="2"/>
  <c r="O836" i="2"/>
  <c r="P836" i="2"/>
  <c r="Q836" i="2"/>
  <c r="R836" i="2"/>
  <c r="S836" i="2"/>
  <c r="T836" i="2"/>
  <c r="U836" i="2"/>
  <c r="V836" i="2"/>
  <c r="W836" i="2"/>
  <c r="X836" i="2"/>
  <c r="N837" i="2"/>
  <c r="O837" i="2"/>
  <c r="P837" i="2"/>
  <c r="Q837" i="2"/>
  <c r="R837" i="2"/>
  <c r="S837" i="2"/>
  <c r="T837" i="2"/>
  <c r="U837" i="2"/>
  <c r="V837" i="2"/>
  <c r="W837" i="2"/>
  <c r="X837" i="2"/>
  <c r="N838" i="2"/>
  <c r="O838" i="2"/>
  <c r="P838" i="2"/>
  <c r="Q838" i="2"/>
  <c r="R838" i="2"/>
  <c r="S838" i="2"/>
  <c r="T838" i="2"/>
  <c r="U838" i="2"/>
  <c r="V838" i="2"/>
  <c r="W838" i="2"/>
  <c r="X838" i="2"/>
  <c r="N839" i="2"/>
  <c r="O839" i="2"/>
  <c r="P839" i="2"/>
  <c r="Q839" i="2"/>
  <c r="R839" i="2"/>
  <c r="S839" i="2"/>
  <c r="T839" i="2"/>
  <c r="U839" i="2"/>
  <c r="V839" i="2"/>
  <c r="W839" i="2"/>
  <c r="X839" i="2"/>
  <c r="N840" i="2"/>
  <c r="O840" i="2"/>
  <c r="P840" i="2"/>
  <c r="Q840" i="2"/>
  <c r="R840" i="2"/>
  <c r="S840" i="2"/>
  <c r="T840" i="2"/>
  <c r="U840" i="2"/>
  <c r="V840" i="2"/>
  <c r="W840" i="2"/>
  <c r="X840" i="2"/>
  <c r="N841" i="2"/>
  <c r="O841" i="2"/>
  <c r="P841" i="2"/>
  <c r="Q841" i="2"/>
  <c r="R841" i="2"/>
  <c r="S841" i="2"/>
  <c r="T841" i="2"/>
  <c r="U841" i="2"/>
  <c r="V841" i="2"/>
  <c r="W841" i="2"/>
  <c r="X841" i="2"/>
  <c r="N842" i="2"/>
  <c r="O842" i="2"/>
  <c r="P842" i="2"/>
  <c r="Q842" i="2"/>
  <c r="R842" i="2"/>
  <c r="S842" i="2"/>
  <c r="T842" i="2"/>
  <c r="U842" i="2"/>
  <c r="V842" i="2"/>
  <c r="W842" i="2"/>
  <c r="X842" i="2"/>
  <c r="N843" i="2"/>
  <c r="O843" i="2"/>
  <c r="P843" i="2"/>
  <c r="Q843" i="2"/>
  <c r="R843" i="2"/>
  <c r="S843" i="2"/>
  <c r="T843" i="2"/>
  <c r="U843" i="2"/>
  <c r="V843" i="2"/>
  <c r="W843" i="2"/>
  <c r="X843" i="2"/>
  <c r="N2" i="2"/>
  <c r="O2" i="2"/>
  <c r="P2" i="2"/>
  <c r="Q2" i="2"/>
  <c r="R2" i="2"/>
  <c r="S2" i="2"/>
  <c r="T2" i="2"/>
  <c r="U2" i="2"/>
  <c r="V2" i="2"/>
  <c r="W2" i="2"/>
  <c r="X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aypoints_12-SEP-22" type="4" refreshedVersion="0" background="1">
    <webPr xml="1" sourceData="1" url="C:\Users\MY PC\Downloads\PESCO Combined HT and LT Sample Data files received by PESCO, 09JUNE2026\PESCO Combined HT and LT Sample Data files received by PESCO, 09JUNE2026\HAYATABAD-2\GPS DATA\HT\Waypoints_12-SEP-22.gpx" htmlTables="1" htmlFormat="all"/>
  </connection>
</connections>
</file>

<file path=xl/sharedStrings.xml><?xml version="1.0" encoding="utf-8"?>
<sst xmlns="http://schemas.openxmlformats.org/spreadsheetml/2006/main" count="17106" uniqueCount="752">
  <si>
    <t>creator</t>
  </si>
  <si>
    <t>version</t>
  </si>
  <si>
    <t>href</t>
  </si>
  <si>
    <t>ns1:text</t>
  </si>
  <si>
    <t>ns1:time</t>
  </si>
  <si>
    <t>lat</t>
  </si>
  <si>
    <t>lon</t>
  </si>
  <si>
    <t>ns1:ele</t>
  </si>
  <si>
    <t>ns1:name</t>
  </si>
  <si>
    <t>ns1:sym</t>
  </si>
  <si>
    <t>ns1:time2</t>
  </si>
  <si>
    <t>GPSMAP 78s</t>
  </si>
  <si>
    <t>http://www.garmin.com</t>
  </si>
  <si>
    <t>Garmin International</t>
  </si>
  <si>
    <t>2022-09-12T05:26:00Z</t>
  </si>
  <si>
    <t>2022-09-12T05:26:12Z</t>
  </si>
  <si>
    <t>2022-09-12T05:26:24Z</t>
  </si>
  <si>
    <t>2022-09-12T05:26:37Z</t>
  </si>
  <si>
    <t>2022-09-12T05:26:46Z</t>
  </si>
  <si>
    <t>2022-09-12T05:26:56Z</t>
  </si>
  <si>
    <t>2022-09-12T05:27:12Z</t>
  </si>
  <si>
    <t>2022-09-12T05:27:38Z</t>
  </si>
  <si>
    <t>2022-09-12T05:27:41Z</t>
  </si>
  <si>
    <t>2022-09-12T05:27:45Z</t>
  </si>
  <si>
    <t>2022-09-12T05:29:05Z</t>
  </si>
  <si>
    <t>2022-09-12T05:33:19Z</t>
  </si>
  <si>
    <t>2022-09-12T05:33:32Z</t>
  </si>
  <si>
    <t>2022-09-12T05:33:45Z</t>
  </si>
  <si>
    <t>2022-09-12T05:33:59Z</t>
  </si>
  <si>
    <t>2022-09-12T05:34:07Z</t>
  </si>
  <si>
    <t>2022-09-12T05:34:20Z</t>
  </si>
  <si>
    <t>2022-09-12T05:34:34Z</t>
  </si>
  <si>
    <t>2022-09-12T05:34:48Z</t>
  </si>
  <si>
    <t>2022-09-12T05:35:03Z</t>
  </si>
  <si>
    <t>2022-09-12T05:35:18Z</t>
  </si>
  <si>
    <t>2022-09-12T05:35:33Z</t>
  </si>
  <si>
    <t>2022-09-12T05:36:32Z</t>
  </si>
  <si>
    <t>2022-09-12T05:36:34Z</t>
  </si>
  <si>
    <t>2022-09-12T05:36:37Z</t>
  </si>
  <si>
    <t>2022-09-12T05:39:47Z</t>
  </si>
  <si>
    <t>2022-09-12T05:40:00Z</t>
  </si>
  <si>
    <t>2022-09-12T05:40:15Z</t>
  </si>
  <si>
    <t>2022-09-12T05:40:25Z</t>
  </si>
  <si>
    <t>2022-09-12T05:40:39Z</t>
  </si>
  <si>
    <t>2022-09-12T05:45:15Z</t>
  </si>
  <si>
    <t>2022-09-12T05:45:33Z</t>
  </si>
  <si>
    <t>2022-09-12T05:45:51Z</t>
  </si>
  <si>
    <t>2022-09-12T05:46:09Z</t>
  </si>
  <si>
    <t>2022-09-12T05:46:22Z</t>
  </si>
  <si>
    <t>2022-09-12T05:47:37Z</t>
  </si>
  <si>
    <t>2022-09-12T05:48:22Z</t>
  </si>
  <si>
    <t>2022-09-12T05:49:01Z</t>
  </si>
  <si>
    <t>2022-09-12T05:49:37Z</t>
  </si>
  <si>
    <t>2022-09-12T05:50:16Z</t>
  </si>
  <si>
    <t>2022-09-12T05:51:07Z</t>
  </si>
  <si>
    <t>2022-09-12T05:53:44Z</t>
  </si>
  <si>
    <t>2022-09-12T05:54:34Z</t>
  </si>
  <si>
    <t>2022-09-12T05:55:11Z</t>
  </si>
  <si>
    <t>2022-09-12T05:55:43Z</t>
  </si>
  <si>
    <t>2022-09-12T05:56:25Z</t>
  </si>
  <si>
    <t>2022-09-12T05:58:24Z</t>
  </si>
  <si>
    <t>Flag, Blue</t>
  </si>
  <si>
    <t>ID</t>
  </si>
  <si>
    <t>GPS_Num</t>
  </si>
  <si>
    <t>X</t>
  </si>
  <si>
    <t>Y</t>
  </si>
  <si>
    <t>Remarks</t>
  </si>
  <si>
    <t>Sub</t>
  </si>
  <si>
    <t>Feeder</t>
  </si>
  <si>
    <t>Field1</t>
  </si>
  <si>
    <t/>
  </si>
  <si>
    <t>Master</t>
  </si>
  <si>
    <t>G</t>
  </si>
  <si>
    <t>D</t>
  </si>
  <si>
    <t>M</t>
  </si>
  <si>
    <t>From GPX</t>
  </si>
  <si>
    <t>From Data Entry</t>
  </si>
  <si>
    <t>Extracted from GPX file</t>
  </si>
  <si>
    <t>P</t>
  </si>
  <si>
    <t>S</t>
  </si>
  <si>
    <t>Surveyor Group Number</t>
  </si>
  <si>
    <t>ID1</t>
  </si>
  <si>
    <t>DISCO</t>
  </si>
  <si>
    <t>Section_ID</t>
  </si>
  <si>
    <t>Sequence</t>
  </si>
  <si>
    <t>Substation_Code</t>
  </si>
  <si>
    <t>Substation</t>
  </si>
  <si>
    <t>Feeder_Code</t>
  </si>
  <si>
    <t>Survey_Date</t>
  </si>
  <si>
    <t>S_E</t>
  </si>
  <si>
    <t>GPS_WP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</si>
  <si>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</si>
  <si>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</si>
  <si>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</si>
  <si>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</si>
  <si>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</si>
  <si>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</si>
  <si>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</si>
  <si>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</si>
  <si>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</si>
  <si>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</si>
  <si>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</si>
  <si>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</si>
  <si>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</si>
  <si>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</si>
  <si>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</si>
  <si>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</si>
  <si>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</si>
  <si>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</si>
  <si>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</si>
  <si>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</si>
  <si>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</si>
  <si>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</si>
  <si>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</si>
  <si>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</si>
  <si>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</si>
  <si>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</si>
  <si>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</si>
  <si>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</si>
  <si>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</si>
  <si>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</si>
  <si>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</si>
  <si>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</si>
  <si>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</si>
  <si>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</si>
  <si>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</si>
  <si>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</si>
  <si>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</si>
  <si>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</si>
  <si>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Picture_Path</t>
  </si>
  <si>
    <t>x</t>
  </si>
  <si>
    <t>y</t>
  </si>
  <si>
    <t>ID11</t>
  </si>
  <si>
    <t>ID111</t>
  </si>
  <si>
    <t>ID1111</t>
  </si>
  <si>
    <t>PESCO</t>
  </si>
  <si>
    <t>Jamrud</t>
  </si>
  <si>
    <t>Hayatabad-2</t>
  </si>
  <si>
    <t>E</t>
  </si>
  <si>
    <t>0.4kV</t>
  </si>
  <si>
    <t>R-Y-B-N</t>
  </si>
  <si>
    <t>Secondary Distribution</t>
  </si>
  <si>
    <t>PC Ordinary</t>
  </si>
  <si>
    <t>WASP</t>
  </si>
  <si>
    <t>Secondary Pole</t>
  </si>
  <si>
    <t>T-121609223310</t>
  </si>
  <si>
    <t>Jumper</t>
  </si>
  <si>
    <t>R-Y-B</t>
  </si>
  <si>
    <t>Common</t>
  </si>
  <si>
    <t>Connected</t>
  </si>
  <si>
    <t>Climax</t>
  </si>
  <si>
    <t>St-7 /L-3</t>
  </si>
  <si>
    <t>Double pole</t>
  </si>
  <si>
    <t>Z:\GIS_Pakistan\Survey\Pictures\PESCO\Hayatabad-1\Hayatabad-2\T-121609223310.jpg</t>
  </si>
  <si>
    <t>ANT</t>
  </si>
  <si>
    <t>T-121609223361</t>
  </si>
  <si>
    <t>TTL</t>
  </si>
  <si>
    <t>St-6 / L-3</t>
  </si>
  <si>
    <t>Z:\GIS_Pakistan\Survey\Pictures\PESCO\Hayatabad-1\Hayatabad-2\T-121609223361.jpg</t>
  </si>
  <si>
    <t>T-121609223343</t>
  </si>
  <si>
    <t>11kV</t>
  </si>
  <si>
    <t>T-Power</t>
  </si>
  <si>
    <t>St-1/L-3</t>
  </si>
  <si>
    <t>Z:\GIS_Pakistan\Survey\Pictures\PESCO\Hayatabad-1\Hayatabad-2\T-121609223343.jpg</t>
  </si>
  <si>
    <t>T-12160922337</t>
  </si>
  <si>
    <t>connected</t>
  </si>
  <si>
    <t>St-2/L-3</t>
  </si>
  <si>
    <t>Z:\GIS_Pakistan\Survey\Pictures\PESCO\Hayatabad-1\Hayatabad-2\T-12160922337.jpg</t>
  </si>
  <si>
    <t>UNKNOWN</t>
  </si>
  <si>
    <t>200 T/F at St-6/L-2 Ph-3</t>
  </si>
  <si>
    <t>T-12160922317</t>
  </si>
  <si>
    <t>Hammad</t>
  </si>
  <si>
    <t>L-2/St-2 Ph-3</t>
  </si>
  <si>
    <t>Z:\GIS_Pakistan\Survey\Pictures\PESCO\Hayatabad-1\Hayatabad-2\T-12160922317.jpg</t>
  </si>
  <si>
    <t>T-12160922313</t>
  </si>
  <si>
    <t>100 T/F at St-4/L-2 Ph-3</t>
  </si>
  <si>
    <t>St-2/L-2 Ph-3</t>
  </si>
  <si>
    <t>Z:\GIS_Pakistan\Survey\Pictures\PESCO\Hayatabad-1\Hayatabad-2\T-12160922313.jpg</t>
  </si>
  <si>
    <t>R-Y-N</t>
  </si>
  <si>
    <t>T-12160922302</t>
  </si>
  <si>
    <t>Z:\GIS_Pakistan\Survey\Pictures\PESCO\Hayatabad-1\Hayatabad-2\T-12160922302.jpg</t>
  </si>
  <si>
    <t>T-12160922290</t>
  </si>
  <si>
    <t>PEL</t>
  </si>
  <si>
    <t>Z:\GIS_Pakistan\Survey\Pictures\PESCO\Hayatabad-1\Hayatabad-2\T-12160922290.jpg</t>
  </si>
  <si>
    <t>T-12160922283</t>
  </si>
  <si>
    <t>L-3 Ph-3</t>
  </si>
  <si>
    <t>Single Pole</t>
  </si>
  <si>
    <t>Z:\GIS_Pakistan\Survey\Pictures\PESCO\Hayatabad-1\Hayatabad-2\T-12160922283.jpg</t>
  </si>
  <si>
    <t>PVC 37/0.083</t>
  </si>
  <si>
    <t>T-12160922274</t>
  </si>
  <si>
    <t>St-10 / K-6</t>
  </si>
  <si>
    <t>Z:\GIS_Pakistan\Survey\Pictures\PESCO\Hayatabad-1\Hayatabad-2\T-12160922274.jpg</t>
  </si>
  <si>
    <t>T-12160922265</t>
  </si>
  <si>
    <t>Near Masjid-e-Noor Sector-K</t>
  </si>
  <si>
    <t>Z:\GIS_Pakistan\Survey\Pictures\PESCO\Hayatabad-1\Hayatabad-2\T-12160922265.jpg</t>
  </si>
  <si>
    <t>T-12160922256</t>
  </si>
  <si>
    <t>PVC 19/0.083</t>
  </si>
  <si>
    <t>50 T/F at Rohila Market</t>
  </si>
  <si>
    <t>House No.46/K-6</t>
  </si>
  <si>
    <t>Z:\GIS_Pakistan\Survey\Pictures\PESCO\Hayatabad-1\Hayatabad-2\T-12160922256.jpg</t>
  </si>
  <si>
    <t>T-12150922248</t>
  </si>
  <si>
    <t>K-5 Hayatabad</t>
  </si>
  <si>
    <t>Z:\GIS_Pakistan\Survey\Pictures\PESCO\Hayatabad-1\Hayatabad-2\T-12150922248.jpg</t>
  </si>
  <si>
    <t>T-12150922236</t>
  </si>
  <si>
    <t>T/F at St-1A K-5 near H/No.01 to17</t>
  </si>
  <si>
    <t>House No.17/L-1</t>
  </si>
  <si>
    <t>Z:\GIS_Pakistan\Survey\Pictures\PESCO\Hayatabad-1\Hayatabad-2\T-12150922236.jpg</t>
  </si>
  <si>
    <t>T-12150922222</t>
  </si>
  <si>
    <t>100 T/F at Nr H/No.53 L - 1</t>
  </si>
  <si>
    <t>200 T/F at Nr House No.32 L-2</t>
  </si>
  <si>
    <t>House No.32 / L-1</t>
  </si>
  <si>
    <t>Z:\GIS_Pakistan\Survey\Pictures\PESCO\Hayatabad-1\Hayatabad-2\T-12150922222.jpg</t>
  </si>
  <si>
    <t>T-12150922216</t>
  </si>
  <si>
    <t>Nr House No.32 / L-2</t>
  </si>
  <si>
    <t>Z:\GIS_Pakistan\Survey\Pictures\PESCO\Hayatabad-1\Hayatabad-2\T-12150922216.jpg</t>
  </si>
  <si>
    <t>T-12150922213</t>
  </si>
  <si>
    <t>Nr House No.197 St-07/L-1</t>
  </si>
  <si>
    <t>Z:\GIS_Pakistan\Survey\Pictures\PESCO\Hayatabad-1\Hayatabad-2\T-12150922213.jpg</t>
  </si>
  <si>
    <t>T-12150922199</t>
  </si>
  <si>
    <t>Nr St-3/L-1 Park</t>
  </si>
  <si>
    <t>Z:\GIS_Pakistan\Survey\Pictures\PESCO\Hayatabad-1\Hayatabad-2\T-12150922199.jpg</t>
  </si>
  <si>
    <t>200 T/F at St-03 Sector L-2 Ph-3</t>
  </si>
  <si>
    <t xml:space="preserve">Steel Structure </t>
  </si>
  <si>
    <t>T-12150922186</t>
  </si>
  <si>
    <t>House No.190/L-1</t>
  </si>
  <si>
    <t>Z:\GIS_Pakistan\Survey\Pictures\PESCO\Hayatabad-1\Hayatabad-2\T-12150922186.jpg</t>
  </si>
  <si>
    <t>LT pole rusted</t>
  </si>
  <si>
    <t>T-12140922173</t>
  </si>
  <si>
    <t>Khattak Market</t>
  </si>
  <si>
    <t>Z:\GIS_Pakistan\Survey\Pictures\PESCO\Hayatabad-1\Hayatabad-2\T-12140922173.jpg</t>
  </si>
  <si>
    <t>T-12140922166</t>
  </si>
  <si>
    <t>St-3/L-1</t>
  </si>
  <si>
    <t>Z:\GIS_Pakistan\Survey\Pictures\PESCO\Hayatabad-1\Hayatabad-2\T-12140922166.jpg</t>
  </si>
  <si>
    <t>T-12140922155</t>
  </si>
  <si>
    <t>Seimon</t>
  </si>
  <si>
    <t>Nr House No313 St-02 /L-1</t>
  </si>
  <si>
    <t>Z:\GIS_Pakistan\Survey\Pictures\PESCO\Hayatabad-1\Hayatabad-2\T-12140922155.jpg</t>
  </si>
  <si>
    <t>T-12140922145</t>
  </si>
  <si>
    <t>GGHschool Ph-3</t>
  </si>
  <si>
    <t>Z:\GIS_Pakistan\Survey\Pictures\PESCO\Hayatabad-1\Hayatabad-2\T-12140922145.jpg</t>
  </si>
  <si>
    <t>T-12140922137</t>
  </si>
  <si>
    <t>Nr House No.560 St-30</t>
  </si>
  <si>
    <t>Z:\GIS_Pakistan\Survey\Pictures\PESCO\Hayatabad-1\Hayatabad-2\T-12140922137.jpg</t>
  </si>
  <si>
    <t>T-12130922107</t>
  </si>
  <si>
    <t>T-Sab</t>
  </si>
  <si>
    <t>St-10/L-1</t>
  </si>
  <si>
    <t>Z:\GIS_Pakistan\Survey\Pictures\PESCO\Hayatabad-1\Hayatabad-2\T-12130922107.jpg</t>
  </si>
  <si>
    <t>T-12130922100</t>
  </si>
  <si>
    <t>St-9/L-1</t>
  </si>
  <si>
    <t>Z:\GIS_Pakistan\Survey\Pictures\PESCO\Hayatabad-1\Hayatabad-2\T-12130922100.jpg</t>
  </si>
  <si>
    <t>T-12130922093</t>
  </si>
  <si>
    <t>St-6/L-1</t>
  </si>
  <si>
    <t>Z:\GIS_Pakistan\Survey\Pictures\PESCO\Hayatabad-1\Hayatabad-2\T-12130922093.jpg</t>
  </si>
  <si>
    <t>T-12130922080</t>
  </si>
  <si>
    <t>Steel Structure</t>
  </si>
  <si>
    <t>JF Ind</t>
  </si>
  <si>
    <t>St-4/L-1</t>
  </si>
  <si>
    <t>Z:\GIS_Pakistan\Survey\Pictures\PESCO\Hayatabad-1\Hayatabad-2\T-12130922080.jpg</t>
  </si>
  <si>
    <t>T-12120922072</t>
  </si>
  <si>
    <t>Street-02 A Ph- 3</t>
  </si>
  <si>
    <t>St No.2A/L-1 Ph-3</t>
  </si>
  <si>
    <t>Z:\GIS_Pakistan\Survey\Pictures\PESCO\Hayatabad-1\Hayatabad-2\T-12120922072.jpg</t>
  </si>
  <si>
    <t>Primary Distribution</t>
  </si>
  <si>
    <t>RABBIT</t>
  </si>
  <si>
    <t>Transformer</t>
  </si>
  <si>
    <t>Primary Pole</t>
  </si>
  <si>
    <t>SDE</t>
  </si>
  <si>
    <t>DOG</t>
  </si>
  <si>
    <t>T-12160922321</t>
  </si>
  <si>
    <t>Nr House No.112 L-2</t>
  </si>
  <si>
    <t>Z:\GIS_Pakistan\Survey\Pictures\PESCO\Hayatabad-1\Hayatabad-2\T-12160922321.jpg</t>
  </si>
  <si>
    <t>DDE</t>
  </si>
  <si>
    <t>T-12160922292</t>
  </si>
  <si>
    <t>Indepentant</t>
  </si>
  <si>
    <t>Z:\GIS_Pakistan\Survey\Pictures\PESCO\Hayatabad-1\Hayatabad-2\T-12160922292.jpg</t>
  </si>
  <si>
    <t>PVC 19/0.052</t>
  </si>
  <si>
    <t>T-12160922270</t>
  </si>
  <si>
    <t>Near Noor Masjid</t>
  </si>
  <si>
    <t>Z:\GIS_Pakistan\Survey\Pictures\PESCO\Hayatabad-1\Hayatabad-2\T-12160922270.jpg</t>
  </si>
  <si>
    <t>T-12160922262</t>
  </si>
  <si>
    <t>Rohila Market K Sector</t>
  </si>
  <si>
    <t>Z:\GIS_Pakistan\Survey\Pictures\PESCO\Hayatabad-1\Hayatabad-2\T-12160922262.jpg</t>
  </si>
  <si>
    <t>T-12150922241</t>
  </si>
  <si>
    <t>Z:\GIS_Pakistan\Survey\Pictures\PESCO\Hayatabad-1\Hayatabad-2\T-12150922241.jpg</t>
  </si>
  <si>
    <t>T-12150922228</t>
  </si>
  <si>
    <t>House No.53 / L-1</t>
  </si>
  <si>
    <t>Z:\GIS_Pakistan\Survey\Pictures\PESCO\Hayatabad-1\Hayatabad-2\T-12150922228.jpg</t>
  </si>
  <si>
    <t>T-12150922193</t>
  </si>
  <si>
    <t>Tube well PDA</t>
  </si>
  <si>
    <t>Z:\GIS_Pakistan\Survey\Pictures\PESCO\Hayatabad-1\Hayatabad-2\T-12150922193.jpg</t>
  </si>
  <si>
    <t>T-12140922183</t>
  </si>
  <si>
    <t>Z:\GIS_Pakistan\Survey\Pictures\PESCO\Hayatabad-1\Hayatabad-2\T-12140922183.jpg</t>
  </si>
  <si>
    <t>T-12140922180</t>
  </si>
  <si>
    <t>Tubewell PDA</t>
  </si>
  <si>
    <t>Z:\GIS_Pakistan\Survey\Pictures\PESCO\Hayatabad-1\Hayatabad-2\T-12140922180.jpg</t>
  </si>
  <si>
    <t>T-12140922132</t>
  </si>
  <si>
    <t>BRT Office</t>
  </si>
  <si>
    <t>Z:\GIS_Pakistan\Survey\Pictures\PESCO\Hayatabad-1\Hayatabad-2\T-12140922132.jpg</t>
  </si>
  <si>
    <t>PVC 7/0.052</t>
  </si>
  <si>
    <t>T-12140922125</t>
  </si>
  <si>
    <t>PDA Tube well</t>
  </si>
  <si>
    <t>Z:\GIS_Pakistan\Survey\Pictures\PESCO\Hayatabad-1\Hayatabad-2\T-12140922125.jpg</t>
  </si>
  <si>
    <t>T-12140922123</t>
  </si>
  <si>
    <t>Super CNG Ph-3</t>
  </si>
  <si>
    <t>PAD</t>
  </si>
  <si>
    <t>Z:\GIS_Pakistan\Survey\Pictures\PESCO\Hayatabad-1\Hayatabad-2\T-12140922123.jpg</t>
  </si>
  <si>
    <t>T-12140922119</t>
  </si>
  <si>
    <t>Super CNG</t>
  </si>
  <si>
    <t>Z:\GIS_Pakistan\Survey\Pictures\PESCO\Hayatabad-1\Hayatabad-2\T-12140922119.jpg</t>
  </si>
  <si>
    <t>T-12130922115</t>
  </si>
  <si>
    <t>Z:\GIS_Pakistan\Survey\Pictures\PESCO\Hayatabad-1\Hayatabad-2\T-12130922115.jpg</t>
  </si>
  <si>
    <t>Shah CNG Ph-3</t>
  </si>
  <si>
    <t>T-12130922087</t>
  </si>
  <si>
    <t>Tube well</t>
  </si>
  <si>
    <t>Z:\GIS_Pakistan\Survey\Pictures\PESCO\Hayatabad-1\Hayatabad-2\T-12130922087.jpg</t>
  </si>
  <si>
    <t>T-12130922074</t>
  </si>
  <si>
    <t>BRT Station</t>
  </si>
  <si>
    <t>Z:\GIS_Pakistan\Survey\Pictures\PESCO\Hayatabad-1\Hayatabad-2\T-12130922074.jpg</t>
  </si>
  <si>
    <t>500 MCM</t>
  </si>
  <si>
    <t>T-12130922069</t>
  </si>
  <si>
    <t>Admore CNG</t>
  </si>
  <si>
    <t>Z:\GIS_Pakistan\Survey\Pictures\PESCO\Hayatabad-1\Hayatabad-2\T-12130922069.jpg</t>
  </si>
  <si>
    <t>T-12130922063</t>
  </si>
  <si>
    <t>AB Amp</t>
  </si>
  <si>
    <t>Site office PDA</t>
  </si>
  <si>
    <t>Z:\GIS_Pakistan\Survey\Pictures\PESCO\Hayatabad-1\Hayatabad-2\T-12130922063.jpg</t>
  </si>
  <si>
    <t>T-12130922058</t>
  </si>
  <si>
    <t>Tube well for PDA Nursarary</t>
  </si>
  <si>
    <t>Z:\GIS_Pakistan\Survey\Pictures\PESCO\Hayatabad-1\Hayatabad-2\T-12130922058.jpg</t>
  </si>
  <si>
    <t>T-12130922055</t>
  </si>
  <si>
    <t>Main Road</t>
  </si>
  <si>
    <t>Z:\GIS_Pakistan\Survey\Pictures\PESCO\Hayatabad-1\Hayatabad-2\T-12130922055.jpg</t>
  </si>
  <si>
    <t>T-12130922053</t>
  </si>
  <si>
    <t>Z:\GIS_Pakistan\Survey\Pictures\PESCO\Hayatabad-1\Hayatabad-2\T-12130922053.jpg</t>
  </si>
  <si>
    <t>T-12130922050</t>
  </si>
  <si>
    <t>Street Light Mian Road</t>
  </si>
  <si>
    <t>Z:\GIS_Pakistan\Survey\Pictures\PESCO\Hayatabad-1\Hayatabad-2\T-12130922050.jpg</t>
  </si>
  <si>
    <t>T-12120922024</t>
  </si>
  <si>
    <t>Tube well Nursarary wala</t>
  </si>
  <si>
    <t>Z:\GIS_Pakistan\Survey\Pictures\PESCO\Hayatabad-1\Hayatabad-2\T-12120922024.jpg</t>
  </si>
  <si>
    <t>PC Spun</t>
  </si>
  <si>
    <t>T-12120922009</t>
  </si>
  <si>
    <t>PTCL Complaint</t>
  </si>
  <si>
    <t>Z:\GIS_Pakistan\Survey\Pictures\PESCO\Hayatabad-1\Hayatabad-2\T-12120922009.jpg</t>
  </si>
  <si>
    <t>T-14120922036</t>
  </si>
  <si>
    <t>Street Light Main Road</t>
  </si>
  <si>
    <t>Z:\GIS_Pakistan\Survey\Pictures\PESCO\Hayatabad-1\Hayatabad-2\T-14120922036.jpg</t>
  </si>
  <si>
    <t>Panel</t>
  </si>
  <si>
    <t>2022-09-13T04:21:32Z</t>
  </si>
  <si>
    <t>2022-09-13T04:22:15Z</t>
  </si>
  <si>
    <t>2022-09-13T04:22:18Z</t>
  </si>
  <si>
    <t>2022-09-13T04:22:21Z</t>
  </si>
  <si>
    <t>2022-09-13T04:24:10Z</t>
  </si>
  <si>
    <t>2022-09-13T04:24:13Z</t>
  </si>
  <si>
    <t>2022-09-13T04:24:16Z</t>
  </si>
  <si>
    <t>2022-09-13T04:24:19Z</t>
  </si>
  <si>
    <t>2022-09-13T04:24:22Z</t>
  </si>
  <si>
    <t>2022-09-13T04:30:23Z</t>
  </si>
  <si>
    <t>2022-09-13T04:30:26Z</t>
  </si>
  <si>
    <t>2022-09-13T04:30:29Z</t>
  </si>
  <si>
    <t>2022-09-13T04:36:36Z</t>
  </si>
  <si>
    <t>2022-09-13T04:37:02Z</t>
  </si>
  <si>
    <t>2022-09-13T04:37:42Z</t>
  </si>
  <si>
    <t>2022-09-13T04:37:45Z</t>
  </si>
  <si>
    <t>2022-09-13T04:37:47Z</t>
  </si>
  <si>
    <t>2022-09-13T04:39:59Z</t>
  </si>
  <si>
    <t>2022-09-13T04:40:09Z</t>
  </si>
  <si>
    <t>2022-09-13T04:40:20Z</t>
  </si>
  <si>
    <t>2022-09-13T04:40:55Z</t>
  </si>
  <si>
    <t>2022-09-13T04:40:57Z</t>
  </si>
  <si>
    <t>2022-09-13T04:41:00Z</t>
  </si>
  <si>
    <t>2022-09-13T04:46:18Z</t>
  </si>
  <si>
    <t>2022-09-13T04:46:22Z</t>
  </si>
  <si>
    <t>2022-09-13T04:46:25Z</t>
  </si>
  <si>
    <t>2022-09-13T04:50:03Z</t>
  </si>
  <si>
    <t>2022-09-13T04:50:07Z</t>
  </si>
  <si>
    <t>2022-09-13T04:54:10Z</t>
  </si>
  <si>
    <t>2022-09-13T04:55:02Z</t>
  </si>
  <si>
    <t>2022-09-13T04:55:54Z</t>
  </si>
  <si>
    <t>2022-09-13T04:58:54Z</t>
  </si>
  <si>
    <t>2022-09-13T04:58:57Z</t>
  </si>
  <si>
    <t>2022-09-13T04:59:00Z</t>
  </si>
  <si>
    <t>2022-09-13T04:59:28Z</t>
  </si>
  <si>
    <t>2022-09-13T05:01:51Z</t>
  </si>
  <si>
    <t>2022-09-13T05:03:02Z</t>
  </si>
  <si>
    <t>2022-09-13T05:03:37Z</t>
  </si>
  <si>
    <t>2022-09-13T05:05:41Z</t>
  </si>
  <si>
    <t>2022-09-13T05:05:44Z</t>
  </si>
  <si>
    <t>2022-09-13T05:05:47Z</t>
  </si>
  <si>
    <t>2022-09-13T05:07:24Z</t>
  </si>
  <si>
    <t>2022-09-13T05:07:44Z</t>
  </si>
  <si>
    <t>2022-09-13T05:08:44Z</t>
  </si>
  <si>
    <t>2022-09-13T05:09:14Z</t>
  </si>
  <si>
    <t>2022-09-13T05:09:16Z</t>
  </si>
  <si>
    <t>2022-09-13T05:09:19Z</t>
  </si>
  <si>
    <t>2022-09-13T05:10:03Z</t>
  </si>
  <si>
    <t>2022-09-13T05:15:36Z</t>
  </si>
  <si>
    <t>2022-09-13T05:17:28Z</t>
  </si>
  <si>
    <t>2022-09-13T05:17:39Z</t>
  </si>
  <si>
    <t>2022-09-13T05:18:21Z</t>
  </si>
  <si>
    <t>2022-09-13T05:18:24Z</t>
  </si>
  <si>
    <t>2022-09-13T05:18:27Z</t>
  </si>
  <si>
    <t>2022-09-13T05:20:01Z</t>
  </si>
  <si>
    <t>2022-09-13T05:20:51Z</t>
  </si>
  <si>
    <t>2022-09-13T05:21:45Z</t>
  </si>
  <si>
    <t>2022-09-13T05:22:49Z</t>
  </si>
  <si>
    <t>2022-09-13T05:27:08Z</t>
  </si>
  <si>
    <t>2022-09-13T05:27:10Z</t>
  </si>
  <si>
    <t>2022-09-13T05:27:13Z</t>
  </si>
  <si>
    <t>2022-09-13T05:30:02Z</t>
  </si>
  <si>
    <t>2022-09-13T05:32:04Z</t>
  </si>
  <si>
    <t>2022-09-13T05:40:40Z</t>
  </si>
  <si>
    <t>2022-09-13T05:58:29Z</t>
  </si>
  <si>
    <t>2022-09-13T05:59:34Z</t>
  </si>
  <si>
    <t>2022-09-13T06:04:31Z</t>
  </si>
  <si>
    <t>2022-09-13T06:04:34Z</t>
  </si>
  <si>
    <t>2022-09-13T06:04:38Z</t>
  </si>
  <si>
    <t>2022-09-15T04:49:37Z</t>
  </si>
  <si>
    <t>2022-09-15T04:50:05Z</t>
  </si>
  <si>
    <t>2022-09-15T04:50:09Z</t>
  </si>
  <si>
    <t>2022-09-15T04:54:28Z</t>
  </si>
  <si>
    <t>2022-09-15T04:55:42Z</t>
  </si>
  <si>
    <t>2022-09-15T04:56:56Z</t>
  </si>
  <si>
    <t>2022-09-15T04:58:22Z</t>
  </si>
  <si>
    <t>2022-09-15T05:02:31Z</t>
  </si>
  <si>
    <t>2022-09-15T05:03:40Z</t>
  </si>
  <si>
    <t>2022-09-15T05:03:44Z</t>
  </si>
  <si>
    <t>2022-09-15T05:05:24Z</t>
  </si>
  <si>
    <t>2022-09-15T05:07:35Z</t>
  </si>
  <si>
    <t>2022-09-15T05:08:51Z</t>
  </si>
  <si>
    <t>2022-09-15T05:12:44Z</t>
  </si>
  <si>
    <t>2022-09-15T05:15:19Z</t>
  </si>
  <si>
    <t>2022-09-15T05:15:23Z</t>
  </si>
  <si>
    <t>2022-09-15T05:19:16Z</t>
  </si>
  <si>
    <t>2022-09-15T05:20:26Z</t>
  </si>
  <si>
    <t>2022-09-15T05:23:10Z</t>
  </si>
  <si>
    <t>2022-09-15T05:26:56Z</t>
  </si>
  <si>
    <t>2022-09-15T05:28:16Z</t>
  </si>
  <si>
    <t>2022-09-15T05:29:19Z</t>
  </si>
  <si>
    <t>2022-09-15T05:32:32Z</t>
  </si>
  <si>
    <t>2022-09-15T05:33:58Z</t>
  </si>
  <si>
    <t>2022-09-15T05:35:59Z</t>
  </si>
  <si>
    <t>2022-09-15T05:37:02Z</t>
  </si>
  <si>
    <t>2022-09-15T05:38:15Z</t>
  </si>
  <si>
    <t>2022-09-15T05:41:11Z</t>
  </si>
  <si>
    <t>2022-09-15T05:44:19Z</t>
  </si>
  <si>
    <t>2022-09-15T05:44:27Z</t>
  </si>
  <si>
    <t>2022-09-15T05:53:58Z</t>
  </si>
  <si>
    <t>2022-09-15T05:54:15Z</t>
  </si>
  <si>
    <t>2022-09-15T05:54:21Z</t>
  </si>
  <si>
    <t>2022-09-15T06:02:27Z</t>
  </si>
  <si>
    <t>2022-09-15T06:03:44Z</t>
  </si>
  <si>
    <t>2022-09-15T06:05:05Z</t>
  </si>
  <si>
    <t>2022-09-15T06:08:50Z</t>
  </si>
  <si>
    <t>2022-09-15T06:09:45Z</t>
  </si>
  <si>
    <t>2022-09-15T06:09:48Z</t>
  </si>
  <si>
    <t>2022-09-15T06:14:22Z</t>
  </si>
  <si>
    <t>2022-09-15T06:16:01Z</t>
  </si>
  <si>
    <t>2022-09-15T06:17:45Z</t>
  </si>
  <si>
    <t>2022-09-15T06:21:52Z</t>
  </si>
  <si>
    <t>2022-09-15T06:22:42Z</t>
  </si>
  <si>
    <t>2022-09-15T06:22:44Z</t>
  </si>
  <si>
    <t>2022-09-15T06:28:23Z</t>
  </si>
  <si>
    <t>2022-09-15T06:30:05Z</t>
  </si>
  <si>
    <t>2022-09-15T06:31:23Z</t>
  </si>
  <si>
    <t>2022-09-15T06:38:02Z</t>
  </si>
  <si>
    <t>2022-09-15T06:40:29Z</t>
  </si>
  <si>
    <t>2022-09-15T06:42:51Z</t>
  </si>
  <si>
    <t>2022-09-15T06:42:54Z</t>
  </si>
  <si>
    <t>2022-09-15T06:42:57Z</t>
  </si>
  <si>
    <t>2022-09-15T07:08:13Z</t>
  </si>
  <si>
    <t>2022-09-15T07:13:03Z</t>
  </si>
  <si>
    <t>2022-09-15T07:19:06Z</t>
  </si>
  <si>
    <t>2022-09-15T07:19:08Z</t>
  </si>
  <si>
    <t>2022-09-15T07:19:11Z</t>
  </si>
  <si>
    <t>2022-09-15T07:25:02Z</t>
  </si>
  <si>
    <t>2022-09-15T07:27:31Z</t>
  </si>
  <si>
    <t>2022-09-15T07:28:24Z</t>
  </si>
  <si>
    <t>2022-09-15T07:28:52Z</t>
  </si>
  <si>
    <t>2022-09-16T02:58:53Z</t>
  </si>
  <si>
    <t>2022-09-16T02:58:55Z</t>
  </si>
  <si>
    <t>2022-09-16T02:58:58Z</t>
  </si>
  <si>
    <t>2022-09-16T03:02:01Z</t>
  </si>
  <si>
    <t>2022-09-16T03:05:29Z</t>
  </si>
  <si>
    <t>2022-09-16T03:06:22Z</t>
  </si>
  <si>
    <t>2022-09-16T03:07:54Z</t>
  </si>
  <si>
    <t>2022-09-16T03:08:27Z</t>
  </si>
  <si>
    <t>2022-09-16T03:09:32Z</t>
  </si>
  <si>
    <t>2022-09-16T03:09:50Z</t>
  </si>
  <si>
    <t>2022-09-16T03:09:53Z</t>
  </si>
  <si>
    <t>2022-09-16T03:15:51Z</t>
  </si>
  <si>
    <t>2022-09-16T03:16:51Z</t>
  </si>
  <si>
    <t>2022-09-16T03:17:44Z</t>
  </si>
  <si>
    <t>2022-09-16T03:21:30Z</t>
  </si>
  <si>
    <t>2022-09-16T03:21:33Z</t>
  </si>
  <si>
    <t>2022-09-16T03:21:36Z</t>
  </si>
  <si>
    <t>2022-09-16T03:27:47Z</t>
  </si>
  <si>
    <t>2022-09-16T03:28:08Z</t>
  </si>
  <si>
    <t>2022-09-16T03:28:11Z</t>
  </si>
  <si>
    <t>2022-09-16T03:31:09Z</t>
  </si>
  <si>
    <t>2022-09-16T03:32:40Z</t>
  </si>
  <si>
    <t>2022-09-16T03:36:53Z</t>
  </si>
  <si>
    <t>2022-09-16T03:36:56Z</t>
  </si>
  <si>
    <t>2022-09-16T03:36:58Z</t>
  </si>
  <si>
    <t>2022-09-16T03:38:02Z</t>
  </si>
  <si>
    <t>2022-09-16T03:42:18Z</t>
  </si>
  <si>
    <t>2022-09-16T03:42:38Z</t>
  </si>
  <si>
    <t>2022-09-16T03:42:41Z</t>
  </si>
  <si>
    <t>2022-09-16T03:43:42Z</t>
  </si>
  <si>
    <t>2022-09-16T03:44:20Z</t>
  </si>
  <si>
    <t>2022-09-16T03:45:58Z</t>
  </si>
  <si>
    <t>2022-09-16T03:49:13Z</t>
  </si>
  <si>
    <t>2022-09-16T03:53:00Z</t>
  </si>
  <si>
    <t>2022-09-16T03:59:05Z</t>
  </si>
  <si>
    <t>2022-09-16T04:01:19Z</t>
  </si>
  <si>
    <t>2022-09-16T04:01:22Z</t>
  </si>
  <si>
    <t>2022-09-16T04:01:25Z</t>
  </si>
  <si>
    <t>2022-09-16T04:02:24Z</t>
  </si>
  <si>
    <t>2022-09-16T04:03:40Z</t>
  </si>
  <si>
    <t>2022-09-16T04:08:12Z</t>
  </si>
  <si>
    <t>2022-09-16T04:10:28Z</t>
  </si>
  <si>
    <t>2022-09-16T04:11:34Z</t>
  </si>
  <si>
    <t>2022-09-16T04:12:03Z</t>
  </si>
  <si>
    <t>2022-09-16T04:12:05Z</t>
  </si>
  <si>
    <t>2022-09-16T04:12:08Z</t>
  </si>
  <si>
    <t>2022-09-16T04:12:10Z</t>
  </si>
  <si>
    <t>2022-09-16T04:17:00Z</t>
  </si>
  <si>
    <t>2022-09-16T04:17:40Z</t>
  </si>
  <si>
    <t>2022-09-16T04:18:24Z</t>
  </si>
  <si>
    <t>2022-09-16T04:19:12Z</t>
  </si>
  <si>
    <t>2022-09-16T04:20:51Z</t>
  </si>
  <si>
    <t>2022-09-16T04:21:20Z</t>
  </si>
  <si>
    <t>2022-09-16T04:21:49Z</t>
  </si>
  <si>
    <t>2022-09-16T04:24:02Z</t>
  </si>
  <si>
    <t>2022-09-16T04:24:21Z</t>
  </si>
  <si>
    <t>2022-09-16T04:24:23Z</t>
  </si>
  <si>
    <t>2022-09-16T04:27:58Z</t>
  </si>
  <si>
    <t>2022-09-16T04:28:54Z</t>
  </si>
  <si>
    <t>2022-09-16T04:30:42Z</t>
  </si>
  <si>
    <t>2022-09-16T04:43:29Z</t>
  </si>
  <si>
    <t>2022-09-16T04:43:54Z</t>
  </si>
  <si>
    <t>2022-09-16T04:46:13Z</t>
  </si>
  <si>
    <t>2022-09-16T04:46:23Z</t>
  </si>
  <si>
    <t>2022-09-16T04:46:26Z</t>
  </si>
  <si>
    <t>2022-09-16T04:51:20Z</t>
  </si>
  <si>
    <t>2022-09-16T04:51:23Z</t>
  </si>
  <si>
    <t>2022-09-16T04:51:25Z</t>
  </si>
  <si>
    <t>2022-09-16T04:56:23Z</t>
  </si>
  <si>
    <t>2022-09-16T05:00:00Z</t>
  </si>
  <si>
    <t>2022-09-16T05:00:05Z</t>
  </si>
  <si>
    <t>2022-09-16T05:00:08Z</t>
  </si>
  <si>
    <t>2022-09-16T05:07:03Z</t>
  </si>
  <si>
    <t>2022-09-16T05:07:49Z</t>
  </si>
  <si>
    <t>2022-09-16T05:07:51Z</t>
  </si>
  <si>
    <t>2022-09-16T05:07:54Z</t>
  </si>
  <si>
    <t>2022-09-16T05:09:38Z</t>
  </si>
  <si>
    <t>2022-09-16T05:10:03Z</t>
  </si>
  <si>
    <t>2022-09-16T05:10:41Z</t>
  </si>
  <si>
    <t>2022-09-16T05:16:06Z</t>
  </si>
  <si>
    <t>2022-09-16T05:17:18Z</t>
  </si>
  <si>
    <t>2022-09-16T05:18:19Z</t>
  </si>
  <si>
    <t>2022-09-16T05:24:20Z</t>
  </si>
  <si>
    <t>2022-09-16T05:24:26Z</t>
  </si>
  <si>
    <t>2022-09-16T05:24:28Z</t>
  </si>
  <si>
    <t>2022-09-16T05:27:39Z</t>
  </si>
  <si>
    <t>2022-09-16T05:28:52Z</t>
  </si>
  <si>
    <t>2022-09-16T05:48:22Z</t>
  </si>
  <si>
    <t>2022-09-16T05:49:20Z</t>
  </si>
  <si>
    <t>2022-09-16T05:55:25Z</t>
  </si>
  <si>
    <t>2022-09-16T05:55:29Z</t>
  </si>
  <si>
    <t>2022-09-16T05:55:32Z</t>
  </si>
  <si>
    <t>2022-09-16T05:59:46Z</t>
  </si>
  <si>
    <t>2022-09-16T06:02:31Z</t>
  </si>
  <si>
    <t>2022-09-16T06:04:13Z</t>
  </si>
  <si>
    <t>2022-09-16T06:07:59Z</t>
  </si>
  <si>
    <t>2022-09-16T06:08:02Z</t>
  </si>
  <si>
    <t>2022-09-16T06:08:05Z</t>
  </si>
  <si>
    <t>2022-09-16T06:09:01Z</t>
  </si>
  <si>
    <t>2022-09-16T06:09:55Z</t>
  </si>
  <si>
    <t>2022-09-16T06:10:30Z</t>
  </si>
  <si>
    <t>2022-09-16T06:13:14Z</t>
  </si>
  <si>
    <t>2022-09-16T06:13:52Z</t>
  </si>
  <si>
    <t>2022-09-16T06:14:36Z</t>
  </si>
  <si>
    <t>2022-09-16T06:15:11Z</t>
  </si>
  <si>
    <t>2022-09-16T06:15:49Z</t>
  </si>
  <si>
    <t>2022-09-16T06:16:41Z</t>
  </si>
  <si>
    <t>2022-09-16T06:17:29Z</t>
  </si>
  <si>
    <t>2022-09-16T06:18:01Z</t>
  </si>
  <si>
    <t>2022-09-16T06:19:00Z</t>
  </si>
  <si>
    <t>2022-09-16T06:19:54Z</t>
  </si>
  <si>
    <t>2022-09-16T06:20:56Z</t>
  </si>
  <si>
    <t>2022-09-16T06:29:25Z</t>
  </si>
  <si>
    <t>2022-09-16T06:30:39Z</t>
  </si>
  <si>
    <t>2022-09-16T06:30:41Z</t>
  </si>
  <si>
    <t>2022-09-16T06:30:44Z</t>
  </si>
  <si>
    <t>2022-09-16T06:31:56Z</t>
  </si>
  <si>
    <t>2022-09-16T06:40:34Z</t>
  </si>
  <si>
    <t>2022-09-16T06:51:43Z</t>
  </si>
  <si>
    <t>2022-09-16T06:52:46Z</t>
  </si>
  <si>
    <t>2022-09-16T06:53:08Z</t>
  </si>
  <si>
    <t>2022-09-16T06:53:30Z</t>
  </si>
  <si>
    <t>2022-09-16T06:53:44Z</t>
  </si>
  <si>
    <t>2022-09-16T06:53:55Z</t>
  </si>
  <si>
    <t>2022-09-16T06:54:06Z</t>
  </si>
  <si>
    <t>eTrex 10</t>
  </si>
  <si>
    <t>2022-09-12T04:17:51Z</t>
  </si>
  <si>
    <t>2022-09-12T04:23:56Z</t>
  </si>
  <si>
    <t>2022-09-12T04:42:37Z</t>
  </si>
  <si>
    <t>2022-09-12T04:43:36Z</t>
  </si>
  <si>
    <t>2022-09-12T04:44:12Z</t>
  </si>
  <si>
    <t>2022-09-12T04:52:04Z</t>
  </si>
  <si>
    <t>2022-09-12T04:53:00Z</t>
  </si>
  <si>
    <t>2022-09-12T04:53:40Z</t>
  </si>
  <si>
    <t>2022-09-12T04:54:19Z</t>
  </si>
  <si>
    <t>2022-09-12T04:55:32Z</t>
  </si>
  <si>
    <t>2022-09-12T04:56:57Z</t>
  </si>
  <si>
    <t>2022-09-12T05:02:04Z</t>
  </si>
  <si>
    <t>2022-09-12T05:03:54Z</t>
  </si>
  <si>
    <t>2022-09-12T05:04:31Z</t>
  </si>
  <si>
    <t>2022-09-12T05:04:47Z</t>
  </si>
  <si>
    <t>2022-09-12T05:04:59Z</t>
  </si>
  <si>
    <t>2022-09-12T05:05:01Z</t>
  </si>
  <si>
    <t>2022-09-12T05:05:13Z</t>
  </si>
  <si>
    <t>2022-09-12T05:05:14Z</t>
  </si>
  <si>
    <t>2022-09-12T05:05:26Z</t>
  </si>
  <si>
    <t>2022-09-12T05:05:52Z</t>
  </si>
  <si>
    <t>2022-09-12T05:12:25Z</t>
  </si>
  <si>
    <t>2022-09-12T05:13:06Z</t>
  </si>
  <si>
    <t>2022-09-12T05:15:11Z</t>
  </si>
  <si>
    <t>2022-09-12T05:15:28Z</t>
  </si>
  <si>
    <t>2022-09-12T05:15:29Z</t>
  </si>
  <si>
    <t>2022-09-12T05:16:35Z</t>
  </si>
  <si>
    <t>2022-09-12T05:18:21Z</t>
  </si>
  <si>
    <t>2022-09-12T05:18:29Z</t>
  </si>
  <si>
    <t>2022-09-12T05:18:36Z</t>
  </si>
  <si>
    <t>2022-09-12T05:19:17Z</t>
  </si>
  <si>
    <t>2022-09-12T05:19:31Z</t>
  </si>
  <si>
    <t>2022-09-12T05:19:32Z</t>
  </si>
  <si>
    <t>2022-09-12T05:19:49Z</t>
  </si>
  <si>
    <t>2022-09-12T05:20:38Z</t>
  </si>
  <si>
    <t>2022-09-12T05:20:42Z</t>
  </si>
  <si>
    <t>2022-09-12T05:20:45Z</t>
  </si>
  <si>
    <t>2022-09-14T08:27:20Z</t>
  </si>
  <si>
    <t>2022-09-14T08:27:19Z</t>
  </si>
  <si>
    <t>2022-09-14T08:28:55Z</t>
  </si>
  <si>
    <t>2022-09-14T08:29:34Z</t>
  </si>
  <si>
    <t>2022-09-14T08:30:57Z</t>
  </si>
  <si>
    <t>2022-09-14T08:33:20Z</t>
  </si>
  <si>
    <t>2022-09-14T08:34:59Z</t>
  </si>
  <si>
    <t>2022-09-14T08:36:20Z</t>
  </si>
  <si>
    <t>2022-09-14T08:36:30Z</t>
  </si>
  <si>
    <t>2022-09-14T08:37:23Z</t>
  </si>
  <si>
    <t>2022-09-14T08:37:59Z</t>
  </si>
  <si>
    <t>2022-09-14T08:39:15Z</t>
  </si>
  <si>
    <t>2022-09-14T08:40:28Z</t>
  </si>
  <si>
    <t>2022-09-14T08:40:59Z</t>
  </si>
  <si>
    <t>2022-09-14T08:45:23Z</t>
  </si>
  <si>
    <t>2022-09-14T08:46:14Z</t>
  </si>
  <si>
    <t>2022-09-14T08:56:06Z</t>
  </si>
  <si>
    <t>2022-09-14T09:05:45Z</t>
  </si>
  <si>
    <t>2022-09-14T09:06:34Z</t>
  </si>
  <si>
    <t>2022-09-14T09:06:52Z</t>
  </si>
  <si>
    <t>2022-09-14T09:06:53Z</t>
  </si>
  <si>
    <t>2022-09-14T09:08:38Z</t>
  </si>
  <si>
    <t>2022-09-14T09:10:06Z</t>
  </si>
  <si>
    <t>2022-09-14T09:10:46Z</t>
  </si>
  <si>
    <t>2022-09-14T09:13:16Z</t>
  </si>
  <si>
    <t>2022-09-14T09:14:16Z</t>
  </si>
  <si>
    <t>2022-09-14T09:16:34Z</t>
  </si>
  <si>
    <t>2022-09-14T09:17:00Z</t>
  </si>
  <si>
    <t>2022-09-14T09:17:32Z</t>
  </si>
  <si>
    <t>2022-09-14T09:18:44Z</t>
  </si>
  <si>
    <t>2022-09-14T09:19:07Z</t>
  </si>
  <si>
    <t>2022-09-14T09:24:58Z</t>
  </si>
  <si>
    <t>2022-09-14T09:25:24Z</t>
  </si>
  <si>
    <t>2022-09-14T09:26:44Z</t>
  </si>
  <si>
    <t>2022-09-14T09:27:51Z</t>
  </si>
  <si>
    <t>2022-09-14T09:28:30Z</t>
  </si>
  <si>
    <t>2022-09-14T09:29:08Z</t>
  </si>
  <si>
    <t>2022-09-14T04:31:41Z</t>
  </si>
  <si>
    <t>2022-09-14T04:32:57Z</t>
  </si>
  <si>
    <t>2022-09-14T04:33:42Z</t>
  </si>
  <si>
    <t>2022-09-14T04:33:45Z</t>
  </si>
  <si>
    <t>2022-09-14T04:37:09Z</t>
  </si>
  <si>
    <t>2022-09-14T04:38:51Z</t>
  </si>
  <si>
    <t>2022-09-14T04:39:22Z</t>
  </si>
  <si>
    <t>2022-09-14T04:39:27Z</t>
  </si>
  <si>
    <t>2022-09-14T04:41:30Z</t>
  </si>
  <si>
    <t>2022-09-14T04:41:35Z</t>
  </si>
  <si>
    <t>2022-09-14T04:44:17Z</t>
  </si>
  <si>
    <t>2022-09-14T04:45:42Z</t>
  </si>
  <si>
    <t>2022-09-14T04:46:28Z</t>
  </si>
  <si>
    <t>2022-09-14T04:47:24Z</t>
  </si>
  <si>
    <t>2022-09-14T04:48:16Z</t>
  </si>
  <si>
    <t>2022-09-14T04:48:19Z</t>
  </si>
  <si>
    <t>2022-09-14T04:48:22Z</t>
  </si>
  <si>
    <t>2022-09-14T04:51:57Z</t>
  </si>
  <si>
    <t>2022-09-14T04:53:42Z</t>
  </si>
  <si>
    <t>2022-09-14T04:55:37Z</t>
  </si>
  <si>
    <t>2022-09-14T04:57:17Z</t>
  </si>
  <si>
    <t>2022-09-14T04:57:20Z</t>
  </si>
  <si>
    <t>2022-09-14T05:09:35Z</t>
  </si>
  <si>
    <t>2022-09-14T05:13:00Z</t>
  </si>
  <si>
    <t>2022-09-14T05:14:02Z</t>
  </si>
  <si>
    <t>2022-09-14T05:14:57Z</t>
  </si>
  <si>
    <t>2022-09-14T05:15:59Z</t>
  </si>
  <si>
    <t>2022-09-14T05:18:24Z</t>
  </si>
  <si>
    <t>2022-09-14T05:19:13Z</t>
  </si>
  <si>
    <t>2022-09-14T05:19:17Z</t>
  </si>
  <si>
    <t>2022-09-14T05:27:25Z</t>
  </si>
  <si>
    <t>2022-09-14T05:29:58Z</t>
  </si>
  <si>
    <t>2022-09-14T05:32:00Z</t>
  </si>
  <si>
    <t>2022-09-14T05:35:15Z</t>
  </si>
  <si>
    <t>2022-09-14T05:44:58Z</t>
  </si>
  <si>
    <t>2022-09-14T05:46:25Z</t>
  </si>
  <si>
    <t>2022-09-14T05:47:44Z</t>
  </si>
  <si>
    <t>2022-09-14T05:51:05Z</t>
  </si>
  <si>
    <t>2022-09-14T05:52:01Z</t>
  </si>
  <si>
    <t>2022-09-14T05:52:05Z</t>
  </si>
  <si>
    <t>2022-09-14T06:01:50Z</t>
  </si>
  <si>
    <t>2022-09-14T06:03:38Z</t>
  </si>
  <si>
    <t>2022-09-14T06:05:32Z</t>
  </si>
  <si>
    <t>2022-09-14T06:06:42Z</t>
  </si>
  <si>
    <t>2022-09-14T06:08:30Z</t>
  </si>
  <si>
    <t>2022-09-14T06:09:15Z</t>
  </si>
  <si>
    <t>2022-09-14T06:13:14Z</t>
  </si>
  <si>
    <t>2022-09-14T06:16:21Z</t>
  </si>
  <si>
    <t>2022-09-14T06:19:56Z</t>
  </si>
  <si>
    <t>2022-09-14T06:19:59Z</t>
  </si>
  <si>
    <t>2022-09-14T06:20:01Z</t>
  </si>
  <si>
    <t>2022-09-14T06:31:07Z</t>
  </si>
  <si>
    <t>2022-09-14T06:32:50Z</t>
  </si>
  <si>
    <t>2022-09-14T06:34:08Z</t>
  </si>
  <si>
    <t>2022-09-14T06:37:03Z</t>
  </si>
  <si>
    <t>2022-09-14T06:39:01Z</t>
  </si>
  <si>
    <t>2022-09-14T06:40:19Z</t>
  </si>
  <si>
    <t>2022-09-14T06:40:22Z</t>
  </si>
  <si>
    <t>2022-09-14T06:46:34Z</t>
  </si>
  <si>
    <t>2022-09-14T06:47:40Z</t>
  </si>
  <si>
    <t>2022-09-14T06:48:32Z</t>
  </si>
  <si>
    <t>2022-09-14T06:51:00Z</t>
  </si>
  <si>
    <t>2022-09-14T07:30:18Z</t>
  </si>
  <si>
    <t>2022-09-14T07:30:31Z</t>
  </si>
  <si>
    <t>2022-09-14T07:30:34Z</t>
  </si>
  <si>
    <t>2022-09-14T07:35:42Z</t>
  </si>
  <si>
    <t>2022-09-14T07:35:51Z</t>
  </si>
  <si>
    <t>2022-09-14T07:35:54Z</t>
  </si>
  <si>
    <t>Sr#</t>
  </si>
  <si>
    <t>Column1</t>
  </si>
  <si>
    <t>Group</t>
  </si>
  <si>
    <t>X Comparison</t>
  </si>
  <si>
    <t>Y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</si>
</sst>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6" borderId="0" applyNumberFormat="0" applyBorder="0" applyAlignment="0" applyProtection="0"/>
    <xf numFmtId="0" fontId="7" fillId="7" borderId="3" applyNumberFormat="0" applyAlignment="0" applyProtection="0"/>
  </cellStyleXfs>
  <cellXfs count="36">
    <xf numFmtId="0" fontId="0" fillId="0" borderId="0" xfId="0"/>
    <xf numFmtId="49" fontId="0" fillId="0" borderId="0" xfId="0" applyNumberFormat="1"/>
    <xf numFmtId="49" fontId="3" fillId="0" borderId="0" xfId="3" applyNumberFormat="1"/>
    <xf numFmtId="22" fontId="0" fillId="0" borderId="0" xfId="0" applyNumberFormat="1"/>
    <xf numFmtId="0" fontId="4" fillId="4" borderId="1" xfId="4" applyFont="1" applyFill="1" applyBorder="1" applyAlignment="1">
      <alignment horizontal="center"/>
    </xf>
    <xf numFmtId="0" fontId="4" fillId="0" borderId="2" xfId="4" applyFont="1" applyBorder="1" applyAlignment="1">
      <alignment horizontal="right" wrapText="1"/>
    </xf>
    <xf numFmtId="0" fontId="4" fillId="0" borderId="2" xfId="4" applyFont="1" applyBorder="1" applyAlignment="1">
      <alignment wrapText="1"/>
    </xf>
    <xf numFmtId="0" fontId="5" fillId="0" borderId="0" xfId="4"/>
    <xf numFmtId="0" fontId="4" fillId="5" borderId="2" xfId="4" applyFont="1" applyFill="1" applyBorder="1" applyAlignment="1">
      <alignment horizontal="right" wrapText="1"/>
    </xf>
    <xf numFmtId="0" fontId="2" fillId="3" borderId="0" xfId="2" applyAlignment="1">
      <alignment horizontal="center" vertical="center"/>
    </xf>
    <xf numFmtId="0" fontId="1" fillId="3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0" xfId="1" applyAlignment="1">
      <alignment horizontal="center"/>
    </xf>
    <xf numFmtId="1" fontId="0" fillId="0" borderId="0" xfId="0" applyNumberFormat="1"/>
    <xf numFmtId="1" fontId="6" fillId="6" borderId="0" xfId="5" applyNumberFormat="1"/>
    <xf numFmtId="0" fontId="6" fillId="6" borderId="0" xfId="5"/>
    <xf numFmtId="49" fontId="0" fillId="5" borderId="0" xfId="0" applyNumberFormat="1" applyFill="1"/>
    <xf numFmtId="0" fontId="0" fillId="5" borderId="0" xfId="0" applyFill="1"/>
    <xf numFmtId="49" fontId="3" fillId="5" borderId="0" xfId="3" applyNumberFormat="1" applyFill="1"/>
    <xf numFmtId="22" fontId="0" fillId="5" borderId="0" xfId="0" applyNumberFormat="1" applyFill="1"/>
    <xf numFmtId="0" fontId="4" fillId="5" borderId="2" xfId="4" applyFont="1" applyFill="1" applyBorder="1" applyAlignment="1">
      <alignment wrapText="1"/>
    </xf>
    <xf numFmtId="0" fontId="5" fillId="5" borderId="0" xfId="4" applyFill="1"/>
    <xf numFmtId="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5" fontId="0" fillId="0" borderId="0" xfId="0" applyNumberFormat="1"/>
    <xf numFmtId="165" fontId="0" fillId="0" borderId="4" xfId="0" applyNumberFormat="1" applyBorder="1"/>
    <xf numFmtId="0" fontId="0" fillId="8" borderId="0" xfId="0" applyFill="1"/>
    <xf numFmtId="14" fontId="0" fillId="8" borderId="0" xfId="0" applyNumberFormat="1" applyFill="1"/>
    <xf numFmtId="0" fontId="4" fillId="4" borderId="6" xfId="4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6" fillId="6" borderId="5" xfId="5" applyBorder="1"/>
    <xf numFmtId="0" fontId="7" fillId="7" borderId="3" xfId="6"/>
  </cellXfs>
  <cellStyles count="7">
    <cellStyle name="Accent2" xfId="1" builtinId="33"/>
    <cellStyle name="Accent5" xfId="2" builtinId="45"/>
    <cellStyle name="Calculation" xfId="6" builtinId="22"/>
    <cellStyle name="Good" xfId="5" builtinId="26"/>
    <cellStyle name="Hyperlink" xfId="3" builtinId="8"/>
    <cellStyle name="Normal" xfId="0" builtinId="0"/>
    <cellStyle name="Normal_mdb_gps_points" xfId="4" xr:uid="{00000000-0005-0000-0000-000005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topografix.com/GPX/1/1'">
  <Schema ID="Schema1" Namespace="http://www.topografix.com/GPX/1/1">
    <xsd:schema xmlns:xsd="http://www.w3.org/2001/XMLSchema" xmlns:ns0="http://www.topografix.com/GPX/1/1" xmlns="" targetNamespace="http://www.topografix.com/GPX/1/1">
      <xsd:element nillable="true" name="gpx">
        <xsd:complexType>
          <xsd:sequence minOccurs="0">
            <xsd:element minOccurs="0" nillable="true" name="metadata" form="qualified">
              <xsd:complexType>
                <xsd:sequence minOccurs="0">
                  <xsd:element minOccurs="0" nillable="true" name="link" form="qualified">
                    <xsd:complexType>
                      <xsd:sequence minOccurs="0">
                        <xsd:element minOccurs="0" nillable="true" type="xsd:string" name="text" form="qualified"/>
                      </xsd:sequence>
                      <xsd:attribute name="href" form="unqualified" type="xsd:anyURI"/>
                    </xsd:complexType>
                  </xsd:element>
                  <xsd:element minOccurs="0" nillable="true" type="xsd:dateTime" name="time" form="qualified"/>
                </xsd:sequence>
              </xsd:complexType>
            </xsd:element>
            <xsd:element minOccurs="0" maxOccurs="unbounded" nillable="true" name="wpt" form="qualified">
              <xsd:complexType>
                <xsd:sequence minOccurs="0">
                  <xsd:element minOccurs="0" nillable="true" type="xsd:double" name="ele" form="qualified"/>
                  <xsd:element minOccurs="0" nillable="true" type="xsd:dateTime" name="time" form="qualified"/>
                  <xsd:element minOccurs="0" nillable="true" type="xsd:integer" name="name" form="qualified"/>
                  <xsd:element minOccurs="0" nillable="true" type="xsd:string" name="sym" form="qualified"/>
                </xsd:sequence>
                <xsd:attribute name="lat" form="unqualified" type="xsd:double"/>
                <xsd:attribute name="lon" form="unqualified" type="xsd:double"/>
              </xsd:complexType>
            </xsd:element>
          </xsd:sequence>
          <xsd:attribute name="creator" form="unqualified" type="xsd:string"/>
          <xsd:attribute name="version" form="unqualified" type="xsd:double"/>
        </xsd:complexType>
      </xsd:element>
    </xsd:schema>
  </Schema>
  <Map ID="1" Name="gpx_Map" RootElement="gpx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5D5FB0-5744-46EC-8962-B2F87E457024}" name="Table17" displayName="Table17" ref="C1:N445" totalsRowShown="0">
  <autoFilter ref="C1:N445" xr:uid="{C25D5FB0-5744-46EC-8962-B2F87E457024}"/>
  <tableColumns count="12">
    <tableColumn id="1" xr3:uid="{370ECBEC-4D64-4383-90D5-361D22A63051}" name="creator"/>
    <tableColumn id="2" xr3:uid="{5A8D2453-D3AA-4B45-A37E-3C6CC348430E}" name="version"/>
    <tableColumn id="3" xr3:uid="{4A9C055C-DE67-4B8F-8D48-4B5E1981EEFA}" name="href"/>
    <tableColumn id="4" xr3:uid="{D5E071E9-B86B-4598-B327-76CD1DA090BF}" name="ns1:text"/>
    <tableColumn id="5" xr3:uid="{185BA2A6-AE1A-43B9-B2FD-D436AE7A49DA}" name="ns1:time"/>
    <tableColumn id="6" xr3:uid="{9E811B77-8650-4BDF-B4AD-65F427C5B782}" name="lat"/>
    <tableColumn id="7" xr3:uid="{C1352CC1-634F-4482-B7AB-11E8AC03F743}" name="lon"/>
    <tableColumn id="8" xr3:uid="{3D01E604-DE42-49FF-ABD0-A26853F9D650}" name="ns1:ele"/>
    <tableColumn id="9" xr3:uid="{B69AB506-6159-45EC-A61D-938DA9AF39E3}" name="ns1:time2"/>
    <tableColumn id="10" xr3:uid="{8E441BD6-F0E9-4A6D-84F6-CE8D98BF5EBA}" name="ns1:name"/>
    <tableColumn id="11" xr3:uid="{1904669B-575E-442F-AAC7-B5F3F85E5F53}" name="ns1:sym"/>
    <tableColumn id="12" xr3:uid="{E39CE10F-D3C4-4721-B481-1777496CA0A3}" name="Column1" dataDxfId="19">
      <calculatedColumnFormula>LEFT(Table17[[#This Row],[ns1:time2]],10)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armin.com/" TargetMode="External"/><Relationship Id="rId299" Type="http://schemas.openxmlformats.org/officeDocument/2006/relationships/hyperlink" Target="http://www.garmin.com/" TargetMode="External"/><Relationship Id="rId21" Type="http://schemas.openxmlformats.org/officeDocument/2006/relationships/hyperlink" Target="http://www.garmin.com/" TargetMode="External"/><Relationship Id="rId63" Type="http://schemas.openxmlformats.org/officeDocument/2006/relationships/hyperlink" Target="http://www.garmin.com/" TargetMode="External"/><Relationship Id="rId159" Type="http://schemas.openxmlformats.org/officeDocument/2006/relationships/hyperlink" Target="http://www.garmin.com/" TargetMode="External"/><Relationship Id="rId324" Type="http://schemas.openxmlformats.org/officeDocument/2006/relationships/hyperlink" Target="http://www.garmin.com/" TargetMode="External"/><Relationship Id="rId366" Type="http://schemas.openxmlformats.org/officeDocument/2006/relationships/hyperlink" Target="http://www.garmin.com/" TargetMode="External"/><Relationship Id="rId170" Type="http://schemas.openxmlformats.org/officeDocument/2006/relationships/hyperlink" Target="http://www.garmin.com/" TargetMode="External"/><Relationship Id="rId226" Type="http://schemas.openxmlformats.org/officeDocument/2006/relationships/hyperlink" Target="http://www.garmin.com/" TargetMode="External"/><Relationship Id="rId433" Type="http://schemas.openxmlformats.org/officeDocument/2006/relationships/hyperlink" Target="http://www.garmin.com/" TargetMode="External"/><Relationship Id="rId268" Type="http://schemas.openxmlformats.org/officeDocument/2006/relationships/hyperlink" Target="http://www.garmin.com/" TargetMode="External"/><Relationship Id="rId32" Type="http://schemas.openxmlformats.org/officeDocument/2006/relationships/hyperlink" Target="http://www.garmin.com/" TargetMode="External"/><Relationship Id="rId74" Type="http://schemas.openxmlformats.org/officeDocument/2006/relationships/hyperlink" Target="http://www.garmin.com/" TargetMode="External"/><Relationship Id="rId128" Type="http://schemas.openxmlformats.org/officeDocument/2006/relationships/hyperlink" Target="http://www.garmin.com/" TargetMode="External"/><Relationship Id="rId335" Type="http://schemas.openxmlformats.org/officeDocument/2006/relationships/hyperlink" Target="http://www.garmin.com/" TargetMode="External"/><Relationship Id="rId377" Type="http://schemas.openxmlformats.org/officeDocument/2006/relationships/hyperlink" Target="http://www.garmin.com/" TargetMode="External"/><Relationship Id="rId5" Type="http://schemas.openxmlformats.org/officeDocument/2006/relationships/hyperlink" Target="http://www.garmin.com/" TargetMode="External"/><Relationship Id="rId181" Type="http://schemas.openxmlformats.org/officeDocument/2006/relationships/hyperlink" Target="http://www.garmin.com/" TargetMode="External"/><Relationship Id="rId237" Type="http://schemas.openxmlformats.org/officeDocument/2006/relationships/hyperlink" Target="http://www.garmin.com/" TargetMode="External"/><Relationship Id="rId402" Type="http://schemas.openxmlformats.org/officeDocument/2006/relationships/hyperlink" Target="http://www.garmin.com/" TargetMode="External"/><Relationship Id="rId279" Type="http://schemas.openxmlformats.org/officeDocument/2006/relationships/hyperlink" Target="http://www.garmin.com/" TargetMode="External"/><Relationship Id="rId444" Type="http://schemas.openxmlformats.org/officeDocument/2006/relationships/hyperlink" Target="http://www.garmin.com/" TargetMode="External"/><Relationship Id="rId43" Type="http://schemas.openxmlformats.org/officeDocument/2006/relationships/hyperlink" Target="http://www.garmin.com/" TargetMode="External"/><Relationship Id="rId139" Type="http://schemas.openxmlformats.org/officeDocument/2006/relationships/hyperlink" Target="http://www.garmin.com/" TargetMode="External"/><Relationship Id="rId290" Type="http://schemas.openxmlformats.org/officeDocument/2006/relationships/hyperlink" Target="http://www.garmin.com/" TargetMode="External"/><Relationship Id="rId304" Type="http://schemas.openxmlformats.org/officeDocument/2006/relationships/hyperlink" Target="http://www.garmin.com/" TargetMode="External"/><Relationship Id="rId346" Type="http://schemas.openxmlformats.org/officeDocument/2006/relationships/hyperlink" Target="http://www.garmin.com/" TargetMode="External"/><Relationship Id="rId388" Type="http://schemas.openxmlformats.org/officeDocument/2006/relationships/hyperlink" Target="http://www.garmin.com/" TargetMode="External"/><Relationship Id="rId85" Type="http://schemas.openxmlformats.org/officeDocument/2006/relationships/hyperlink" Target="http://www.garmin.com/" TargetMode="External"/><Relationship Id="rId150" Type="http://schemas.openxmlformats.org/officeDocument/2006/relationships/hyperlink" Target="http://www.garmin.com/" TargetMode="External"/><Relationship Id="rId192" Type="http://schemas.openxmlformats.org/officeDocument/2006/relationships/hyperlink" Target="http://www.garmin.com/" TargetMode="External"/><Relationship Id="rId206" Type="http://schemas.openxmlformats.org/officeDocument/2006/relationships/hyperlink" Target="http://www.garmin.com/" TargetMode="External"/><Relationship Id="rId413" Type="http://schemas.openxmlformats.org/officeDocument/2006/relationships/hyperlink" Target="http://www.garmin.com/" TargetMode="External"/><Relationship Id="rId248" Type="http://schemas.openxmlformats.org/officeDocument/2006/relationships/hyperlink" Target="http://www.garmin.com/" TargetMode="External"/><Relationship Id="rId12" Type="http://schemas.openxmlformats.org/officeDocument/2006/relationships/hyperlink" Target="http://www.garmin.com/" TargetMode="External"/><Relationship Id="rId108" Type="http://schemas.openxmlformats.org/officeDocument/2006/relationships/hyperlink" Target="http://www.garmin.com/" TargetMode="External"/><Relationship Id="rId315" Type="http://schemas.openxmlformats.org/officeDocument/2006/relationships/hyperlink" Target="http://www.garmin.com/" TargetMode="External"/><Relationship Id="rId357" Type="http://schemas.openxmlformats.org/officeDocument/2006/relationships/hyperlink" Target="http://www.garmin.com/" TargetMode="External"/><Relationship Id="rId54" Type="http://schemas.openxmlformats.org/officeDocument/2006/relationships/hyperlink" Target="http://www.garmin.com/" TargetMode="External"/><Relationship Id="rId96" Type="http://schemas.openxmlformats.org/officeDocument/2006/relationships/hyperlink" Target="http://www.garmin.com/" TargetMode="External"/><Relationship Id="rId161" Type="http://schemas.openxmlformats.org/officeDocument/2006/relationships/hyperlink" Target="http://www.garmin.com/" TargetMode="External"/><Relationship Id="rId217" Type="http://schemas.openxmlformats.org/officeDocument/2006/relationships/hyperlink" Target="http://www.garmin.com/" TargetMode="External"/><Relationship Id="rId399" Type="http://schemas.openxmlformats.org/officeDocument/2006/relationships/hyperlink" Target="http://www.garmin.com/" TargetMode="External"/><Relationship Id="rId259" Type="http://schemas.openxmlformats.org/officeDocument/2006/relationships/hyperlink" Target="http://www.garmin.com/" TargetMode="External"/><Relationship Id="rId424" Type="http://schemas.openxmlformats.org/officeDocument/2006/relationships/hyperlink" Target="http://www.garmin.com/" TargetMode="External"/><Relationship Id="rId23" Type="http://schemas.openxmlformats.org/officeDocument/2006/relationships/hyperlink" Target="http://www.garmin.com/" TargetMode="External"/><Relationship Id="rId119" Type="http://schemas.openxmlformats.org/officeDocument/2006/relationships/hyperlink" Target="http://www.garmin.com/" TargetMode="External"/><Relationship Id="rId270" Type="http://schemas.openxmlformats.org/officeDocument/2006/relationships/hyperlink" Target="http://www.garmin.com/" TargetMode="External"/><Relationship Id="rId326" Type="http://schemas.openxmlformats.org/officeDocument/2006/relationships/hyperlink" Target="http://www.garmin.com/" TargetMode="External"/><Relationship Id="rId65" Type="http://schemas.openxmlformats.org/officeDocument/2006/relationships/hyperlink" Target="http://www.garmin.com/" TargetMode="External"/><Relationship Id="rId130" Type="http://schemas.openxmlformats.org/officeDocument/2006/relationships/hyperlink" Target="http://www.garmin.com/" TargetMode="External"/><Relationship Id="rId368" Type="http://schemas.openxmlformats.org/officeDocument/2006/relationships/hyperlink" Target="http://www.garmin.com/" TargetMode="External"/><Relationship Id="rId172" Type="http://schemas.openxmlformats.org/officeDocument/2006/relationships/hyperlink" Target="http://www.garmin.com/" TargetMode="External"/><Relationship Id="rId228" Type="http://schemas.openxmlformats.org/officeDocument/2006/relationships/hyperlink" Target="http://www.garmin.com/" TargetMode="External"/><Relationship Id="rId435" Type="http://schemas.openxmlformats.org/officeDocument/2006/relationships/hyperlink" Target="http://www.garmin.com/" TargetMode="External"/><Relationship Id="rId281" Type="http://schemas.openxmlformats.org/officeDocument/2006/relationships/hyperlink" Target="http://www.garmin.com/" TargetMode="External"/><Relationship Id="rId337" Type="http://schemas.openxmlformats.org/officeDocument/2006/relationships/hyperlink" Target="http://www.garmin.com/" TargetMode="External"/><Relationship Id="rId34" Type="http://schemas.openxmlformats.org/officeDocument/2006/relationships/hyperlink" Target="http://www.garmin.com/" TargetMode="External"/><Relationship Id="rId76" Type="http://schemas.openxmlformats.org/officeDocument/2006/relationships/hyperlink" Target="http://www.garmin.com/" TargetMode="External"/><Relationship Id="rId141" Type="http://schemas.openxmlformats.org/officeDocument/2006/relationships/hyperlink" Target="http://www.garmin.com/" TargetMode="External"/><Relationship Id="rId379" Type="http://schemas.openxmlformats.org/officeDocument/2006/relationships/hyperlink" Target="http://www.garmin.com/" TargetMode="External"/><Relationship Id="rId7" Type="http://schemas.openxmlformats.org/officeDocument/2006/relationships/hyperlink" Target="http://www.garmin.com/" TargetMode="External"/><Relationship Id="rId183" Type="http://schemas.openxmlformats.org/officeDocument/2006/relationships/hyperlink" Target="http://www.garmin.com/" TargetMode="External"/><Relationship Id="rId239" Type="http://schemas.openxmlformats.org/officeDocument/2006/relationships/hyperlink" Target="http://www.garmin.com/" TargetMode="External"/><Relationship Id="rId390" Type="http://schemas.openxmlformats.org/officeDocument/2006/relationships/hyperlink" Target="http://www.garmin.com/" TargetMode="External"/><Relationship Id="rId404" Type="http://schemas.openxmlformats.org/officeDocument/2006/relationships/hyperlink" Target="http://www.garmin.com/" TargetMode="External"/><Relationship Id="rId250" Type="http://schemas.openxmlformats.org/officeDocument/2006/relationships/hyperlink" Target="http://www.garmin.com/" TargetMode="External"/><Relationship Id="rId292" Type="http://schemas.openxmlformats.org/officeDocument/2006/relationships/hyperlink" Target="http://www.garmin.com/" TargetMode="External"/><Relationship Id="rId306" Type="http://schemas.openxmlformats.org/officeDocument/2006/relationships/hyperlink" Target="http://www.garmin.com/" TargetMode="External"/><Relationship Id="rId45" Type="http://schemas.openxmlformats.org/officeDocument/2006/relationships/hyperlink" Target="http://www.garmin.com/" TargetMode="External"/><Relationship Id="rId87" Type="http://schemas.openxmlformats.org/officeDocument/2006/relationships/hyperlink" Target="http://www.garmin.com/" TargetMode="External"/><Relationship Id="rId110" Type="http://schemas.openxmlformats.org/officeDocument/2006/relationships/hyperlink" Target="http://www.garmin.com/" TargetMode="External"/><Relationship Id="rId348" Type="http://schemas.openxmlformats.org/officeDocument/2006/relationships/hyperlink" Target="http://www.garmin.com/" TargetMode="External"/><Relationship Id="rId152" Type="http://schemas.openxmlformats.org/officeDocument/2006/relationships/hyperlink" Target="http://www.garmin.com/" TargetMode="External"/><Relationship Id="rId194" Type="http://schemas.openxmlformats.org/officeDocument/2006/relationships/hyperlink" Target="http://www.garmin.com/" TargetMode="External"/><Relationship Id="rId208" Type="http://schemas.openxmlformats.org/officeDocument/2006/relationships/hyperlink" Target="http://www.garmin.com/" TargetMode="External"/><Relationship Id="rId415" Type="http://schemas.openxmlformats.org/officeDocument/2006/relationships/hyperlink" Target="http://www.garmin.com/" TargetMode="External"/><Relationship Id="rId261" Type="http://schemas.openxmlformats.org/officeDocument/2006/relationships/hyperlink" Target="http://www.garmin.com/" TargetMode="External"/><Relationship Id="rId14" Type="http://schemas.openxmlformats.org/officeDocument/2006/relationships/hyperlink" Target="http://www.garmin.com/" TargetMode="External"/><Relationship Id="rId56" Type="http://schemas.openxmlformats.org/officeDocument/2006/relationships/hyperlink" Target="http://www.garmin.com/" TargetMode="External"/><Relationship Id="rId317" Type="http://schemas.openxmlformats.org/officeDocument/2006/relationships/hyperlink" Target="http://www.garmin.com/" TargetMode="External"/><Relationship Id="rId359" Type="http://schemas.openxmlformats.org/officeDocument/2006/relationships/hyperlink" Target="http://www.garmin.com/" TargetMode="External"/><Relationship Id="rId98" Type="http://schemas.openxmlformats.org/officeDocument/2006/relationships/hyperlink" Target="http://www.garmin.com/" TargetMode="External"/><Relationship Id="rId121" Type="http://schemas.openxmlformats.org/officeDocument/2006/relationships/hyperlink" Target="http://www.garmin.com/" TargetMode="External"/><Relationship Id="rId163" Type="http://schemas.openxmlformats.org/officeDocument/2006/relationships/hyperlink" Target="http://www.garmin.com/" TargetMode="External"/><Relationship Id="rId219" Type="http://schemas.openxmlformats.org/officeDocument/2006/relationships/hyperlink" Target="http://www.garmin.com/" TargetMode="External"/><Relationship Id="rId370" Type="http://schemas.openxmlformats.org/officeDocument/2006/relationships/hyperlink" Target="http://www.garmin.com/" TargetMode="External"/><Relationship Id="rId426" Type="http://schemas.openxmlformats.org/officeDocument/2006/relationships/hyperlink" Target="http://www.garmin.com/" TargetMode="External"/><Relationship Id="rId230" Type="http://schemas.openxmlformats.org/officeDocument/2006/relationships/hyperlink" Target="http://www.garmin.com/" TargetMode="External"/><Relationship Id="rId25" Type="http://schemas.openxmlformats.org/officeDocument/2006/relationships/hyperlink" Target="http://www.garmin.com/" TargetMode="External"/><Relationship Id="rId67" Type="http://schemas.openxmlformats.org/officeDocument/2006/relationships/hyperlink" Target="http://www.garmin.com/" TargetMode="External"/><Relationship Id="rId272" Type="http://schemas.openxmlformats.org/officeDocument/2006/relationships/hyperlink" Target="http://www.garmin.com/" TargetMode="External"/><Relationship Id="rId328" Type="http://schemas.openxmlformats.org/officeDocument/2006/relationships/hyperlink" Target="http://www.garmin.com/" TargetMode="External"/><Relationship Id="rId132" Type="http://schemas.openxmlformats.org/officeDocument/2006/relationships/hyperlink" Target="http://www.garmin.com/" TargetMode="External"/><Relationship Id="rId174" Type="http://schemas.openxmlformats.org/officeDocument/2006/relationships/hyperlink" Target="http://www.garmin.com/" TargetMode="External"/><Relationship Id="rId381" Type="http://schemas.openxmlformats.org/officeDocument/2006/relationships/hyperlink" Target="http://www.garmin.com/" TargetMode="External"/><Relationship Id="rId241" Type="http://schemas.openxmlformats.org/officeDocument/2006/relationships/hyperlink" Target="http://www.garmin.com/" TargetMode="External"/><Relationship Id="rId437" Type="http://schemas.openxmlformats.org/officeDocument/2006/relationships/hyperlink" Target="http://www.garmin.com/" TargetMode="External"/><Relationship Id="rId36" Type="http://schemas.openxmlformats.org/officeDocument/2006/relationships/hyperlink" Target="http://www.garmin.com/" TargetMode="External"/><Relationship Id="rId283" Type="http://schemas.openxmlformats.org/officeDocument/2006/relationships/hyperlink" Target="http://www.garmin.com/" TargetMode="External"/><Relationship Id="rId339" Type="http://schemas.openxmlformats.org/officeDocument/2006/relationships/hyperlink" Target="http://www.garmin.com/" TargetMode="External"/><Relationship Id="rId78" Type="http://schemas.openxmlformats.org/officeDocument/2006/relationships/hyperlink" Target="http://www.garmin.com/" TargetMode="External"/><Relationship Id="rId101" Type="http://schemas.openxmlformats.org/officeDocument/2006/relationships/hyperlink" Target="http://www.garmin.com/" TargetMode="External"/><Relationship Id="rId143" Type="http://schemas.openxmlformats.org/officeDocument/2006/relationships/hyperlink" Target="http://www.garmin.com/" TargetMode="External"/><Relationship Id="rId185" Type="http://schemas.openxmlformats.org/officeDocument/2006/relationships/hyperlink" Target="http://www.garmin.com/" TargetMode="External"/><Relationship Id="rId350" Type="http://schemas.openxmlformats.org/officeDocument/2006/relationships/hyperlink" Target="http://www.garmin.com/" TargetMode="External"/><Relationship Id="rId406" Type="http://schemas.openxmlformats.org/officeDocument/2006/relationships/hyperlink" Target="http://www.garmin.com/" TargetMode="External"/><Relationship Id="rId9" Type="http://schemas.openxmlformats.org/officeDocument/2006/relationships/hyperlink" Target="http://www.garmin.com/" TargetMode="External"/><Relationship Id="rId210" Type="http://schemas.openxmlformats.org/officeDocument/2006/relationships/hyperlink" Target="http://www.garmin.com/" TargetMode="External"/><Relationship Id="rId392" Type="http://schemas.openxmlformats.org/officeDocument/2006/relationships/hyperlink" Target="http://www.garmin.com/" TargetMode="External"/><Relationship Id="rId252" Type="http://schemas.openxmlformats.org/officeDocument/2006/relationships/hyperlink" Target="http://www.garmin.com/" TargetMode="External"/><Relationship Id="rId294" Type="http://schemas.openxmlformats.org/officeDocument/2006/relationships/hyperlink" Target="http://www.garmin.com/" TargetMode="External"/><Relationship Id="rId308" Type="http://schemas.openxmlformats.org/officeDocument/2006/relationships/hyperlink" Target="http://www.garmin.com/" TargetMode="External"/><Relationship Id="rId47" Type="http://schemas.openxmlformats.org/officeDocument/2006/relationships/hyperlink" Target="http://www.garmin.com/" TargetMode="External"/><Relationship Id="rId89" Type="http://schemas.openxmlformats.org/officeDocument/2006/relationships/hyperlink" Target="http://www.garmin.com/" TargetMode="External"/><Relationship Id="rId112" Type="http://schemas.openxmlformats.org/officeDocument/2006/relationships/hyperlink" Target="http://www.garmin.com/" TargetMode="External"/><Relationship Id="rId154" Type="http://schemas.openxmlformats.org/officeDocument/2006/relationships/hyperlink" Target="http://www.garmin.com/" TargetMode="External"/><Relationship Id="rId361" Type="http://schemas.openxmlformats.org/officeDocument/2006/relationships/hyperlink" Target="http://www.garmin.com/" TargetMode="External"/><Relationship Id="rId196" Type="http://schemas.openxmlformats.org/officeDocument/2006/relationships/hyperlink" Target="http://www.garmin.com/" TargetMode="External"/><Relationship Id="rId417" Type="http://schemas.openxmlformats.org/officeDocument/2006/relationships/hyperlink" Target="http://www.garmin.com/" TargetMode="External"/><Relationship Id="rId16" Type="http://schemas.openxmlformats.org/officeDocument/2006/relationships/hyperlink" Target="http://www.garmin.com/" TargetMode="External"/><Relationship Id="rId221" Type="http://schemas.openxmlformats.org/officeDocument/2006/relationships/hyperlink" Target="http://www.garmin.com/" TargetMode="External"/><Relationship Id="rId263" Type="http://schemas.openxmlformats.org/officeDocument/2006/relationships/hyperlink" Target="http://www.garmin.com/" TargetMode="External"/><Relationship Id="rId319" Type="http://schemas.openxmlformats.org/officeDocument/2006/relationships/hyperlink" Target="http://www.garmin.com/" TargetMode="External"/><Relationship Id="rId58" Type="http://schemas.openxmlformats.org/officeDocument/2006/relationships/hyperlink" Target="http://www.garmin.com/" TargetMode="External"/><Relationship Id="rId123" Type="http://schemas.openxmlformats.org/officeDocument/2006/relationships/hyperlink" Target="http://www.garmin.com/" TargetMode="External"/><Relationship Id="rId330" Type="http://schemas.openxmlformats.org/officeDocument/2006/relationships/hyperlink" Target="http://www.garmin.com/" TargetMode="External"/><Relationship Id="rId165" Type="http://schemas.openxmlformats.org/officeDocument/2006/relationships/hyperlink" Target="http://www.garmin.com/" TargetMode="External"/><Relationship Id="rId372" Type="http://schemas.openxmlformats.org/officeDocument/2006/relationships/hyperlink" Target="http://www.garmin.com/" TargetMode="External"/><Relationship Id="rId428" Type="http://schemas.openxmlformats.org/officeDocument/2006/relationships/hyperlink" Target="http://www.garmin.com/" TargetMode="External"/><Relationship Id="rId232" Type="http://schemas.openxmlformats.org/officeDocument/2006/relationships/hyperlink" Target="http://www.garmin.com/" TargetMode="External"/><Relationship Id="rId274" Type="http://schemas.openxmlformats.org/officeDocument/2006/relationships/hyperlink" Target="http://www.garmin.com/" TargetMode="External"/><Relationship Id="rId27" Type="http://schemas.openxmlformats.org/officeDocument/2006/relationships/hyperlink" Target="http://www.garmin.com/" TargetMode="External"/><Relationship Id="rId69" Type="http://schemas.openxmlformats.org/officeDocument/2006/relationships/hyperlink" Target="http://www.garmin.com/" TargetMode="External"/><Relationship Id="rId134" Type="http://schemas.openxmlformats.org/officeDocument/2006/relationships/hyperlink" Target="http://www.garmin.com/" TargetMode="External"/><Relationship Id="rId80" Type="http://schemas.openxmlformats.org/officeDocument/2006/relationships/hyperlink" Target="http://www.garmin.com/" TargetMode="External"/><Relationship Id="rId176" Type="http://schemas.openxmlformats.org/officeDocument/2006/relationships/hyperlink" Target="http://www.garmin.com/" TargetMode="External"/><Relationship Id="rId341" Type="http://schemas.openxmlformats.org/officeDocument/2006/relationships/hyperlink" Target="http://www.garmin.com/" TargetMode="External"/><Relationship Id="rId383" Type="http://schemas.openxmlformats.org/officeDocument/2006/relationships/hyperlink" Target="http://www.garmin.com/" TargetMode="External"/><Relationship Id="rId439" Type="http://schemas.openxmlformats.org/officeDocument/2006/relationships/hyperlink" Target="http://www.garmin.com/" TargetMode="External"/><Relationship Id="rId201" Type="http://schemas.openxmlformats.org/officeDocument/2006/relationships/hyperlink" Target="http://www.garmin.com/" TargetMode="External"/><Relationship Id="rId243" Type="http://schemas.openxmlformats.org/officeDocument/2006/relationships/hyperlink" Target="http://www.garmin.com/" TargetMode="External"/><Relationship Id="rId285" Type="http://schemas.openxmlformats.org/officeDocument/2006/relationships/hyperlink" Target="http://www.garmin.com/" TargetMode="External"/><Relationship Id="rId38" Type="http://schemas.openxmlformats.org/officeDocument/2006/relationships/hyperlink" Target="http://www.garmin.com/" TargetMode="External"/><Relationship Id="rId103" Type="http://schemas.openxmlformats.org/officeDocument/2006/relationships/hyperlink" Target="http://www.garmin.com/" TargetMode="External"/><Relationship Id="rId310" Type="http://schemas.openxmlformats.org/officeDocument/2006/relationships/hyperlink" Target="http://www.garmin.com/" TargetMode="External"/><Relationship Id="rId91" Type="http://schemas.openxmlformats.org/officeDocument/2006/relationships/hyperlink" Target="http://www.garmin.com/" TargetMode="External"/><Relationship Id="rId145" Type="http://schemas.openxmlformats.org/officeDocument/2006/relationships/hyperlink" Target="http://www.garmin.com/" TargetMode="External"/><Relationship Id="rId187" Type="http://schemas.openxmlformats.org/officeDocument/2006/relationships/hyperlink" Target="http://www.garmin.com/" TargetMode="External"/><Relationship Id="rId352" Type="http://schemas.openxmlformats.org/officeDocument/2006/relationships/hyperlink" Target="http://www.garmin.com/" TargetMode="External"/><Relationship Id="rId394" Type="http://schemas.openxmlformats.org/officeDocument/2006/relationships/hyperlink" Target="http://www.garmin.com/" TargetMode="External"/><Relationship Id="rId408" Type="http://schemas.openxmlformats.org/officeDocument/2006/relationships/hyperlink" Target="http://www.garmin.com/" TargetMode="External"/><Relationship Id="rId212" Type="http://schemas.openxmlformats.org/officeDocument/2006/relationships/hyperlink" Target="http://www.garmin.com/" TargetMode="External"/><Relationship Id="rId254" Type="http://schemas.openxmlformats.org/officeDocument/2006/relationships/hyperlink" Target="http://www.garmin.com/" TargetMode="External"/><Relationship Id="rId49" Type="http://schemas.openxmlformats.org/officeDocument/2006/relationships/hyperlink" Target="http://www.garmin.com/" TargetMode="External"/><Relationship Id="rId114" Type="http://schemas.openxmlformats.org/officeDocument/2006/relationships/hyperlink" Target="http://www.garmin.com/" TargetMode="External"/><Relationship Id="rId296" Type="http://schemas.openxmlformats.org/officeDocument/2006/relationships/hyperlink" Target="http://www.garmin.com/" TargetMode="External"/><Relationship Id="rId60" Type="http://schemas.openxmlformats.org/officeDocument/2006/relationships/hyperlink" Target="http://www.garmin.com/" TargetMode="External"/><Relationship Id="rId156" Type="http://schemas.openxmlformats.org/officeDocument/2006/relationships/hyperlink" Target="http://www.garmin.com/" TargetMode="External"/><Relationship Id="rId198" Type="http://schemas.openxmlformats.org/officeDocument/2006/relationships/hyperlink" Target="http://www.garmin.com/" TargetMode="External"/><Relationship Id="rId321" Type="http://schemas.openxmlformats.org/officeDocument/2006/relationships/hyperlink" Target="http://www.garmin.com/" TargetMode="External"/><Relationship Id="rId363" Type="http://schemas.openxmlformats.org/officeDocument/2006/relationships/hyperlink" Target="http://www.garmin.com/" TargetMode="External"/><Relationship Id="rId419" Type="http://schemas.openxmlformats.org/officeDocument/2006/relationships/hyperlink" Target="http://www.garmin.com/" TargetMode="External"/><Relationship Id="rId223" Type="http://schemas.openxmlformats.org/officeDocument/2006/relationships/hyperlink" Target="http://www.garmin.com/" TargetMode="External"/><Relationship Id="rId430" Type="http://schemas.openxmlformats.org/officeDocument/2006/relationships/hyperlink" Target="http://www.garmin.com/" TargetMode="External"/><Relationship Id="rId18" Type="http://schemas.openxmlformats.org/officeDocument/2006/relationships/hyperlink" Target="http://www.garmin.com/" TargetMode="External"/><Relationship Id="rId39" Type="http://schemas.openxmlformats.org/officeDocument/2006/relationships/hyperlink" Target="http://www.garmin.com/" TargetMode="External"/><Relationship Id="rId265" Type="http://schemas.openxmlformats.org/officeDocument/2006/relationships/hyperlink" Target="http://www.garmin.com/" TargetMode="External"/><Relationship Id="rId286" Type="http://schemas.openxmlformats.org/officeDocument/2006/relationships/hyperlink" Target="http://www.garmin.com/" TargetMode="External"/><Relationship Id="rId50" Type="http://schemas.openxmlformats.org/officeDocument/2006/relationships/hyperlink" Target="http://www.garmin.com/" TargetMode="External"/><Relationship Id="rId104" Type="http://schemas.openxmlformats.org/officeDocument/2006/relationships/hyperlink" Target="http://www.garmin.com/" TargetMode="External"/><Relationship Id="rId125" Type="http://schemas.openxmlformats.org/officeDocument/2006/relationships/hyperlink" Target="http://www.garmin.com/" TargetMode="External"/><Relationship Id="rId146" Type="http://schemas.openxmlformats.org/officeDocument/2006/relationships/hyperlink" Target="http://www.garmin.com/" TargetMode="External"/><Relationship Id="rId167" Type="http://schemas.openxmlformats.org/officeDocument/2006/relationships/hyperlink" Target="http://www.garmin.com/" TargetMode="External"/><Relationship Id="rId188" Type="http://schemas.openxmlformats.org/officeDocument/2006/relationships/hyperlink" Target="http://www.garmin.com/" TargetMode="External"/><Relationship Id="rId311" Type="http://schemas.openxmlformats.org/officeDocument/2006/relationships/hyperlink" Target="http://www.garmin.com/" TargetMode="External"/><Relationship Id="rId332" Type="http://schemas.openxmlformats.org/officeDocument/2006/relationships/hyperlink" Target="http://www.garmin.com/" TargetMode="External"/><Relationship Id="rId353" Type="http://schemas.openxmlformats.org/officeDocument/2006/relationships/hyperlink" Target="http://www.garmin.com/" TargetMode="External"/><Relationship Id="rId374" Type="http://schemas.openxmlformats.org/officeDocument/2006/relationships/hyperlink" Target="http://www.garmin.com/" TargetMode="External"/><Relationship Id="rId395" Type="http://schemas.openxmlformats.org/officeDocument/2006/relationships/hyperlink" Target="http://www.garmin.com/" TargetMode="External"/><Relationship Id="rId409" Type="http://schemas.openxmlformats.org/officeDocument/2006/relationships/hyperlink" Target="http://www.garmin.com/" TargetMode="External"/><Relationship Id="rId71" Type="http://schemas.openxmlformats.org/officeDocument/2006/relationships/hyperlink" Target="http://www.garmin.com/" TargetMode="External"/><Relationship Id="rId92" Type="http://schemas.openxmlformats.org/officeDocument/2006/relationships/hyperlink" Target="http://www.garmin.com/" TargetMode="External"/><Relationship Id="rId213" Type="http://schemas.openxmlformats.org/officeDocument/2006/relationships/hyperlink" Target="http://www.garmin.com/" TargetMode="External"/><Relationship Id="rId234" Type="http://schemas.openxmlformats.org/officeDocument/2006/relationships/hyperlink" Target="http://www.garmin.com/" TargetMode="External"/><Relationship Id="rId420" Type="http://schemas.openxmlformats.org/officeDocument/2006/relationships/hyperlink" Target="http://www.garmin.com/" TargetMode="External"/><Relationship Id="rId2" Type="http://schemas.openxmlformats.org/officeDocument/2006/relationships/hyperlink" Target="http://www.garmin.com/" TargetMode="External"/><Relationship Id="rId29" Type="http://schemas.openxmlformats.org/officeDocument/2006/relationships/hyperlink" Target="http://www.garmin.com/" TargetMode="External"/><Relationship Id="rId255" Type="http://schemas.openxmlformats.org/officeDocument/2006/relationships/hyperlink" Target="http://www.garmin.com/" TargetMode="External"/><Relationship Id="rId276" Type="http://schemas.openxmlformats.org/officeDocument/2006/relationships/hyperlink" Target="http://www.garmin.com/" TargetMode="External"/><Relationship Id="rId297" Type="http://schemas.openxmlformats.org/officeDocument/2006/relationships/hyperlink" Target="http://www.garmin.com/" TargetMode="External"/><Relationship Id="rId441" Type="http://schemas.openxmlformats.org/officeDocument/2006/relationships/hyperlink" Target="http://www.garmin.com/" TargetMode="External"/><Relationship Id="rId40" Type="http://schemas.openxmlformats.org/officeDocument/2006/relationships/hyperlink" Target="http://www.garmin.com/" TargetMode="External"/><Relationship Id="rId115" Type="http://schemas.openxmlformats.org/officeDocument/2006/relationships/hyperlink" Target="http://www.garmin.com/" TargetMode="External"/><Relationship Id="rId136" Type="http://schemas.openxmlformats.org/officeDocument/2006/relationships/hyperlink" Target="http://www.garmin.com/" TargetMode="External"/><Relationship Id="rId157" Type="http://schemas.openxmlformats.org/officeDocument/2006/relationships/hyperlink" Target="http://www.garmin.com/" TargetMode="External"/><Relationship Id="rId178" Type="http://schemas.openxmlformats.org/officeDocument/2006/relationships/hyperlink" Target="http://www.garmin.com/" TargetMode="External"/><Relationship Id="rId301" Type="http://schemas.openxmlformats.org/officeDocument/2006/relationships/hyperlink" Target="http://www.garmin.com/" TargetMode="External"/><Relationship Id="rId322" Type="http://schemas.openxmlformats.org/officeDocument/2006/relationships/hyperlink" Target="http://www.garmin.com/" TargetMode="External"/><Relationship Id="rId343" Type="http://schemas.openxmlformats.org/officeDocument/2006/relationships/hyperlink" Target="http://www.garmin.com/" TargetMode="External"/><Relationship Id="rId364" Type="http://schemas.openxmlformats.org/officeDocument/2006/relationships/hyperlink" Target="http://www.garmin.com/" TargetMode="External"/><Relationship Id="rId61" Type="http://schemas.openxmlformats.org/officeDocument/2006/relationships/hyperlink" Target="http://www.garmin.com/" TargetMode="External"/><Relationship Id="rId82" Type="http://schemas.openxmlformats.org/officeDocument/2006/relationships/hyperlink" Target="http://www.garmin.com/" TargetMode="External"/><Relationship Id="rId199" Type="http://schemas.openxmlformats.org/officeDocument/2006/relationships/hyperlink" Target="http://www.garmin.com/" TargetMode="External"/><Relationship Id="rId203" Type="http://schemas.openxmlformats.org/officeDocument/2006/relationships/hyperlink" Target="http://www.garmin.com/" TargetMode="External"/><Relationship Id="rId385" Type="http://schemas.openxmlformats.org/officeDocument/2006/relationships/hyperlink" Target="http://www.garmin.com/" TargetMode="External"/><Relationship Id="rId19" Type="http://schemas.openxmlformats.org/officeDocument/2006/relationships/hyperlink" Target="http://www.garmin.com/" TargetMode="External"/><Relationship Id="rId224" Type="http://schemas.openxmlformats.org/officeDocument/2006/relationships/hyperlink" Target="http://www.garmin.com/" TargetMode="External"/><Relationship Id="rId245" Type="http://schemas.openxmlformats.org/officeDocument/2006/relationships/hyperlink" Target="http://www.garmin.com/" TargetMode="External"/><Relationship Id="rId266" Type="http://schemas.openxmlformats.org/officeDocument/2006/relationships/hyperlink" Target="http://www.garmin.com/" TargetMode="External"/><Relationship Id="rId287" Type="http://schemas.openxmlformats.org/officeDocument/2006/relationships/hyperlink" Target="http://www.garmin.com/" TargetMode="External"/><Relationship Id="rId410" Type="http://schemas.openxmlformats.org/officeDocument/2006/relationships/hyperlink" Target="http://www.garmin.com/" TargetMode="External"/><Relationship Id="rId431" Type="http://schemas.openxmlformats.org/officeDocument/2006/relationships/hyperlink" Target="http://www.garmin.com/" TargetMode="External"/><Relationship Id="rId30" Type="http://schemas.openxmlformats.org/officeDocument/2006/relationships/hyperlink" Target="http://www.garmin.com/" TargetMode="External"/><Relationship Id="rId105" Type="http://schemas.openxmlformats.org/officeDocument/2006/relationships/hyperlink" Target="http://www.garmin.com/" TargetMode="External"/><Relationship Id="rId126" Type="http://schemas.openxmlformats.org/officeDocument/2006/relationships/hyperlink" Target="http://www.garmin.com/" TargetMode="External"/><Relationship Id="rId147" Type="http://schemas.openxmlformats.org/officeDocument/2006/relationships/hyperlink" Target="http://www.garmin.com/" TargetMode="External"/><Relationship Id="rId168" Type="http://schemas.openxmlformats.org/officeDocument/2006/relationships/hyperlink" Target="http://www.garmin.com/" TargetMode="External"/><Relationship Id="rId312" Type="http://schemas.openxmlformats.org/officeDocument/2006/relationships/hyperlink" Target="http://www.garmin.com/" TargetMode="External"/><Relationship Id="rId333" Type="http://schemas.openxmlformats.org/officeDocument/2006/relationships/hyperlink" Target="http://www.garmin.com/" TargetMode="External"/><Relationship Id="rId354" Type="http://schemas.openxmlformats.org/officeDocument/2006/relationships/hyperlink" Target="http://www.garmin.com/" TargetMode="External"/><Relationship Id="rId51" Type="http://schemas.openxmlformats.org/officeDocument/2006/relationships/hyperlink" Target="http://www.garmin.com/" TargetMode="External"/><Relationship Id="rId72" Type="http://schemas.openxmlformats.org/officeDocument/2006/relationships/hyperlink" Target="http://www.garmin.com/" TargetMode="External"/><Relationship Id="rId93" Type="http://schemas.openxmlformats.org/officeDocument/2006/relationships/hyperlink" Target="http://www.garmin.com/" TargetMode="External"/><Relationship Id="rId189" Type="http://schemas.openxmlformats.org/officeDocument/2006/relationships/hyperlink" Target="http://www.garmin.com/" TargetMode="External"/><Relationship Id="rId375" Type="http://schemas.openxmlformats.org/officeDocument/2006/relationships/hyperlink" Target="http://www.garmin.com/" TargetMode="External"/><Relationship Id="rId396" Type="http://schemas.openxmlformats.org/officeDocument/2006/relationships/hyperlink" Target="http://www.garmin.com/" TargetMode="External"/><Relationship Id="rId3" Type="http://schemas.openxmlformats.org/officeDocument/2006/relationships/hyperlink" Target="http://www.garmin.com/" TargetMode="External"/><Relationship Id="rId214" Type="http://schemas.openxmlformats.org/officeDocument/2006/relationships/hyperlink" Target="http://www.garmin.com/" TargetMode="External"/><Relationship Id="rId235" Type="http://schemas.openxmlformats.org/officeDocument/2006/relationships/hyperlink" Target="http://www.garmin.com/" TargetMode="External"/><Relationship Id="rId256" Type="http://schemas.openxmlformats.org/officeDocument/2006/relationships/hyperlink" Target="http://www.garmin.com/" TargetMode="External"/><Relationship Id="rId277" Type="http://schemas.openxmlformats.org/officeDocument/2006/relationships/hyperlink" Target="http://www.garmin.com/" TargetMode="External"/><Relationship Id="rId298" Type="http://schemas.openxmlformats.org/officeDocument/2006/relationships/hyperlink" Target="http://www.garmin.com/" TargetMode="External"/><Relationship Id="rId400" Type="http://schemas.openxmlformats.org/officeDocument/2006/relationships/hyperlink" Target="http://www.garmin.com/" TargetMode="External"/><Relationship Id="rId421" Type="http://schemas.openxmlformats.org/officeDocument/2006/relationships/hyperlink" Target="http://www.garmin.com/" TargetMode="External"/><Relationship Id="rId442" Type="http://schemas.openxmlformats.org/officeDocument/2006/relationships/hyperlink" Target="http://www.garmin.com/" TargetMode="External"/><Relationship Id="rId116" Type="http://schemas.openxmlformats.org/officeDocument/2006/relationships/hyperlink" Target="http://www.garmin.com/" TargetMode="External"/><Relationship Id="rId137" Type="http://schemas.openxmlformats.org/officeDocument/2006/relationships/hyperlink" Target="http://www.garmin.com/" TargetMode="External"/><Relationship Id="rId158" Type="http://schemas.openxmlformats.org/officeDocument/2006/relationships/hyperlink" Target="http://www.garmin.com/" TargetMode="External"/><Relationship Id="rId302" Type="http://schemas.openxmlformats.org/officeDocument/2006/relationships/hyperlink" Target="http://www.garmin.com/" TargetMode="External"/><Relationship Id="rId323" Type="http://schemas.openxmlformats.org/officeDocument/2006/relationships/hyperlink" Target="http://www.garmin.com/" TargetMode="External"/><Relationship Id="rId344" Type="http://schemas.openxmlformats.org/officeDocument/2006/relationships/hyperlink" Target="http://www.garmin.com/" TargetMode="External"/><Relationship Id="rId20" Type="http://schemas.openxmlformats.org/officeDocument/2006/relationships/hyperlink" Target="http://www.garmin.com/" TargetMode="External"/><Relationship Id="rId41" Type="http://schemas.openxmlformats.org/officeDocument/2006/relationships/hyperlink" Target="http://www.garmin.com/" TargetMode="External"/><Relationship Id="rId62" Type="http://schemas.openxmlformats.org/officeDocument/2006/relationships/hyperlink" Target="http://www.garmin.com/" TargetMode="External"/><Relationship Id="rId83" Type="http://schemas.openxmlformats.org/officeDocument/2006/relationships/hyperlink" Target="http://www.garmin.com/" TargetMode="External"/><Relationship Id="rId179" Type="http://schemas.openxmlformats.org/officeDocument/2006/relationships/hyperlink" Target="http://www.garmin.com/" TargetMode="External"/><Relationship Id="rId365" Type="http://schemas.openxmlformats.org/officeDocument/2006/relationships/hyperlink" Target="http://www.garmin.com/" TargetMode="External"/><Relationship Id="rId386" Type="http://schemas.openxmlformats.org/officeDocument/2006/relationships/hyperlink" Target="http://www.garmin.com/" TargetMode="External"/><Relationship Id="rId190" Type="http://schemas.openxmlformats.org/officeDocument/2006/relationships/hyperlink" Target="http://www.garmin.com/" TargetMode="External"/><Relationship Id="rId204" Type="http://schemas.openxmlformats.org/officeDocument/2006/relationships/hyperlink" Target="http://www.garmin.com/" TargetMode="External"/><Relationship Id="rId225" Type="http://schemas.openxmlformats.org/officeDocument/2006/relationships/hyperlink" Target="http://www.garmin.com/" TargetMode="External"/><Relationship Id="rId246" Type="http://schemas.openxmlformats.org/officeDocument/2006/relationships/hyperlink" Target="http://www.garmin.com/" TargetMode="External"/><Relationship Id="rId267" Type="http://schemas.openxmlformats.org/officeDocument/2006/relationships/hyperlink" Target="http://www.garmin.com/" TargetMode="External"/><Relationship Id="rId288" Type="http://schemas.openxmlformats.org/officeDocument/2006/relationships/hyperlink" Target="http://www.garmin.com/" TargetMode="External"/><Relationship Id="rId411" Type="http://schemas.openxmlformats.org/officeDocument/2006/relationships/hyperlink" Target="http://www.garmin.com/" TargetMode="External"/><Relationship Id="rId432" Type="http://schemas.openxmlformats.org/officeDocument/2006/relationships/hyperlink" Target="http://www.garmin.com/" TargetMode="External"/><Relationship Id="rId106" Type="http://schemas.openxmlformats.org/officeDocument/2006/relationships/hyperlink" Target="http://www.garmin.com/" TargetMode="External"/><Relationship Id="rId127" Type="http://schemas.openxmlformats.org/officeDocument/2006/relationships/hyperlink" Target="http://www.garmin.com/" TargetMode="External"/><Relationship Id="rId313" Type="http://schemas.openxmlformats.org/officeDocument/2006/relationships/hyperlink" Target="http://www.garmin.com/" TargetMode="External"/><Relationship Id="rId10" Type="http://schemas.openxmlformats.org/officeDocument/2006/relationships/hyperlink" Target="http://www.garmin.com/" TargetMode="External"/><Relationship Id="rId31" Type="http://schemas.openxmlformats.org/officeDocument/2006/relationships/hyperlink" Target="http://www.garmin.com/" TargetMode="External"/><Relationship Id="rId52" Type="http://schemas.openxmlformats.org/officeDocument/2006/relationships/hyperlink" Target="http://www.garmin.com/" TargetMode="External"/><Relationship Id="rId73" Type="http://schemas.openxmlformats.org/officeDocument/2006/relationships/hyperlink" Target="http://www.garmin.com/" TargetMode="External"/><Relationship Id="rId94" Type="http://schemas.openxmlformats.org/officeDocument/2006/relationships/hyperlink" Target="http://www.garmin.com/" TargetMode="External"/><Relationship Id="rId148" Type="http://schemas.openxmlformats.org/officeDocument/2006/relationships/hyperlink" Target="http://www.garmin.com/" TargetMode="External"/><Relationship Id="rId169" Type="http://schemas.openxmlformats.org/officeDocument/2006/relationships/hyperlink" Target="http://www.garmin.com/" TargetMode="External"/><Relationship Id="rId334" Type="http://schemas.openxmlformats.org/officeDocument/2006/relationships/hyperlink" Target="http://www.garmin.com/" TargetMode="External"/><Relationship Id="rId355" Type="http://schemas.openxmlformats.org/officeDocument/2006/relationships/hyperlink" Target="http://www.garmin.com/" TargetMode="External"/><Relationship Id="rId376" Type="http://schemas.openxmlformats.org/officeDocument/2006/relationships/hyperlink" Target="http://www.garmin.com/" TargetMode="External"/><Relationship Id="rId397" Type="http://schemas.openxmlformats.org/officeDocument/2006/relationships/hyperlink" Target="http://www.garmin.com/" TargetMode="External"/><Relationship Id="rId4" Type="http://schemas.openxmlformats.org/officeDocument/2006/relationships/hyperlink" Target="http://www.garmin.com/" TargetMode="External"/><Relationship Id="rId180" Type="http://schemas.openxmlformats.org/officeDocument/2006/relationships/hyperlink" Target="http://www.garmin.com/" TargetMode="External"/><Relationship Id="rId215" Type="http://schemas.openxmlformats.org/officeDocument/2006/relationships/hyperlink" Target="http://www.garmin.com/" TargetMode="External"/><Relationship Id="rId236" Type="http://schemas.openxmlformats.org/officeDocument/2006/relationships/hyperlink" Target="http://www.garmin.com/" TargetMode="External"/><Relationship Id="rId257" Type="http://schemas.openxmlformats.org/officeDocument/2006/relationships/hyperlink" Target="http://www.garmin.com/" TargetMode="External"/><Relationship Id="rId278" Type="http://schemas.openxmlformats.org/officeDocument/2006/relationships/hyperlink" Target="http://www.garmin.com/" TargetMode="External"/><Relationship Id="rId401" Type="http://schemas.openxmlformats.org/officeDocument/2006/relationships/hyperlink" Target="http://www.garmin.com/" TargetMode="External"/><Relationship Id="rId422" Type="http://schemas.openxmlformats.org/officeDocument/2006/relationships/hyperlink" Target="http://www.garmin.com/" TargetMode="External"/><Relationship Id="rId443" Type="http://schemas.openxmlformats.org/officeDocument/2006/relationships/hyperlink" Target="http://www.garmin.com/" TargetMode="External"/><Relationship Id="rId303" Type="http://schemas.openxmlformats.org/officeDocument/2006/relationships/hyperlink" Target="http://www.garmin.com/" TargetMode="External"/><Relationship Id="rId42" Type="http://schemas.openxmlformats.org/officeDocument/2006/relationships/hyperlink" Target="http://www.garmin.com/" TargetMode="External"/><Relationship Id="rId84" Type="http://schemas.openxmlformats.org/officeDocument/2006/relationships/hyperlink" Target="http://www.garmin.com/" TargetMode="External"/><Relationship Id="rId138" Type="http://schemas.openxmlformats.org/officeDocument/2006/relationships/hyperlink" Target="http://www.garmin.com/" TargetMode="External"/><Relationship Id="rId345" Type="http://schemas.openxmlformats.org/officeDocument/2006/relationships/hyperlink" Target="http://www.garmin.com/" TargetMode="External"/><Relationship Id="rId387" Type="http://schemas.openxmlformats.org/officeDocument/2006/relationships/hyperlink" Target="http://www.garmin.com/" TargetMode="External"/><Relationship Id="rId191" Type="http://schemas.openxmlformats.org/officeDocument/2006/relationships/hyperlink" Target="http://www.garmin.com/" TargetMode="External"/><Relationship Id="rId205" Type="http://schemas.openxmlformats.org/officeDocument/2006/relationships/hyperlink" Target="http://www.garmin.com/" TargetMode="External"/><Relationship Id="rId247" Type="http://schemas.openxmlformats.org/officeDocument/2006/relationships/hyperlink" Target="http://www.garmin.com/" TargetMode="External"/><Relationship Id="rId412" Type="http://schemas.openxmlformats.org/officeDocument/2006/relationships/hyperlink" Target="http://www.garmin.com/" TargetMode="External"/><Relationship Id="rId107" Type="http://schemas.openxmlformats.org/officeDocument/2006/relationships/hyperlink" Target="http://www.garmin.com/" TargetMode="External"/><Relationship Id="rId289" Type="http://schemas.openxmlformats.org/officeDocument/2006/relationships/hyperlink" Target="http://www.garmin.com/" TargetMode="External"/><Relationship Id="rId11" Type="http://schemas.openxmlformats.org/officeDocument/2006/relationships/hyperlink" Target="http://www.garmin.com/" TargetMode="External"/><Relationship Id="rId53" Type="http://schemas.openxmlformats.org/officeDocument/2006/relationships/hyperlink" Target="http://www.garmin.com/" TargetMode="External"/><Relationship Id="rId149" Type="http://schemas.openxmlformats.org/officeDocument/2006/relationships/hyperlink" Target="http://www.garmin.com/" TargetMode="External"/><Relationship Id="rId314" Type="http://schemas.openxmlformats.org/officeDocument/2006/relationships/hyperlink" Target="http://www.garmin.com/" TargetMode="External"/><Relationship Id="rId356" Type="http://schemas.openxmlformats.org/officeDocument/2006/relationships/hyperlink" Target="http://www.garmin.com/" TargetMode="External"/><Relationship Id="rId398" Type="http://schemas.openxmlformats.org/officeDocument/2006/relationships/hyperlink" Target="http://www.garmin.com/" TargetMode="External"/><Relationship Id="rId95" Type="http://schemas.openxmlformats.org/officeDocument/2006/relationships/hyperlink" Target="http://www.garmin.com/" TargetMode="External"/><Relationship Id="rId160" Type="http://schemas.openxmlformats.org/officeDocument/2006/relationships/hyperlink" Target="http://www.garmin.com/" TargetMode="External"/><Relationship Id="rId216" Type="http://schemas.openxmlformats.org/officeDocument/2006/relationships/hyperlink" Target="http://www.garmin.com/" TargetMode="External"/><Relationship Id="rId423" Type="http://schemas.openxmlformats.org/officeDocument/2006/relationships/hyperlink" Target="http://www.garmin.com/" TargetMode="External"/><Relationship Id="rId258" Type="http://schemas.openxmlformats.org/officeDocument/2006/relationships/hyperlink" Target="http://www.garmin.com/" TargetMode="External"/><Relationship Id="rId22" Type="http://schemas.openxmlformats.org/officeDocument/2006/relationships/hyperlink" Target="http://www.garmin.com/" TargetMode="External"/><Relationship Id="rId64" Type="http://schemas.openxmlformats.org/officeDocument/2006/relationships/hyperlink" Target="http://www.garmin.com/" TargetMode="External"/><Relationship Id="rId118" Type="http://schemas.openxmlformats.org/officeDocument/2006/relationships/hyperlink" Target="http://www.garmin.com/" TargetMode="External"/><Relationship Id="rId325" Type="http://schemas.openxmlformats.org/officeDocument/2006/relationships/hyperlink" Target="http://www.garmin.com/" TargetMode="External"/><Relationship Id="rId367" Type="http://schemas.openxmlformats.org/officeDocument/2006/relationships/hyperlink" Target="http://www.garmin.com/" TargetMode="External"/><Relationship Id="rId171" Type="http://schemas.openxmlformats.org/officeDocument/2006/relationships/hyperlink" Target="http://www.garmin.com/" TargetMode="External"/><Relationship Id="rId227" Type="http://schemas.openxmlformats.org/officeDocument/2006/relationships/hyperlink" Target="http://www.garmin.com/" TargetMode="External"/><Relationship Id="rId269" Type="http://schemas.openxmlformats.org/officeDocument/2006/relationships/hyperlink" Target="http://www.garmin.com/" TargetMode="External"/><Relationship Id="rId434" Type="http://schemas.openxmlformats.org/officeDocument/2006/relationships/hyperlink" Target="http://www.garmin.com/" TargetMode="External"/><Relationship Id="rId33" Type="http://schemas.openxmlformats.org/officeDocument/2006/relationships/hyperlink" Target="http://www.garmin.com/" TargetMode="External"/><Relationship Id="rId129" Type="http://schemas.openxmlformats.org/officeDocument/2006/relationships/hyperlink" Target="http://www.garmin.com/" TargetMode="External"/><Relationship Id="rId280" Type="http://schemas.openxmlformats.org/officeDocument/2006/relationships/hyperlink" Target="http://www.garmin.com/" TargetMode="External"/><Relationship Id="rId336" Type="http://schemas.openxmlformats.org/officeDocument/2006/relationships/hyperlink" Target="http://www.garmin.com/" TargetMode="External"/><Relationship Id="rId75" Type="http://schemas.openxmlformats.org/officeDocument/2006/relationships/hyperlink" Target="http://www.garmin.com/" TargetMode="External"/><Relationship Id="rId140" Type="http://schemas.openxmlformats.org/officeDocument/2006/relationships/hyperlink" Target="http://www.garmin.com/" TargetMode="External"/><Relationship Id="rId182" Type="http://schemas.openxmlformats.org/officeDocument/2006/relationships/hyperlink" Target="http://www.garmin.com/" TargetMode="External"/><Relationship Id="rId378" Type="http://schemas.openxmlformats.org/officeDocument/2006/relationships/hyperlink" Target="http://www.garmin.com/" TargetMode="External"/><Relationship Id="rId403" Type="http://schemas.openxmlformats.org/officeDocument/2006/relationships/hyperlink" Target="http://www.garmin.com/" TargetMode="External"/><Relationship Id="rId6" Type="http://schemas.openxmlformats.org/officeDocument/2006/relationships/hyperlink" Target="http://www.garmin.com/" TargetMode="External"/><Relationship Id="rId238" Type="http://schemas.openxmlformats.org/officeDocument/2006/relationships/hyperlink" Target="http://www.garmin.com/" TargetMode="External"/><Relationship Id="rId445" Type="http://schemas.openxmlformats.org/officeDocument/2006/relationships/table" Target="../tables/table1.xml"/><Relationship Id="rId291" Type="http://schemas.openxmlformats.org/officeDocument/2006/relationships/hyperlink" Target="http://www.garmin.com/" TargetMode="External"/><Relationship Id="rId305" Type="http://schemas.openxmlformats.org/officeDocument/2006/relationships/hyperlink" Target="http://www.garmin.com/" TargetMode="External"/><Relationship Id="rId347" Type="http://schemas.openxmlformats.org/officeDocument/2006/relationships/hyperlink" Target="http://www.garmin.com/" TargetMode="External"/><Relationship Id="rId44" Type="http://schemas.openxmlformats.org/officeDocument/2006/relationships/hyperlink" Target="http://www.garmin.com/" TargetMode="External"/><Relationship Id="rId86" Type="http://schemas.openxmlformats.org/officeDocument/2006/relationships/hyperlink" Target="http://www.garmin.com/" TargetMode="External"/><Relationship Id="rId151" Type="http://schemas.openxmlformats.org/officeDocument/2006/relationships/hyperlink" Target="http://www.garmin.com/" TargetMode="External"/><Relationship Id="rId389" Type="http://schemas.openxmlformats.org/officeDocument/2006/relationships/hyperlink" Target="http://www.garmin.com/" TargetMode="External"/><Relationship Id="rId193" Type="http://schemas.openxmlformats.org/officeDocument/2006/relationships/hyperlink" Target="http://www.garmin.com/" TargetMode="External"/><Relationship Id="rId207" Type="http://schemas.openxmlformats.org/officeDocument/2006/relationships/hyperlink" Target="http://www.garmin.com/" TargetMode="External"/><Relationship Id="rId249" Type="http://schemas.openxmlformats.org/officeDocument/2006/relationships/hyperlink" Target="http://www.garmin.com/" TargetMode="External"/><Relationship Id="rId414" Type="http://schemas.openxmlformats.org/officeDocument/2006/relationships/hyperlink" Target="http://www.garmin.com/" TargetMode="External"/><Relationship Id="rId13" Type="http://schemas.openxmlformats.org/officeDocument/2006/relationships/hyperlink" Target="http://www.garmin.com/" TargetMode="External"/><Relationship Id="rId109" Type="http://schemas.openxmlformats.org/officeDocument/2006/relationships/hyperlink" Target="http://www.garmin.com/" TargetMode="External"/><Relationship Id="rId260" Type="http://schemas.openxmlformats.org/officeDocument/2006/relationships/hyperlink" Target="http://www.garmin.com/" TargetMode="External"/><Relationship Id="rId316" Type="http://schemas.openxmlformats.org/officeDocument/2006/relationships/hyperlink" Target="http://www.garmin.com/" TargetMode="External"/><Relationship Id="rId55" Type="http://schemas.openxmlformats.org/officeDocument/2006/relationships/hyperlink" Target="http://www.garmin.com/" TargetMode="External"/><Relationship Id="rId97" Type="http://schemas.openxmlformats.org/officeDocument/2006/relationships/hyperlink" Target="http://www.garmin.com/" TargetMode="External"/><Relationship Id="rId120" Type="http://schemas.openxmlformats.org/officeDocument/2006/relationships/hyperlink" Target="http://www.garmin.com/" TargetMode="External"/><Relationship Id="rId358" Type="http://schemas.openxmlformats.org/officeDocument/2006/relationships/hyperlink" Target="http://www.garmin.com/" TargetMode="External"/><Relationship Id="rId162" Type="http://schemas.openxmlformats.org/officeDocument/2006/relationships/hyperlink" Target="http://www.garmin.com/" TargetMode="External"/><Relationship Id="rId218" Type="http://schemas.openxmlformats.org/officeDocument/2006/relationships/hyperlink" Target="http://www.garmin.com/" TargetMode="External"/><Relationship Id="rId425" Type="http://schemas.openxmlformats.org/officeDocument/2006/relationships/hyperlink" Target="http://www.garmin.com/" TargetMode="External"/><Relationship Id="rId271" Type="http://schemas.openxmlformats.org/officeDocument/2006/relationships/hyperlink" Target="http://www.garmin.com/" TargetMode="External"/><Relationship Id="rId24" Type="http://schemas.openxmlformats.org/officeDocument/2006/relationships/hyperlink" Target="http://www.garmin.com/" TargetMode="External"/><Relationship Id="rId66" Type="http://schemas.openxmlformats.org/officeDocument/2006/relationships/hyperlink" Target="http://www.garmin.com/" TargetMode="External"/><Relationship Id="rId131" Type="http://schemas.openxmlformats.org/officeDocument/2006/relationships/hyperlink" Target="http://www.garmin.com/" TargetMode="External"/><Relationship Id="rId327" Type="http://schemas.openxmlformats.org/officeDocument/2006/relationships/hyperlink" Target="http://www.garmin.com/" TargetMode="External"/><Relationship Id="rId369" Type="http://schemas.openxmlformats.org/officeDocument/2006/relationships/hyperlink" Target="http://www.garmin.com/" TargetMode="External"/><Relationship Id="rId173" Type="http://schemas.openxmlformats.org/officeDocument/2006/relationships/hyperlink" Target="http://www.garmin.com/" TargetMode="External"/><Relationship Id="rId229" Type="http://schemas.openxmlformats.org/officeDocument/2006/relationships/hyperlink" Target="http://www.garmin.com/" TargetMode="External"/><Relationship Id="rId380" Type="http://schemas.openxmlformats.org/officeDocument/2006/relationships/hyperlink" Target="http://www.garmin.com/" TargetMode="External"/><Relationship Id="rId436" Type="http://schemas.openxmlformats.org/officeDocument/2006/relationships/hyperlink" Target="http://www.garmin.com/" TargetMode="External"/><Relationship Id="rId240" Type="http://schemas.openxmlformats.org/officeDocument/2006/relationships/hyperlink" Target="http://www.garmin.com/" TargetMode="External"/><Relationship Id="rId35" Type="http://schemas.openxmlformats.org/officeDocument/2006/relationships/hyperlink" Target="http://www.garmin.com/" TargetMode="External"/><Relationship Id="rId77" Type="http://schemas.openxmlformats.org/officeDocument/2006/relationships/hyperlink" Target="http://www.garmin.com/" TargetMode="External"/><Relationship Id="rId100" Type="http://schemas.openxmlformats.org/officeDocument/2006/relationships/hyperlink" Target="http://www.garmin.com/" TargetMode="External"/><Relationship Id="rId282" Type="http://schemas.openxmlformats.org/officeDocument/2006/relationships/hyperlink" Target="http://www.garmin.com/" TargetMode="External"/><Relationship Id="rId338" Type="http://schemas.openxmlformats.org/officeDocument/2006/relationships/hyperlink" Target="http://www.garmin.com/" TargetMode="External"/><Relationship Id="rId8" Type="http://schemas.openxmlformats.org/officeDocument/2006/relationships/hyperlink" Target="http://www.garmin.com/" TargetMode="External"/><Relationship Id="rId142" Type="http://schemas.openxmlformats.org/officeDocument/2006/relationships/hyperlink" Target="http://www.garmin.com/" TargetMode="External"/><Relationship Id="rId184" Type="http://schemas.openxmlformats.org/officeDocument/2006/relationships/hyperlink" Target="http://www.garmin.com/" TargetMode="External"/><Relationship Id="rId391" Type="http://schemas.openxmlformats.org/officeDocument/2006/relationships/hyperlink" Target="http://www.garmin.com/" TargetMode="External"/><Relationship Id="rId405" Type="http://schemas.openxmlformats.org/officeDocument/2006/relationships/hyperlink" Target="http://www.garmin.com/" TargetMode="External"/><Relationship Id="rId251" Type="http://schemas.openxmlformats.org/officeDocument/2006/relationships/hyperlink" Target="http://www.garmin.com/" TargetMode="External"/><Relationship Id="rId46" Type="http://schemas.openxmlformats.org/officeDocument/2006/relationships/hyperlink" Target="http://www.garmin.com/" TargetMode="External"/><Relationship Id="rId293" Type="http://schemas.openxmlformats.org/officeDocument/2006/relationships/hyperlink" Target="http://www.garmin.com/" TargetMode="External"/><Relationship Id="rId307" Type="http://schemas.openxmlformats.org/officeDocument/2006/relationships/hyperlink" Target="http://www.garmin.com/" TargetMode="External"/><Relationship Id="rId349" Type="http://schemas.openxmlformats.org/officeDocument/2006/relationships/hyperlink" Target="http://www.garmin.com/" TargetMode="External"/><Relationship Id="rId88" Type="http://schemas.openxmlformats.org/officeDocument/2006/relationships/hyperlink" Target="http://www.garmin.com/" TargetMode="External"/><Relationship Id="rId111" Type="http://schemas.openxmlformats.org/officeDocument/2006/relationships/hyperlink" Target="http://www.garmin.com/" TargetMode="External"/><Relationship Id="rId153" Type="http://schemas.openxmlformats.org/officeDocument/2006/relationships/hyperlink" Target="http://www.garmin.com/" TargetMode="External"/><Relationship Id="rId195" Type="http://schemas.openxmlformats.org/officeDocument/2006/relationships/hyperlink" Target="http://www.garmin.com/" TargetMode="External"/><Relationship Id="rId209" Type="http://schemas.openxmlformats.org/officeDocument/2006/relationships/hyperlink" Target="http://www.garmin.com/" TargetMode="External"/><Relationship Id="rId360" Type="http://schemas.openxmlformats.org/officeDocument/2006/relationships/hyperlink" Target="http://www.garmin.com/" TargetMode="External"/><Relationship Id="rId416" Type="http://schemas.openxmlformats.org/officeDocument/2006/relationships/hyperlink" Target="http://www.garmin.com/" TargetMode="External"/><Relationship Id="rId220" Type="http://schemas.openxmlformats.org/officeDocument/2006/relationships/hyperlink" Target="http://www.garmin.com/" TargetMode="External"/><Relationship Id="rId15" Type="http://schemas.openxmlformats.org/officeDocument/2006/relationships/hyperlink" Target="http://www.garmin.com/" TargetMode="External"/><Relationship Id="rId57" Type="http://schemas.openxmlformats.org/officeDocument/2006/relationships/hyperlink" Target="http://www.garmin.com/" TargetMode="External"/><Relationship Id="rId262" Type="http://schemas.openxmlformats.org/officeDocument/2006/relationships/hyperlink" Target="http://www.garmin.com/" TargetMode="External"/><Relationship Id="rId318" Type="http://schemas.openxmlformats.org/officeDocument/2006/relationships/hyperlink" Target="http://www.garmin.com/" TargetMode="External"/><Relationship Id="rId99" Type="http://schemas.openxmlformats.org/officeDocument/2006/relationships/hyperlink" Target="http://www.garmin.com/" TargetMode="External"/><Relationship Id="rId122" Type="http://schemas.openxmlformats.org/officeDocument/2006/relationships/hyperlink" Target="http://www.garmin.com/" TargetMode="External"/><Relationship Id="rId164" Type="http://schemas.openxmlformats.org/officeDocument/2006/relationships/hyperlink" Target="http://www.garmin.com/" TargetMode="External"/><Relationship Id="rId371" Type="http://schemas.openxmlformats.org/officeDocument/2006/relationships/hyperlink" Target="http://www.garmin.com/" TargetMode="External"/><Relationship Id="rId427" Type="http://schemas.openxmlformats.org/officeDocument/2006/relationships/hyperlink" Target="http://www.garmin.com/" TargetMode="External"/><Relationship Id="rId26" Type="http://schemas.openxmlformats.org/officeDocument/2006/relationships/hyperlink" Target="http://www.garmin.com/" TargetMode="External"/><Relationship Id="rId231" Type="http://schemas.openxmlformats.org/officeDocument/2006/relationships/hyperlink" Target="http://www.garmin.com/" TargetMode="External"/><Relationship Id="rId273" Type="http://schemas.openxmlformats.org/officeDocument/2006/relationships/hyperlink" Target="http://www.garmin.com/" TargetMode="External"/><Relationship Id="rId329" Type="http://schemas.openxmlformats.org/officeDocument/2006/relationships/hyperlink" Target="http://www.garmin.com/" TargetMode="External"/><Relationship Id="rId68" Type="http://schemas.openxmlformats.org/officeDocument/2006/relationships/hyperlink" Target="http://www.garmin.com/" TargetMode="External"/><Relationship Id="rId133" Type="http://schemas.openxmlformats.org/officeDocument/2006/relationships/hyperlink" Target="http://www.garmin.com/" TargetMode="External"/><Relationship Id="rId175" Type="http://schemas.openxmlformats.org/officeDocument/2006/relationships/hyperlink" Target="http://www.garmin.com/" TargetMode="External"/><Relationship Id="rId340" Type="http://schemas.openxmlformats.org/officeDocument/2006/relationships/hyperlink" Target="http://www.garmin.com/" TargetMode="External"/><Relationship Id="rId200" Type="http://schemas.openxmlformats.org/officeDocument/2006/relationships/hyperlink" Target="http://www.garmin.com/" TargetMode="External"/><Relationship Id="rId382" Type="http://schemas.openxmlformats.org/officeDocument/2006/relationships/hyperlink" Target="http://www.garmin.com/" TargetMode="External"/><Relationship Id="rId438" Type="http://schemas.openxmlformats.org/officeDocument/2006/relationships/hyperlink" Target="http://www.garmin.com/" TargetMode="External"/><Relationship Id="rId242" Type="http://schemas.openxmlformats.org/officeDocument/2006/relationships/hyperlink" Target="http://www.garmin.com/" TargetMode="External"/><Relationship Id="rId284" Type="http://schemas.openxmlformats.org/officeDocument/2006/relationships/hyperlink" Target="http://www.garmin.com/" TargetMode="External"/><Relationship Id="rId37" Type="http://schemas.openxmlformats.org/officeDocument/2006/relationships/hyperlink" Target="http://www.garmin.com/" TargetMode="External"/><Relationship Id="rId79" Type="http://schemas.openxmlformats.org/officeDocument/2006/relationships/hyperlink" Target="http://www.garmin.com/" TargetMode="External"/><Relationship Id="rId102" Type="http://schemas.openxmlformats.org/officeDocument/2006/relationships/hyperlink" Target="http://www.garmin.com/" TargetMode="External"/><Relationship Id="rId144" Type="http://schemas.openxmlformats.org/officeDocument/2006/relationships/hyperlink" Target="http://www.garmin.com/" TargetMode="External"/><Relationship Id="rId90" Type="http://schemas.openxmlformats.org/officeDocument/2006/relationships/hyperlink" Target="http://www.garmin.com/" TargetMode="External"/><Relationship Id="rId186" Type="http://schemas.openxmlformats.org/officeDocument/2006/relationships/hyperlink" Target="http://www.garmin.com/" TargetMode="External"/><Relationship Id="rId351" Type="http://schemas.openxmlformats.org/officeDocument/2006/relationships/hyperlink" Target="http://www.garmin.com/" TargetMode="External"/><Relationship Id="rId393" Type="http://schemas.openxmlformats.org/officeDocument/2006/relationships/hyperlink" Target="http://www.garmin.com/" TargetMode="External"/><Relationship Id="rId407" Type="http://schemas.openxmlformats.org/officeDocument/2006/relationships/hyperlink" Target="http://www.garmin.com/" TargetMode="External"/><Relationship Id="rId211" Type="http://schemas.openxmlformats.org/officeDocument/2006/relationships/hyperlink" Target="http://www.garmin.com/" TargetMode="External"/><Relationship Id="rId253" Type="http://schemas.openxmlformats.org/officeDocument/2006/relationships/hyperlink" Target="http://www.garmin.com/" TargetMode="External"/><Relationship Id="rId295" Type="http://schemas.openxmlformats.org/officeDocument/2006/relationships/hyperlink" Target="http://www.garmin.com/" TargetMode="External"/><Relationship Id="rId309" Type="http://schemas.openxmlformats.org/officeDocument/2006/relationships/hyperlink" Target="http://www.garmin.com/" TargetMode="External"/><Relationship Id="rId48" Type="http://schemas.openxmlformats.org/officeDocument/2006/relationships/hyperlink" Target="http://www.garmin.com/" TargetMode="External"/><Relationship Id="rId113" Type="http://schemas.openxmlformats.org/officeDocument/2006/relationships/hyperlink" Target="http://www.garmin.com/" TargetMode="External"/><Relationship Id="rId320" Type="http://schemas.openxmlformats.org/officeDocument/2006/relationships/hyperlink" Target="http://www.garmin.com/" TargetMode="External"/><Relationship Id="rId155" Type="http://schemas.openxmlformats.org/officeDocument/2006/relationships/hyperlink" Target="http://www.garmin.com/" TargetMode="External"/><Relationship Id="rId197" Type="http://schemas.openxmlformats.org/officeDocument/2006/relationships/hyperlink" Target="http://www.garmin.com/" TargetMode="External"/><Relationship Id="rId362" Type="http://schemas.openxmlformats.org/officeDocument/2006/relationships/hyperlink" Target="http://www.garmin.com/" TargetMode="External"/><Relationship Id="rId418" Type="http://schemas.openxmlformats.org/officeDocument/2006/relationships/hyperlink" Target="http://www.garmin.com/" TargetMode="External"/><Relationship Id="rId222" Type="http://schemas.openxmlformats.org/officeDocument/2006/relationships/hyperlink" Target="http://www.garmin.com/" TargetMode="External"/><Relationship Id="rId264" Type="http://schemas.openxmlformats.org/officeDocument/2006/relationships/hyperlink" Target="http://www.garmin.com/" TargetMode="External"/><Relationship Id="rId17" Type="http://schemas.openxmlformats.org/officeDocument/2006/relationships/hyperlink" Target="http://www.garmin.com/" TargetMode="External"/><Relationship Id="rId59" Type="http://schemas.openxmlformats.org/officeDocument/2006/relationships/hyperlink" Target="http://www.garmin.com/" TargetMode="External"/><Relationship Id="rId124" Type="http://schemas.openxmlformats.org/officeDocument/2006/relationships/hyperlink" Target="http://www.garmin.com/" TargetMode="External"/><Relationship Id="rId70" Type="http://schemas.openxmlformats.org/officeDocument/2006/relationships/hyperlink" Target="http://www.garmin.com/" TargetMode="External"/><Relationship Id="rId166" Type="http://schemas.openxmlformats.org/officeDocument/2006/relationships/hyperlink" Target="http://www.garmin.com/" TargetMode="External"/><Relationship Id="rId331" Type="http://schemas.openxmlformats.org/officeDocument/2006/relationships/hyperlink" Target="http://www.garmin.com/" TargetMode="External"/><Relationship Id="rId373" Type="http://schemas.openxmlformats.org/officeDocument/2006/relationships/hyperlink" Target="http://www.garmin.com/" TargetMode="External"/><Relationship Id="rId429" Type="http://schemas.openxmlformats.org/officeDocument/2006/relationships/hyperlink" Target="http://www.garmin.com/" TargetMode="External"/><Relationship Id="rId1" Type="http://schemas.openxmlformats.org/officeDocument/2006/relationships/hyperlink" Target="http://www.garmin.com/" TargetMode="External"/><Relationship Id="rId233" Type="http://schemas.openxmlformats.org/officeDocument/2006/relationships/hyperlink" Target="http://www.garmin.com/" TargetMode="External"/><Relationship Id="rId440" Type="http://schemas.openxmlformats.org/officeDocument/2006/relationships/hyperlink" Target="http://www.garmin.com/" TargetMode="External"/><Relationship Id="rId28" Type="http://schemas.openxmlformats.org/officeDocument/2006/relationships/hyperlink" Target="http://www.garmin.com/" TargetMode="External"/><Relationship Id="rId275" Type="http://schemas.openxmlformats.org/officeDocument/2006/relationships/hyperlink" Target="http://www.garmin.com/" TargetMode="External"/><Relationship Id="rId300" Type="http://schemas.openxmlformats.org/officeDocument/2006/relationships/hyperlink" Target="http://www.garmin.com/" TargetMode="External"/><Relationship Id="rId81" Type="http://schemas.openxmlformats.org/officeDocument/2006/relationships/hyperlink" Target="http://www.garmin.com/" TargetMode="External"/><Relationship Id="rId135" Type="http://schemas.openxmlformats.org/officeDocument/2006/relationships/hyperlink" Target="http://www.garmin.com/" TargetMode="External"/><Relationship Id="rId177" Type="http://schemas.openxmlformats.org/officeDocument/2006/relationships/hyperlink" Target="http://www.garmin.com/" TargetMode="External"/><Relationship Id="rId342" Type="http://schemas.openxmlformats.org/officeDocument/2006/relationships/hyperlink" Target="http://www.garmin.com/" TargetMode="External"/><Relationship Id="rId384" Type="http://schemas.openxmlformats.org/officeDocument/2006/relationships/hyperlink" Target="http://www.garmin.com/" TargetMode="External"/><Relationship Id="rId202" Type="http://schemas.openxmlformats.org/officeDocument/2006/relationships/hyperlink" Target="http://www.garmin.com/" TargetMode="External"/><Relationship Id="rId244" Type="http://schemas.openxmlformats.org/officeDocument/2006/relationships/hyperlink" Target="http://www.garmi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D31F-61C7-4FBA-A7DD-F43ADA917716}">
  <dimension ref="A1:N449"/>
  <sheetViews>
    <sheetView workbookViewId="0">
      <selection activeCell="C1" sqref="C1:C1048576"/>
    </sheetView>
  </sheetViews>
  <sheetFormatPr defaultRowHeight="14.5" x14ac:dyDescent="0.35"/>
  <cols>
    <col min="3" max="3" width="11.1796875" bestFit="1" customWidth="1"/>
    <col min="4" max="4" width="9.1796875" bestFit="1" customWidth="1"/>
    <col min="5" max="5" width="21.54296875" bestFit="1" customWidth="1"/>
    <col min="6" max="6" width="18.453125" bestFit="1" customWidth="1"/>
    <col min="7" max="7" width="19.26953125" bestFit="1" customWidth="1"/>
    <col min="8" max="9" width="9.81640625" bestFit="1" customWidth="1"/>
    <col min="10" max="10" width="10.81640625" bestFit="1" customWidth="1"/>
    <col min="11" max="11" width="19.26953125" bestFit="1" customWidth="1"/>
    <col min="12" max="12" width="11.26953125" bestFit="1" customWidth="1"/>
    <col min="13" max="13" width="9.90625" bestFit="1" customWidth="1"/>
    <col min="14" max="14" width="11.453125" style="28" customWidth="1"/>
  </cols>
  <sheetData>
    <row r="1" spans="1:14" x14ac:dyDescent="0.35">
      <c r="A1" t="s">
        <v>747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10</v>
      </c>
      <c r="L1" t="s">
        <v>8</v>
      </c>
      <c r="M1" t="s">
        <v>9</v>
      </c>
      <c r="N1" s="28" t="s">
        <v>748</v>
      </c>
    </row>
    <row r="2" spans="1:14" x14ac:dyDescent="0.35">
      <c r="A2">
        <v>1</v>
      </c>
      <c r="C2" s="1" t="s">
        <v>11</v>
      </c>
      <c r="D2">
        <v>1.1000000000000001</v>
      </c>
      <c r="E2" s="2" t="s">
        <v>12</v>
      </c>
      <c r="F2" s="1" t="s">
        <v>13</v>
      </c>
      <c r="G2" s="3" t="s">
        <v>14</v>
      </c>
      <c r="H2">
        <v>33.996805000000002</v>
      </c>
      <c r="I2">
        <v>71.440115000000006</v>
      </c>
      <c r="J2">
        <v>402.86071800000002</v>
      </c>
      <c r="K2" s="3" t="s">
        <v>14</v>
      </c>
      <c r="L2">
        <v>1</v>
      </c>
      <c r="M2" s="1" t="s">
        <v>61</v>
      </c>
      <c r="N2" s="29" t="str">
        <f>LEFT(Table17[[#This Row],[ns1:time2]],10)</f>
        <v>2022-09-12</v>
      </c>
    </row>
    <row r="3" spans="1:14" x14ac:dyDescent="0.35">
      <c r="A3">
        <f>A2+1</f>
        <v>2</v>
      </c>
      <c r="C3" s="1" t="s">
        <v>11</v>
      </c>
      <c r="D3">
        <v>1.1000000000000001</v>
      </c>
      <c r="E3" s="2" t="s">
        <v>12</v>
      </c>
      <c r="F3" s="1" t="s">
        <v>13</v>
      </c>
      <c r="G3" s="3" t="s">
        <v>14</v>
      </c>
      <c r="H3">
        <v>33.996749999999999</v>
      </c>
      <c r="I3">
        <v>71.440866</v>
      </c>
      <c r="J3">
        <v>404.09481799999998</v>
      </c>
      <c r="K3" s="3" t="s">
        <v>15</v>
      </c>
      <c r="L3">
        <v>2</v>
      </c>
      <c r="M3" s="1" t="s">
        <v>61</v>
      </c>
      <c r="N3" s="29" t="str">
        <f>LEFT(Table17[[#This Row],[ns1:time2]],10)</f>
        <v>2022-09-12</v>
      </c>
    </row>
    <row r="4" spans="1:14" x14ac:dyDescent="0.35">
      <c r="A4">
        <f t="shared" ref="A4:A67" si="0">A3+1</f>
        <v>3</v>
      </c>
      <c r="C4" s="1" t="s">
        <v>11</v>
      </c>
      <c r="D4">
        <v>1.1000000000000001</v>
      </c>
      <c r="E4" s="2" t="s">
        <v>12</v>
      </c>
      <c r="F4" s="1" t="s">
        <v>13</v>
      </c>
      <c r="G4" s="3" t="s">
        <v>14</v>
      </c>
      <c r="H4">
        <v>33.996701999999999</v>
      </c>
      <c r="I4">
        <v>71.441635000000005</v>
      </c>
      <c r="J4">
        <v>404.48727400000001</v>
      </c>
      <c r="K4" s="3" t="s">
        <v>16</v>
      </c>
      <c r="L4">
        <v>3</v>
      </c>
      <c r="M4" s="1" t="s">
        <v>61</v>
      </c>
      <c r="N4" s="29" t="str">
        <f>LEFT(Table17[[#This Row],[ns1:time2]],10)</f>
        <v>2022-09-12</v>
      </c>
    </row>
    <row r="5" spans="1:14" x14ac:dyDescent="0.35">
      <c r="A5">
        <f t="shared" si="0"/>
        <v>4</v>
      </c>
      <c r="C5" s="1" t="s">
        <v>11</v>
      </c>
      <c r="D5">
        <v>1.1000000000000001</v>
      </c>
      <c r="E5" s="2" t="s">
        <v>12</v>
      </c>
      <c r="F5" s="1" t="s">
        <v>13</v>
      </c>
      <c r="G5" s="3" t="s">
        <v>14</v>
      </c>
      <c r="H5">
        <v>33.996651</v>
      </c>
      <c r="I5">
        <v>71.442519000000004</v>
      </c>
      <c r="J5">
        <v>404.04547100000002</v>
      </c>
      <c r="K5" s="3" t="s">
        <v>17</v>
      </c>
      <c r="L5">
        <v>4</v>
      </c>
      <c r="M5" s="1" t="s">
        <v>61</v>
      </c>
      <c r="N5" s="29" t="str">
        <f>LEFT(Table17[[#This Row],[ns1:time2]],10)</f>
        <v>2022-09-12</v>
      </c>
    </row>
    <row r="6" spans="1:14" x14ac:dyDescent="0.35">
      <c r="A6">
        <f t="shared" si="0"/>
        <v>5</v>
      </c>
      <c r="C6" s="1" t="s">
        <v>11</v>
      </c>
      <c r="D6">
        <v>1.1000000000000001</v>
      </c>
      <c r="E6" s="2" t="s">
        <v>12</v>
      </c>
      <c r="F6" s="1" t="s">
        <v>13</v>
      </c>
      <c r="G6" s="3" t="s">
        <v>14</v>
      </c>
      <c r="H6">
        <v>33.996628999999999</v>
      </c>
      <c r="I6">
        <v>71.442920000000001</v>
      </c>
      <c r="J6">
        <v>404.73602299999999</v>
      </c>
      <c r="K6" s="3" t="s">
        <v>18</v>
      </c>
      <c r="L6">
        <v>5</v>
      </c>
      <c r="M6" s="1" t="s">
        <v>61</v>
      </c>
      <c r="N6" s="29" t="str">
        <f>LEFT(Table17[[#This Row],[ns1:time2]],10)</f>
        <v>2022-09-12</v>
      </c>
    </row>
    <row r="7" spans="1:14" x14ac:dyDescent="0.35">
      <c r="A7">
        <f t="shared" si="0"/>
        <v>6</v>
      </c>
      <c r="C7" s="1" t="s">
        <v>11</v>
      </c>
      <c r="D7">
        <v>1.1000000000000001</v>
      </c>
      <c r="E7" s="2" t="s">
        <v>12</v>
      </c>
      <c r="F7" s="1" t="s">
        <v>13</v>
      </c>
      <c r="G7" s="3" t="s">
        <v>14</v>
      </c>
      <c r="H7">
        <v>33.996603999999998</v>
      </c>
      <c r="I7">
        <v>71.443309999999997</v>
      </c>
      <c r="J7">
        <v>403.39300500000002</v>
      </c>
      <c r="K7" s="3" t="s">
        <v>19</v>
      </c>
      <c r="L7">
        <v>6</v>
      </c>
      <c r="M7" s="1" t="s">
        <v>61</v>
      </c>
      <c r="N7" s="29" t="str">
        <f>LEFT(Table17[[#This Row],[ns1:time2]],10)</f>
        <v>2022-09-12</v>
      </c>
    </row>
    <row r="8" spans="1:14" x14ac:dyDescent="0.35">
      <c r="A8">
        <f t="shared" si="0"/>
        <v>7</v>
      </c>
      <c r="C8" s="1" t="s">
        <v>11</v>
      </c>
      <c r="D8">
        <v>1.1000000000000001</v>
      </c>
      <c r="E8" s="2" t="s">
        <v>12</v>
      </c>
      <c r="F8" s="1" t="s">
        <v>13</v>
      </c>
      <c r="G8" s="3" t="s">
        <v>14</v>
      </c>
      <c r="H8">
        <v>33.996184</v>
      </c>
      <c r="I8">
        <v>71.443397000000004</v>
      </c>
      <c r="J8">
        <v>402.47497600000003</v>
      </c>
      <c r="K8" s="3" t="s">
        <v>20</v>
      </c>
      <c r="L8">
        <v>7</v>
      </c>
      <c r="M8" s="1" t="s">
        <v>61</v>
      </c>
      <c r="N8" s="29" t="str">
        <f>LEFT(Table17[[#This Row],[ns1:time2]],10)</f>
        <v>2022-09-12</v>
      </c>
    </row>
    <row r="9" spans="1:14" x14ac:dyDescent="0.35">
      <c r="A9">
        <f t="shared" si="0"/>
        <v>8</v>
      </c>
      <c r="C9" s="1" t="s">
        <v>11</v>
      </c>
      <c r="D9">
        <v>1.1000000000000001</v>
      </c>
      <c r="E9" s="2" t="s">
        <v>12</v>
      </c>
      <c r="F9" s="1" t="s">
        <v>13</v>
      </c>
      <c r="G9" s="3" t="s">
        <v>14</v>
      </c>
      <c r="H9">
        <v>33.995657999999999</v>
      </c>
      <c r="I9">
        <v>71.443360999999996</v>
      </c>
      <c r="J9">
        <v>399.20251500000001</v>
      </c>
      <c r="K9" s="3" t="s">
        <v>21</v>
      </c>
      <c r="L9">
        <v>8</v>
      </c>
      <c r="M9" s="1" t="s">
        <v>61</v>
      </c>
      <c r="N9" s="29" t="str">
        <f>LEFT(Table17[[#This Row],[ns1:time2]],10)</f>
        <v>2022-09-12</v>
      </c>
    </row>
    <row r="10" spans="1:14" x14ac:dyDescent="0.35">
      <c r="A10">
        <f t="shared" si="0"/>
        <v>9</v>
      </c>
      <c r="C10" s="1" t="s">
        <v>11</v>
      </c>
      <c r="D10">
        <v>1.1000000000000001</v>
      </c>
      <c r="E10" s="2" t="s">
        <v>12</v>
      </c>
      <c r="F10" s="1" t="s">
        <v>13</v>
      </c>
      <c r="G10" s="3" t="s">
        <v>14</v>
      </c>
      <c r="H10">
        <v>33.995655999999997</v>
      </c>
      <c r="I10">
        <v>71.443374000000006</v>
      </c>
      <c r="J10">
        <v>399.17108200000001</v>
      </c>
      <c r="K10" s="3" t="s">
        <v>22</v>
      </c>
      <c r="L10">
        <v>9</v>
      </c>
      <c r="M10" s="1" t="s">
        <v>61</v>
      </c>
      <c r="N10" s="29" t="str">
        <f>LEFT(Table17[[#This Row],[ns1:time2]],10)</f>
        <v>2022-09-12</v>
      </c>
    </row>
    <row r="11" spans="1:14" x14ac:dyDescent="0.35">
      <c r="A11">
        <f t="shared" si="0"/>
        <v>10</v>
      </c>
      <c r="C11" s="1" t="s">
        <v>11</v>
      </c>
      <c r="D11">
        <v>1.1000000000000001</v>
      </c>
      <c r="E11" s="2" t="s">
        <v>12</v>
      </c>
      <c r="F11" s="1" t="s">
        <v>13</v>
      </c>
      <c r="G11" s="3" t="s">
        <v>14</v>
      </c>
      <c r="H11">
        <v>33.995666999999997</v>
      </c>
      <c r="I11">
        <v>71.443359999999998</v>
      </c>
      <c r="J11">
        <v>399.235321</v>
      </c>
      <c r="K11" s="3" t="s">
        <v>23</v>
      </c>
      <c r="L11">
        <v>10</v>
      </c>
      <c r="M11" s="1" t="s">
        <v>61</v>
      </c>
      <c r="N11" s="29" t="str">
        <f>LEFT(Table17[[#This Row],[ns1:time2]],10)</f>
        <v>2022-09-12</v>
      </c>
    </row>
    <row r="12" spans="1:14" x14ac:dyDescent="0.35">
      <c r="A12">
        <f t="shared" si="0"/>
        <v>11</v>
      </c>
      <c r="C12" s="1" t="s">
        <v>11</v>
      </c>
      <c r="D12">
        <v>1.1000000000000001</v>
      </c>
      <c r="E12" s="2" t="s">
        <v>12</v>
      </c>
      <c r="F12" s="1" t="s">
        <v>13</v>
      </c>
      <c r="G12" s="3" t="s">
        <v>14</v>
      </c>
      <c r="H12">
        <v>33.995356000000001</v>
      </c>
      <c r="I12">
        <v>71.443335000000005</v>
      </c>
      <c r="J12">
        <v>397.100525</v>
      </c>
      <c r="K12" s="3" t="s">
        <v>24</v>
      </c>
      <c r="L12">
        <v>11</v>
      </c>
      <c r="M12" s="1" t="s">
        <v>61</v>
      </c>
      <c r="N12" s="29" t="str">
        <f>LEFT(Table17[[#This Row],[ns1:time2]],10)</f>
        <v>2022-09-12</v>
      </c>
    </row>
    <row r="13" spans="1:14" x14ac:dyDescent="0.35">
      <c r="A13">
        <f t="shared" si="0"/>
        <v>12</v>
      </c>
      <c r="C13" s="1" t="s">
        <v>11</v>
      </c>
      <c r="D13">
        <v>1.1000000000000001</v>
      </c>
      <c r="E13" s="2" t="s">
        <v>12</v>
      </c>
      <c r="F13" s="1" t="s">
        <v>13</v>
      </c>
      <c r="G13" s="3" t="s">
        <v>14</v>
      </c>
      <c r="H13">
        <v>33.995412999999999</v>
      </c>
      <c r="I13">
        <v>71.443883</v>
      </c>
      <c r="J13">
        <v>401.54406699999998</v>
      </c>
      <c r="K13" s="3" t="s">
        <v>25</v>
      </c>
      <c r="L13">
        <v>12</v>
      </c>
      <c r="M13" s="1" t="s">
        <v>61</v>
      </c>
      <c r="N13" s="29" t="str">
        <f>LEFT(Table17[[#This Row],[ns1:time2]],10)</f>
        <v>2022-09-12</v>
      </c>
    </row>
    <row r="14" spans="1:14" x14ac:dyDescent="0.35">
      <c r="A14">
        <f t="shared" si="0"/>
        <v>13</v>
      </c>
      <c r="C14" s="1" t="s">
        <v>11</v>
      </c>
      <c r="D14">
        <v>1.1000000000000001</v>
      </c>
      <c r="E14" s="2" t="s">
        <v>12</v>
      </c>
      <c r="F14" s="1" t="s">
        <v>13</v>
      </c>
      <c r="G14" s="3" t="s">
        <v>14</v>
      </c>
      <c r="H14">
        <v>33.995772000000002</v>
      </c>
      <c r="I14">
        <v>71.444066000000007</v>
      </c>
      <c r="J14">
        <v>400.640961</v>
      </c>
      <c r="K14" s="3" t="s">
        <v>26</v>
      </c>
      <c r="L14">
        <v>13</v>
      </c>
      <c r="M14" s="1" t="s">
        <v>61</v>
      </c>
      <c r="N14" s="29" t="str">
        <f>LEFT(Table17[[#This Row],[ns1:time2]],10)</f>
        <v>2022-09-12</v>
      </c>
    </row>
    <row r="15" spans="1:14" x14ac:dyDescent="0.35">
      <c r="A15">
        <f t="shared" si="0"/>
        <v>14</v>
      </c>
      <c r="C15" s="1" t="s">
        <v>11</v>
      </c>
      <c r="D15">
        <v>1.1000000000000001</v>
      </c>
      <c r="E15" s="2" t="s">
        <v>12</v>
      </c>
      <c r="F15" s="1" t="s">
        <v>13</v>
      </c>
      <c r="G15" s="3" t="s">
        <v>14</v>
      </c>
      <c r="H15">
        <v>33.996138999999999</v>
      </c>
      <c r="I15">
        <v>71.444076999999993</v>
      </c>
      <c r="J15">
        <v>399.90002399999997</v>
      </c>
      <c r="K15" s="3" t="s">
        <v>27</v>
      </c>
      <c r="L15">
        <v>14</v>
      </c>
      <c r="M15" s="1" t="s">
        <v>61</v>
      </c>
      <c r="N15" s="29" t="str">
        <f>LEFT(Table17[[#This Row],[ns1:time2]],10)</f>
        <v>2022-09-12</v>
      </c>
    </row>
    <row r="16" spans="1:14" x14ac:dyDescent="0.35">
      <c r="A16">
        <f t="shared" si="0"/>
        <v>15</v>
      </c>
      <c r="C16" s="1" t="s">
        <v>11</v>
      </c>
      <c r="D16">
        <v>1.1000000000000001</v>
      </c>
      <c r="E16" s="2" t="s">
        <v>12</v>
      </c>
      <c r="F16" s="1" t="s">
        <v>13</v>
      </c>
      <c r="G16" s="3" t="s">
        <v>14</v>
      </c>
      <c r="H16">
        <v>33.996457999999997</v>
      </c>
      <c r="I16">
        <v>71.444108999999997</v>
      </c>
      <c r="J16">
        <v>400.22277800000001</v>
      </c>
      <c r="K16" s="3" t="s">
        <v>28</v>
      </c>
      <c r="L16">
        <v>15</v>
      </c>
      <c r="M16" s="1" t="s">
        <v>61</v>
      </c>
      <c r="N16" s="29" t="str">
        <f>LEFT(Table17[[#This Row],[ns1:time2]],10)</f>
        <v>2022-09-12</v>
      </c>
    </row>
    <row r="17" spans="1:14" x14ac:dyDescent="0.35">
      <c r="A17">
        <f t="shared" si="0"/>
        <v>16</v>
      </c>
      <c r="C17" s="1" t="s">
        <v>11</v>
      </c>
      <c r="D17">
        <v>1.1000000000000001</v>
      </c>
      <c r="E17" s="2" t="s">
        <v>12</v>
      </c>
      <c r="F17" s="1" t="s">
        <v>13</v>
      </c>
      <c r="G17" s="3" t="s">
        <v>14</v>
      </c>
      <c r="H17">
        <v>33.996538000000001</v>
      </c>
      <c r="I17">
        <v>71.444396999999995</v>
      </c>
      <c r="J17">
        <v>400.79339599999997</v>
      </c>
      <c r="K17" s="3" t="s">
        <v>29</v>
      </c>
      <c r="L17">
        <v>16</v>
      </c>
      <c r="M17" s="1" t="s">
        <v>61</v>
      </c>
      <c r="N17" s="29" t="str">
        <f>LEFT(Table17[[#This Row],[ns1:time2]],10)</f>
        <v>2022-09-12</v>
      </c>
    </row>
    <row r="18" spans="1:14" x14ac:dyDescent="0.35">
      <c r="A18">
        <f t="shared" si="0"/>
        <v>17</v>
      </c>
      <c r="C18" s="1" t="s">
        <v>11</v>
      </c>
      <c r="D18">
        <v>1.1000000000000001</v>
      </c>
      <c r="E18" s="2" t="s">
        <v>12</v>
      </c>
      <c r="F18" s="1" t="s">
        <v>13</v>
      </c>
      <c r="G18" s="3" t="s">
        <v>14</v>
      </c>
      <c r="H18">
        <v>33.996540000000003</v>
      </c>
      <c r="I18">
        <v>71.445052000000004</v>
      </c>
      <c r="J18">
        <v>400.27954099999999</v>
      </c>
      <c r="K18" s="3" t="s">
        <v>30</v>
      </c>
      <c r="L18">
        <v>17</v>
      </c>
      <c r="M18" s="1" t="s">
        <v>61</v>
      </c>
      <c r="N18" s="29" t="str">
        <f>LEFT(Table17[[#This Row],[ns1:time2]],10)</f>
        <v>2022-09-12</v>
      </c>
    </row>
    <row r="19" spans="1:14" x14ac:dyDescent="0.35">
      <c r="A19">
        <f t="shared" si="0"/>
        <v>18</v>
      </c>
      <c r="C19" s="1" t="s">
        <v>11</v>
      </c>
      <c r="D19">
        <v>1.1000000000000001</v>
      </c>
      <c r="E19" s="2" t="s">
        <v>12</v>
      </c>
      <c r="F19" s="1" t="s">
        <v>13</v>
      </c>
      <c r="G19" s="3" t="s">
        <v>14</v>
      </c>
      <c r="H19">
        <v>33.996505999999997</v>
      </c>
      <c r="I19">
        <v>71.445867000000007</v>
      </c>
      <c r="J19">
        <v>399.798676</v>
      </c>
      <c r="K19" s="3" t="s">
        <v>31</v>
      </c>
      <c r="L19">
        <v>18</v>
      </c>
      <c r="M19" s="1" t="s">
        <v>61</v>
      </c>
      <c r="N19" s="29" t="str">
        <f>LEFT(Table17[[#This Row],[ns1:time2]],10)</f>
        <v>2022-09-12</v>
      </c>
    </row>
    <row r="20" spans="1:14" x14ac:dyDescent="0.35">
      <c r="A20">
        <f t="shared" si="0"/>
        <v>19</v>
      </c>
      <c r="C20" s="1" t="s">
        <v>11</v>
      </c>
      <c r="D20">
        <v>1.1000000000000001</v>
      </c>
      <c r="E20" s="2" t="s">
        <v>12</v>
      </c>
      <c r="F20" s="1" t="s">
        <v>13</v>
      </c>
      <c r="G20" s="3" t="s">
        <v>14</v>
      </c>
      <c r="H20">
        <v>33.996492000000003</v>
      </c>
      <c r="I20">
        <v>71.446698999999995</v>
      </c>
      <c r="J20">
        <v>400.39193699999998</v>
      </c>
      <c r="K20" s="3" t="s">
        <v>32</v>
      </c>
      <c r="L20">
        <v>19</v>
      </c>
      <c r="M20" s="1" t="s">
        <v>61</v>
      </c>
      <c r="N20" s="29" t="str">
        <f>LEFT(Table17[[#This Row],[ns1:time2]],10)</f>
        <v>2022-09-12</v>
      </c>
    </row>
    <row r="21" spans="1:14" x14ac:dyDescent="0.35">
      <c r="A21">
        <f t="shared" si="0"/>
        <v>20</v>
      </c>
      <c r="C21" s="1" t="s">
        <v>11</v>
      </c>
      <c r="D21">
        <v>1.1000000000000001</v>
      </c>
      <c r="E21" s="2" t="s">
        <v>12</v>
      </c>
      <c r="F21" s="1" t="s">
        <v>13</v>
      </c>
      <c r="G21" s="3" t="s">
        <v>14</v>
      </c>
      <c r="H21">
        <v>33.996409</v>
      </c>
      <c r="I21">
        <v>71.447551000000004</v>
      </c>
      <c r="J21">
        <v>399.50555400000002</v>
      </c>
      <c r="K21" s="3" t="s">
        <v>33</v>
      </c>
      <c r="L21">
        <v>20</v>
      </c>
      <c r="M21" s="1" t="s">
        <v>61</v>
      </c>
      <c r="N21" s="29" t="str">
        <f>LEFT(Table17[[#This Row],[ns1:time2]],10)</f>
        <v>2022-09-12</v>
      </c>
    </row>
    <row r="22" spans="1:14" x14ac:dyDescent="0.35">
      <c r="A22">
        <f t="shared" si="0"/>
        <v>21</v>
      </c>
      <c r="C22" s="1" t="s">
        <v>11</v>
      </c>
      <c r="D22">
        <v>1.1000000000000001</v>
      </c>
      <c r="E22" s="2" t="s">
        <v>12</v>
      </c>
      <c r="F22" s="1" t="s">
        <v>13</v>
      </c>
      <c r="G22" s="3" t="s">
        <v>14</v>
      </c>
      <c r="H22">
        <v>33.996394000000002</v>
      </c>
      <c r="I22">
        <v>71.448386999999997</v>
      </c>
      <c r="J22">
        <v>398.14041099999997</v>
      </c>
      <c r="K22" s="3" t="s">
        <v>34</v>
      </c>
      <c r="L22">
        <v>21</v>
      </c>
      <c r="M22" s="1" t="s">
        <v>61</v>
      </c>
      <c r="N22" s="29" t="str">
        <f>LEFT(Table17[[#This Row],[ns1:time2]],10)</f>
        <v>2022-09-12</v>
      </c>
    </row>
    <row r="23" spans="1:14" x14ac:dyDescent="0.35">
      <c r="A23">
        <f t="shared" si="0"/>
        <v>22</v>
      </c>
      <c r="C23" s="1" t="s">
        <v>11</v>
      </c>
      <c r="D23">
        <v>1.1000000000000001</v>
      </c>
      <c r="E23" s="2" t="s">
        <v>12</v>
      </c>
      <c r="F23" s="1" t="s">
        <v>13</v>
      </c>
      <c r="G23" s="3" t="s">
        <v>14</v>
      </c>
      <c r="H23">
        <v>33.996353999999997</v>
      </c>
      <c r="I23">
        <v>71.449268000000004</v>
      </c>
      <c r="J23">
        <v>397.89300500000002</v>
      </c>
      <c r="K23" s="3" t="s">
        <v>35</v>
      </c>
      <c r="L23">
        <v>22</v>
      </c>
      <c r="M23" s="1" t="s">
        <v>61</v>
      </c>
      <c r="N23" s="29" t="str">
        <f>LEFT(Table17[[#This Row],[ns1:time2]],10)</f>
        <v>2022-09-12</v>
      </c>
    </row>
    <row r="24" spans="1:14" x14ac:dyDescent="0.35">
      <c r="A24">
        <f t="shared" si="0"/>
        <v>23</v>
      </c>
      <c r="C24" s="1" t="s">
        <v>11</v>
      </c>
      <c r="D24">
        <v>1.1000000000000001</v>
      </c>
      <c r="E24" s="2" t="s">
        <v>12</v>
      </c>
      <c r="F24" s="1" t="s">
        <v>13</v>
      </c>
      <c r="G24" s="3" t="s">
        <v>14</v>
      </c>
      <c r="H24">
        <v>33.996282999999998</v>
      </c>
      <c r="I24">
        <v>71.450153999999998</v>
      </c>
      <c r="J24">
        <v>394.50259399999999</v>
      </c>
      <c r="K24" s="3" t="s">
        <v>36</v>
      </c>
      <c r="L24">
        <v>23</v>
      </c>
      <c r="M24" s="1" t="s">
        <v>61</v>
      </c>
      <c r="N24" s="29" t="str">
        <f>LEFT(Table17[[#This Row],[ns1:time2]],10)</f>
        <v>2022-09-12</v>
      </c>
    </row>
    <row r="25" spans="1:14" x14ac:dyDescent="0.35">
      <c r="A25">
        <f t="shared" si="0"/>
        <v>24</v>
      </c>
      <c r="C25" s="1" t="s">
        <v>11</v>
      </c>
      <c r="D25">
        <v>1.1000000000000001</v>
      </c>
      <c r="E25" s="2" t="s">
        <v>12</v>
      </c>
      <c r="F25" s="1" t="s">
        <v>13</v>
      </c>
      <c r="G25" s="3" t="s">
        <v>14</v>
      </c>
      <c r="H25">
        <v>33.996279000000001</v>
      </c>
      <c r="I25">
        <v>71.450147000000001</v>
      </c>
      <c r="J25">
        <v>394.53829999999999</v>
      </c>
      <c r="K25" s="3" t="s">
        <v>37</v>
      </c>
      <c r="L25">
        <v>24</v>
      </c>
      <c r="M25" s="1" t="s">
        <v>61</v>
      </c>
      <c r="N25" s="29" t="str">
        <f>LEFT(Table17[[#This Row],[ns1:time2]],10)</f>
        <v>2022-09-12</v>
      </c>
    </row>
    <row r="26" spans="1:14" x14ac:dyDescent="0.35">
      <c r="A26">
        <f t="shared" si="0"/>
        <v>25</v>
      </c>
      <c r="C26" s="1" t="s">
        <v>11</v>
      </c>
      <c r="D26">
        <v>1.1000000000000001</v>
      </c>
      <c r="E26" s="2" t="s">
        <v>12</v>
      </c>
      <c r="F26" s="1" t="s">
        <v>13</v>
      </c>
      <c r="G26" s="3" t="s">
        <v>14</v>
      </c>
      <c r="H26">
        <v>33.996276000000002</v>
      </c>
      <c r="I26">
        <v>71.450154999999995</v>
      </c>
      <c r="J26">
        <v>394.52499399999999</v>
      </c>
      <c r="K26" s="3" t="s">
        <v>38</v>
      </c>
      <c r="L26">
        <v>25</v>
      </c>
      <c r="M26" s="1" t="s">
        <v>61</v>
      </c>
      <c r="N26" s="29" t="str">
        <f>LEFT(Table17[[#This Row],[ns1:time2]],10)</f>
        <v>2022-09-12</v>
      </c>
    </row>
    <row r="27" spans="1:14" x14ac:dyDescent="0.35">
      <c r="A27">
        <f t="shared" si="0"/>
        <v>26</v>
      </c>
      <c r="C27" s="1" t="s">
        <v>11</v>
      </c>
      <c r="D27">
        <v>1.1000000000000001</v>
      </c>
      <c r="E27" s="2" t="s">
        <v>12</v>
      </c>
      <c r="F27" s="1" t="s">
        <v>13</v>
      </c>
      <c r="G27" s="3" t="s">
        <v>14</v>
      </c>
      <c r="H27">
        <v>33.996212999999997</v>
      </c>
      <c r="I27">
        <v>71.451003</v>
      </c>
      <c r="J27">
        <v>393.708282</v>
      </c>
      <c r="K27" s="3" t="s">
        <v>39</v>
      </c>
      <c r="L27">
        <v>26</v>
      </c>
      <c r="M27" s="1" t="s">
        <v>61</v>
      </c>
      <c r="N27" s="29" t="str">
        <f>LEFT(Table17[[#This Row],[ns1:time2]],10)</f>
        <v>2022-09-12</v>
      </c>
    </row>
    <row r="28" spans="1:14" x14ac:dyDescent="0.35">
      <c r="A28">
        <f t="shared" si="0"/>
        <v>27</v>
      </c>
      <c r="C28" s="1" t="s">
        <v>11</v>
      </c>
      <c r="D28">
        <v>1.1000000000000001</v>
      </c>
      <c r="E28" s="2" t="s">
        <v>12</v>
      </c>
      <c r="F28" s="1" t="s">
        <v>13</v>
      </c>
      <c r="G28" s="3" t="s">
        <v>14</v>
      </c>
      <c r="H28">
        <v>33.996121000000002</v>
      </c>
      <c r="I28">
        <v>71.451648000000006</v>
      </c>
      <c r="J28">
        <v>392.63906900000001</v>
      </c>
      <c r="K28" s="3" t="s">
        <v>40</v>
      </c>
      <c r="L28">
        <v>27</v>
      </c>
      <c r="M28" s="1" t="s">
        <v>61</v>
      </c>
      <c r="N28" s="29" t="str">
        <f>LEFT(Table17[[#This Row],[ns1:time2]],10)</f>
        <v>2022-09-12</v>
      </c>
    </row>
    <row r="29" spans="1:14" x14ac:dyDescent="0.35">
      <c r="A29">
        <f t="shared" si="0"/>
        <v>28</v>
      </c>
      <c r="C29" s="1" t="s">
        <v>11</v>
      </c>
      <c r="D29">
        <v>1.1000000000000001</v>
      </c>
      <c r="E29" s="2" t="s">
        <v>12</v>
      </c>
      <c r="F29" s="1" t="s">
        <v>13</v>
      </c>
      <c r="G29" s="3" t="s">
        <v>14</v>
      </c>
      <c r="H29">
        <v>33.996135000000002</v>
      </c>
      <c r="I29">
        <v>71.452343999999997</v>
      </c>
      <c r="J29">
        <v>392.027557</v>
      </c>
      <c r="K29" s="3" t="s">
        <v>41</v>
      </c>
      <c r="L29">
        <v>28</v>
      </c>
      <c r="M29" s="1" t="s">
        <v>61</v>
      </c>
      <c r="N29" s="29" t="str">
        <f>LEFT(Table17[[#This Row],[ns1:time2]],10)</f>
        <v>2022-09-12</v>
      </c>
    </row>
    <row r="30" spans="1:14" x14ac:dyDescent="0.35">
      <c r="A30">
        <f t="shared" si="0"/>
        <v>29</v>
      </c>
      <c r="C30" s="1" t="s">
        <v>11</v>
      </c>
      <c r="D30">
        <v>1.1000000000000001</v>
      </c>
      <c r="E30" s="2" t="s">
        <v>12</v>
      </c>
      <c r="F30" s="1" t="s">
        <v>13</v>
      </c>
      <c r="G30" s="3" t="s">
        <v>14</v>
      </c>
      <c r="H30">
        <v>33.996115000000003</v>
      </c>
      <c r="I30">
        <v>71.452779000000007</v>
      </c>
      <c r="J30">
        <v>392.330353</v>
      </c>
      <c r="K30" s="3" t="s">
        <v>42</v>
      </c>
      <c r="L30">
        <v>29</v>
      </c>
      <c r="M30" s="1" t="s">
        <v>61</v>
      </c>
      <c r="N30" s="29" t="str">
        <f>LEFT(Table17[[#This Row],[ns1:time2]],10)</f>
        <v>2022-09-12</v>
      </c>
    </row>
    <row r="31" spans="1:14" x14ac:dyDescent="0.35">
      <c r="A31">
        <f t="shared" si="0"/>
        <v>30</v>
      </c>
      <c r="C31" s="1" t="s">
        <v>11</v>
      </c>
      <c r="D31">
        <v>1.1000000000000001</v>
      </c>
      <c r="E31" s="2" t="s">
        <v>12</v>
      </c>
      <c r="F31" s="1" t="s">
        <v>13</v>
      </c>
      <c r="G31" s="3" t="s">
        <v>14</v>
      </c>
      <c r="H31">
        <v>33.996040000000001</v>
      </c>
      <c r="I31">
        <v>71.453524000000002</v>
      </c>
      <c r="J31">
        <v>391.51040599999999</v>
      </c>
      <c r="K31" s="3" t="s">
        <v>43</v>
      </c>
      <c r="L31">
        <v>30</v>
      </c>
      <c r="M31" s="1" t="s">
        <v>61</v>
      </c>
      <c r="N31" s="29" t="str">
        <f>LEFT(Table17[[#This Row],[ns1:time2]],10)</f>
        <v>2022-09-12</v>
      </c>
    </row>
    <row r="32" spans="1:14" x14ac:dyDescent="0.35">
      <c r="A32">
        <f t="shared" si="0"/>
        <v>31</v>
      </c>
      <c r="C32" s="1" t="s">
        <v>11</v>
      </c>
      <c r="D32">
        <v>1.1000000000000001</v>
      </c>
      <c r="E32" s="2" t="s">
        <v>12</v>
      </c>
      <c r="F32" s="1" t="s">
        <v>13</v>
      </c>
      <c r="G32" s="3" t="s">
        <v>14</v>
      </c>
      <c r="H32">
        <v>33.996048000000002</v>
      </c>
      <c r="I32">
        <v>71.454447999999999</v>
      </c>
      <c r="J32">
        <v>390.06545999999997</v>
      </c>
      <c r="K32" s="3" t="s">
        <v>44</v>
      </c>
      <c r="L32">
        <v>31</v>
      </c>
      <c r="M32" s="1" t="s">
        <v>61</v>
      </c>
      <c r="N32" s="29" t="str">
        <f>LEFT(Table17[[#This Row],[ns1:time2]],10)</f>
        <v>2022-09-12</v>
      </c>
    </row>
    <row r="33" spans="1:14" x14ac:dyDescent="0.35">
      <c r="A33">
        <f t="shared" si="0"/>
        <v>32</v>
      </c>
      <c r="C33" s="1" t="s">
        <v>11</v>
      </c>
      <c r="D33">
        <v>1.1000000000000001</v>
      </c>
      <c r="E33" s="2" t="s">
        <v>12</v>
      </c>
      <c r="F33" s="1" t="s">
        <v>13</v>
      </c>
      <c r="G33" s="3" t="s">
        <v>14</v>
      </c>
      <c r="H33">
        <v>33.995986000000002</v>
      </c>
      <c r="I33">
        <v>71.455325999999999</v>
      </c>
      <c r="J33">
        <v>390.20004299999999</v>
      </c>
      <c r="K33" s="3" t="s">
        <v>45</v>
      </c>
      <c r="L33">
        <v>32</v>
      </c>
      <c r="M33" s="1" t="s">
        <v>61</v>
      </c>
      <c r="N33" s="29" t="str">
        <f>LEFT(Table17[[#This Row],[ns1:time2]],10)</f>
        <v>2022-09-12</v>
      </c>
    </row>
    <row r="34" spans="1:14" x14ac:dyDescent="0.35">
      <c r="A34">
        <f t="shared" si="0"/>
        <v>33</v>
      </c>
      <c r="C34" s="1" t="s">
        <v>11</v>
      </c>
      <c r="D34">
        <v>1.1000000000000001</v>
      </c>
      <c r="E34" s="2" t="s">
        <v>12</v>
      </c>
      <c r="F34" s="1" t="s">
        <v>13</v>
      </c>
      <c r="G34" s="3" t="s">
        <v>14</v>
      </c>
      <c r="H34">
        <v>33.995910000000002</v>
      </c>
      <c r="I34">
        <v>71.456145000000006</v>
      </c>
      <c r="J34">
        <v>390.12127700000002</v>
      </c>
      <c r="K34" s="3" t="s">
        <v>46</v>
      </c>
      <c r="L34">
        <v>33</v>
      </c>
      <c r="M34" s="1" t="s">
        <v>61</v>
      </c>
      <c r="N34" s="29" t="str">
        <f>LEFT(Table17[[#This Row],[ns1:time2]],10)</f>
        <v>2022-09-12</v>
      </c>
    </row>
    <row r="35" spans="1:14" x14ac:dyDescent="0.35">
      <c r="A35">
        <f t="shared" si="0"/>
        <v>34</v>
      </c>
      <c r="C35" s="1" t="s">
        <v>11</v>
      </c>
      <c r="D35">
        <v>1.1000000000000001</v>
      </c>
      <c r="E35" s="2" t="s">
        <v>12</v>
      </c>
      <c r="F35" s="1" t="s">
        <v>13</v>
      </c>
      <c r="G35" s="3" t="s">
        <v>14</v>
      </c>
      <c r="H35">
        <v>33.995773999999997</v>
      </c>
      <c r="I35">
        <v>71.456765000000004</v>
      </c>
      <c r="J35">
        <v>388.72088600000001</v>
      </c>
      <c r="K35" s="3" t="s">
        <v>47</v>
      </c>
      <c r="L35">
        <v>34</v>
      </c>
      <c r="M35" s="1" t="s">
        <v>61</v>
      </c>
      <c r="N35" s="29" t="str">
        <f>LEFT(Table17[[#This Row],[ns1:time2]],10)</f>
        <v>2022-09-12</v>
      </c>
    </row>
    <row r="36" spans="1:14" x14ac:dyDescent="0.35">
      <c r="A36">
        <f t="shared" si="0"/>
        <v>35</v>
      </c>
      <c r="C36" s="1" t="s">
        <v>11</v>
      </c>
      <c r="D36">
        <v>1.1000000000000001</v>
      </c>
      <c r="E36" s="2" t="s">
        <v>12</v>
      </c>
      <c r="F36" s="1" t="s">
        <v>13</v>
      </c>
      <c r="G36" s="3" t="s">
        <v>14</v>
      </c>
      <c r="H36">
        <v>33.995766000000003</v>
      </c>
      <c r="I36">
        <v>71.457257999999996</v>
      </c>
      <c r="J36">
        <v>388.01760899999999</v>
      </c>
      <c r="K36" s="3" t="s">
        <v>48</v>
      </c>
      <c r="L36">
        <v>35</v>
      </c>
      <c r="M36" s="1" t="s">
        <v>61</v>
      </c>
      <c r="N36" s="29" t="str">
        <f>LEFT(Table17[[#This Row],[ns1:time2]],10)</f>
        <v>2022-09-12</v>
      </c>
    </row>
    <row r="37" spans="1:14" x14ac:dyDescent="0.35">
      <c r="A37">
        <f t="shared" si="0"/>
        <v>36</v>
      </c>
      <c r="C37" s="1" t="s">
        <v>11</v>
      </c>
      <c r="D37">
        <v>1.1000000000000001</v>
      </c>
      <c r="E37" s="2" t="s">
        <v>12</v>
      </c>
      <c r="F37" s="1" t="s">
        <v>13</v>
      </c>
      <c r="G37" s="3" t="s">
        <v>14</v>
      </c>
      <c r="H37">
        <v>33.995393999999997</v>
      </c>
      <c r="I37">
        <v>71.458195000000003</v>
      </c>
      <c r="J37">
        <v>388.74154700000003</v>
      </c>
      <c r="K37" s="3" t="s">
        <v>49</v>
      </c>
      <c r="L37">
        <v>36</v>
      </c>
      <c r="M37" s="1" t="s">
        <v>61</v>
      </c>
      <c r="N37" s="29" t="str">
        <f>LEFT(Table17[[#This Row],[ns1:time2]],10)</f>
        <v>2022-09-12</v>
      </c>
    </row>
    <row r="38" spans="1:14" x14ac:dyDescent="0.35">
      <c r="A38">
        <f t="shared" si="0"/>
        <v>37</v>
      </c>
      <c r="C38" s="1" t="s">
        <v>11</v>
      </c>
      <c r="D38">
        <v>1.1000000000000001</v>
      </c>
      <c r="E38" s="2" t="s">
        <v>12</v>
      </c>
      <c r="F38" s="1" t="s">
        <v>13</v>
      </c>
      <c r="G38" s="3" t="s">
        <v>14</v>
      </c>
      <c r="H38">
        <v>33.994902000000003</v>
      </c>
      <c r="I38">
        <v>71.457865999999996</v>
      </c>
      <c r="J38">
        <v>388.846161</v>
      </c>
      <c r="K38" s="3" t="s">
        <v>50</v>
      </c>
      <c r="L38">
        <v>37</v>
      </c>
      <c r="M38" s="1" t="s">
        <v>61</v>
      </c>
      <c r="N38" s="29" t="str">
        <f>LEFT(Table17[[#This Row],[ns1:time2]],10)</f>
        <v>2022-09-12</v>
      </c>
    </row>
    <row r="39" spans="1:14" x14ac:dyDescent="0.35">
      <c r="A39">
        <f t="shared" si="0"/>
        <v>38</v>
      </c>
      <c r="C39" s="1" t="s">
        <v>11</v>
      </c>
      <c r="D39">
        <v>1.1000000000000001</v>
      </c>
      <c r="E39" s="2" t="s">
        <v>12</v>
      </c>
      <c r="F39" s="1" t="s">
        <v>13</v>
      </c>
      <c r="G39" s="3" t="s">
        <v>14</v>
      </c>
      <c r="H39">
        <v>33.994498999999998</v>
      </c>
      <c r="I39">
        <v>71.457561999999996</v>
      </c>
      <c r="J39">
        <v>386.99465900000001</v>
      </c>
      <c r="K39" s="3" t="s">
        <v>51</v>
      </c>
      <c r="L39">
        <v>38</v>
      </c>
      <c r="M39" s="1" t="s">
        <v>61</v>
      </c>
      <c r="N39" s="29" t="str">
        <f>LEFT(Table17[[#This Row],[ns1:time2]],10)</f>
        <v>2022-09-12</v>
      </c>
    </row>
    <row r="40" spans="1:14" x14ac:dyDescent="0.35">
      <c r="A40">
        <f t="shared" si="0"/>
        <v>39</v>
      </c>
      <c r="C40" s="1" t="s">
        <v>11</v>
      </c>
      <c r="D40">
        <v>1.1000000000000001</v>
      </c>
      <c r="E40" s="2" t="s">
        <v>12</v>
      </c>
      <c r="F40" s="1" t="s">
        <v>13</v>
      </c>
      <c r="G40" s="3" t="s">
        <v>14</v>
      </c>
      <c r="H40">
        <v>33.994042999999998</v>
      </c>
      <c r="I40">
        <v>71.457291999999995</v>
      </c>
      <c r="J40">
        <v>387.868042</v>
      </c>
      <c r="K40" s="3" t="s">
        <v>52</v>
      </c>
      <c r="L40">
        <v>39</v>
      </c>
      <c r="M40" s="1" t="s">
        <v>61</v>
      </c>
      <c r="N40" s="29" t="str">
        <f>LEFT(Table17[[#This Row],[ns1:time2]],10)</f>
        <v>2022-09-12</v>
      </c>
    </row>
    <row r="41" spans="1:14" x14ac:dyDescent="0.35">
      <c r="A41">
        <f t="shared" si="0"/>
        <v>40</v>
      </c>
      <c r="C41" s="1" t="s">
        <v>11</v>
      </c>
      <c r="D41">
        <v>1.1000000000000001</v>
      </c>
      <c r="E41" s="2" t="s">
        <v>12</v>
      </c>
      <c r="F41" s="1" t="s">
        <v>13</v>
      </c>
      <c r="G41" s="3" t="s">
        <v>14</v>
      </c>
      <c r="H41">
        <v>33.993588000000003</v>
      </c>
      <c r="I41">
        <v>71.457002000000003</v>
      </c>
      <c r="J41">
        <v>388.45416299999999</v>
      </c>
      <c r="K41" s="3" t="s">
        <v>53</v>
      </c>
      <c r="L41">
        <v>40</v>
      </c>
      <c r="M41" s="1" t="s">
        <v>61</v>
      </c>
      <c r="N41" s="29" t="str">
        <f>LEFT(Table17[[#This Row],[ns1:time2]],10)</f>
        <v>2022-09-12</v>
      </c>
    </row>
    <row r="42" spans="1:14" x14ac:dyDescent="0.35">
      <c r="A42">
        <f t="shared" si="0"/>
        <v>41</v>
      </c>
      <c r="C42" s="1" t="s">
        <v>11</v>
      </c>
      <c r="D42">
        <v>1.1000000000000001</v>
      </c>
      <c r="E42" s="2" t="s">
        <v>12</v>
      </c>
      <c r="F42" s="1" t="s">
        <v>13</v>
      </c>
      <c r="G42" s="3" t="s">
        <v>14</v>
      </c>
      <c r="H42">
        <v>33.993102</v>
      </c>
      <c r="I42">
        <v>71.456710000000001</v>
      </c>
      <c r="J42">
        <v>388.687592</v>
      </c>
      <c r="K42" s="3" t="s">
        <v>54</v>
      </c>
      <c r="L42">
        <v>41</v>
      </c>
      <c r="M42" s="1" t="s">
        <v>61</v>
      </c>
      <c r="N42" s="29" t="str">
        <f>LEFT(Table17[[#This Row],[ns1:time2]],10)</f>
        <v>2022-09-12</v>
      </c>
    </row>
    <row r="43" spans="1:14" x14ac:dyDescent="0.35">
      <c r="A43">
        <f t="shared" si="0"/>
        <v>42</v>
      </c>
      <c r="C43" s="1" t="s">
        <v>11</v>
      </c>
      <c r="D43">
        <v>1.1000000000000001</v>
      </c>
      <c r="E43" s="2" t="s">
        <v>12</v>
      </c>
      <c r="F43" s="1" t="s">
        <v>13</v>
      </c>
      <c r="G43" s="3" t="s">
        <v>14</v>
      </c>
      <c r="H43">
        <v>33.992654999999999</v>
      </c>
      <c r="I43">
        <v>71.456468999999998</v>
      </c>
      <c r="J43">
        <v>389.30258199999997</v>
      </c>
      <c r="K43" s="3" t="s">
        <v>55</v>
      </c>
      <c r="L43">
        <v>42</v>
      </c>
      <c r="M43" s="1" t="s">
        <v>61</v>
      </c>
      <c r="N43" s="29" t="str">
        <f>LEFT(Table17[[#This Row],[ns1:time2]],10)</f>
        <v>2022-09-12</v>
      </c>
    </row>
    <row r="44" spans="1:14" x14ac:dyDescent="0.35">
      <c r="A44">
        <f t="shared" si="0"/>
        <v>43</v>
      </c>
      <c r="C44" s="1" t="s">
        <v>11</v>
      </c>
      <c r="D44">
        <v>1.1000000000000001</v>
      </c>
      <c r="E44" s="2" t="s">
        <v>12</v>
      </c>
      <c r="F44" s="1" t="s">
        <v>13</v>
      </c>
      <c r="G44" s="3" t="s">
        <v>14</v>
      </c>
      <c r="H44">
        <v>33.992288000000002</v>
      </c>
      <c r="I44">
        <v>71.456261999999995</v>
      </c>
      <c r="J44">
        <v>389.074951</v>
      </c>
      <c r="K44" s="3" t="s">
        <v>56</v>
      </c>
      <c r="L44">
        <v>43</v>
      </c>
      <c r="M44" s="1" t="s">
        <v>61</v>
      </c>
      <c r="N44" s="29" t="str">
        <f>LEFT(Table17[[#This Row],[ns1:time2]],10)</f>
        <v>2022-09-12</v>
      </c>
    </row>
    <row r="45" spans="1:14" x14ac:dyDescent="0.35">
      <c r="A45">
        <f t="shared" si="0"/>
        <v>44</v>
      </c>
      <c r="C45" s="1" t="s">
        <v>11</v>
      </c>
      <c r="D45">
        <v>1.1000000000000001</v>
      </c>
      <c r="E45" s="2" t="s">
        <v>12</v>
      </c>
      <c r="F45" s="1" t="s">
        <v>13</v>
      </c>
      <c r="G45" s="3" t="s">
        <v>14</v>
      </c>
      <c r="H45">
        <v>33.991923</v>
      </c>
      <c r="I45">
        <v>71.456007999999997</v>
      </c>
      <c r="J45">
        <v>389.56723</v>
      </c>
      <c r="K45" s="3" t="s">
        <v>57</v>
      </c>
      <c r="L45">
        <v>44</v>
      </c>
      <c r="M45" s="1" t="s">
        <v>61</v>
      </c>
      <c r="N45" s="29" t="str">
        <f>LEFT(Table17[[#This Row],[ns1:time2]],10)</f>
        <v>2022-09-12</v>
      </c>
    </row>
    <row r="46" spans="1:14" x14ac:dyDescent="0.35">
      <c r="A46">
        <f t="shared" si="0"/>
        <v>45</v>
      </c>
      <c r="C46" s="1" t="s">
        <v>11</v>
      </c>
      <c r="D46">
        <v>1.1000000000000001</v>
      </c>
      <c r="E46" s="2" t="s">
        <v>12</v>
      </c>
      <c r="F46" s="1" t="s">
        <v>13</v>
      </c>
      <c r="G46" s="3" t="s">
        <v>14</v>
      </c>
      <c r="H46">
        <v>33.991641999999999</v>
      </c>
      <c r="I46">
        <v>71.455804000000001</v>
      </c>
      <c r="J46">
        <v>388.04437300000001</v>
      </c>
      <c r="K46" s="3" t="s">
        <v>58</v>
      </c>
      <c r="L46">
        <v>45</v>
      </c>
      <c r="M46" s="1" t="s">
        <v>61</v>
      </c>
      <c r="N46" s="29" t="str">
        <f>LEFT(Table17[[#This Row],[ns1:time2]],10)</f>
        <v>2022-09-12</v>
      </c>
    </row>
    <row r="47" spans="1:14" x14ac:dyDescent="0.35">
      <c r="A47">
        <f t="shared" si="0"/>
        <v>46</v>
      </c>
      <c r="C47" s="1" t="s">
        <v>11</v>
      </c>
      <c r="D47">
        <v>1.1000000000000001</v>
      </c>
      <c r="E47" s="2" t="s">
        <v>12</v>
      </c>
      <c r="F47" s="1" t="s">
        <v>13</v>
      </c>
      <c r="G47" s="3" t="s">
        <v>14</v>
      </c>
      <c r="H47">
        <v>33.991242</v>
      </c>
      <c r="I47">
        <v>71.455528000000001</v>
      </c>
      <c r="J47">
        <v>390.09115600000001</v>
      </c>
      <c r="K47" s="3" t="s">
        <v>59</v>
      </c>
      <c r="L47">
        <v>46</v>
      </c>
      <c r="M47" s="1" t="s">
        <v>61</v>
      </c>
      <c r="N47" s="29" t="str">
        <f>LEFT(Table17[[#This Row],[ns1:time2]],10)</f>
        <v>2022-09-12</v>
      </c>
    </row>
    <row r="48" spans="1:14" x14ac:dyDescent="0.35">
      <c r="A48">
        <f t="shared" si="0"/>
        <v>47</v>
      </c>
      <c r="C48" s="1" t="s">
        <v>11</v>
      </c>
      <c r="D48">
        <v>1.1000000000000001</v>
      </c>
      <c r="E48" s="2" t="s">
        <v>12</v>
      </c>
      <c r="F48" s="1" t="s">
        <v>13</v>
      </c>
      <c r="G48" s="3" t="s">
        <v>14</v>
      </c>
      <c r="H48">
        <v>33.991064999999999</v>
      </c>
      <c r="I48">
        <v>71.455870000000004</v>
      </c>
      <c r="J48">
        <v>392.71499599999999</v>
      </c>
      <c r="K48" s="3" t="s">
        <v>60</v>
      </c>
      <c r="L48">
        <v>47</v>
      </c>
      <c r="M48" s="1" t="s">
        <v>61</v>
      </c>
      <c r="N48" s="29" t="str">
        <f>LEFT(Table17[[#This Row],[ns1:time2]],10)</f>
        <v>2022-09-12</v>
      </c>
    </row>
    <row r="49" spans="1:14" x14ac:dyDescent="0.35">
      <c r="A49" s="19">
        <f t="shared" si="0"/>
        <v>48</v>
      </c>
      <c r="B49" s="19">
        <v>1</v>
      </c>
      <c r="C49" s="18" t="s">
        <v>604</v>
      </c>
      <c r="D49" s="19">
        <v>1.1000000000000001</v>
      </c>
      <c r="E49" s="20" t="s">
        <v>12</v>
      </c>
      <c r="F49" s="18" t="s">
        <v>13</v>
      </c>
      <c r="G49" s="21" t="s">
        <v>605</v>
      </c>
      <c r="H49" s="19">
        <v>33.987761999999996</v>
      </c>
      <c r="I49" s="19">
        <v>71.431971000000004</v>
      </c>
      <c r="J49" s="19">
        <v>421.01223800000002</v>
      </c>
      <c r="K49" s="21" t="s">
        <v>605</v>
      </c>
      <c r="L49" s="19">
        <v>1</v>
      </c>
      <c r="M49" s="18" t="s">
        <v>61</v>
      </c>
      <c r="N49" s="29" t="str">
        <f>LEFT(Table17[[#This Row],[ns1:time2]],10)</f>
        <v>2022-09-12</v>
      </c>
    </row>
    <row r="50" spans="1:14" x14ac:dyDescent="0.35">
      <c r="A50">
        <f t="shared" si="0"/>
        <v>49</v>
      </c>
      <c r="B50">
        <f>B49+1</f>
        <v>2</v>
      </c>
      <c r="C50" s="1" t="s">
        <v>604</v>
      </c>
      <c r="D50">
        <v>1.1000000000000001</v>
      </c>
      <c r="E50" s="2" t="s">
        <v>12</v>
      </c>
      <c r="F50" s="1" t="s">
        <v>13</v>
      </c>
      <c r="G50" s="3" t="s">
        <v>605</v>
      </c>
      <c r="H50">
        <v>33.988039000000001</v>
      </c>
      <c r="I50">
        <v>71.432097999999996</v>
      </c>
      <c r="J50">
        <v>405.71109000000001</v>
      </c>
      <c r="K50" s="3" t="s">
        <v>606</v>
      </c>
      <c r="L50">
        <v>2</v>
      </c>
      <c r="M50" s="1" t="s">
        <v>61</v>
      </c>
      <c r="N50" s="29" t="str">
        <f>LEFT(Table17[[#This Row],[ns1:time2]],10)</f>
        <v>2022-09-12</v>
      </c>
    </row>
    <row r="51" spans="1:14" x14ac:dyDescent="0.35">
      <c r="A51">
        <f t="shared" si="0"/>
        <v>50</v>
      </c>
      <c r="B51">
        <f t="shared" ref="B51:B85" si="1">B50+1</f>
        <v>3</v>
      </c>
      <c r="C51" s="1" t="s">
        <v>604</v>
      </c>
      <c r="D51">
        <v>1.1000000000000001</v>
      </c>
      <c r="E51" s="2" t="s">
        <v>12</v>
      </c>
      <c r="F51" s="1" t="s">
        <v>13</v>
      </c>
      <c r="G51" s="3" t="s">
        <v>605</v>
      </c>
      <c r="H51">
        <v>33.988525000000003</v>
      </c>
      <c r="I51">
        <v>71.432479999999998</v>
      </c>
      <c r="J51">
        <v>400.72039799999999</v>
      </c>
      <c r="K51" s="3" t="s">
        <v>607</v>
      </c>
      <c r="L51">
        <v>3</v>
      </c>
      <c r="M51" s="1" t="s">
        <v>61</v>
      </c>
      <c r="N51" s="29" t="str">
        <f>LEFT(Table17[[#This Row],[ns1:time2]],10)</f>
        <v>2022-09-12</v>
      </c>
    </row>
    <row r="52" spans="1:14" x14ac:dyDescent="0.35">
      <c r="A52">
        <f t="shared" si="0"/>
        <v>51</v>
      </c>
      <c r="B52">
        <f t="shared" si="1"/>
        <v>4</v>
      </c>
      <c r="C52" s="1" t="s">
        <v>604</v>
      </c>
      <c r="D52">
        <v>1.1000000000000001</v>
      </c>
      <c r="E52" s="2" t="s">
        <v>12</v>
      </c>
      <c r="F52" s="1" t="s">
        <v>13</v>
      </c>
      <c r="G52" s="3" t="s">
        <v>605</v>
      </c>
      <c r="H52">
        <v>33.988577999999997</v>
      </c>
      <c r="I52">
        <v>71.432699999999997</v>
      </c>
      <c r="J52">
        <v>398.73013300000002</v>
      </c>
      <c r="K52" s="3" t="s">
        <v>608</v>
      </c>
      <c r="L52">
        <v>4</v>
      </c>
      <c r="M52" s="1" t="s">
        <v>61</v>
      </c>
      <c r="N52" s="29" t="str">
        <f>LEFT(Table17[[#This Row],[ns1:time2]],10)</f>
        <v>2022-09-12</v>
      </c>
    </row>
    <row r="53" spans="1:14" x14ac:dyDescent="0.35">
      <c r="A53">
        <f t="shared" si="0"/>
        <v>52</v>
      </c>
      <c r="B53">
        <f t="shared" si="1"/>
        <v>5</v>
      </c>
      <c r="C53" s="1" t="s">
        <v>604</v>
      </c>
      <c r="D53">
        <v>1.1000000000000001</v>
      </c>
      <c r="E53" s="2" t="s">
        <v>12</v>
      </c>
      <c r="F53" s="1" t="s">
        <v>13</v>
      </c>
      <c r="G53" s="3" t="s">
        <v>605</v>
      </c>
      <c r="H53">
        <v>33.988554000000001</v>
      </c>
      <c r="I53">
        <v>71.433150999999995</v>
      </c>
      <c r="J53">
        <v>399.90792800000003</v>
      </c>
      <c r="K53" s="3" t="s">
        <v>609</v>
      </c>
      <c r="L53">
        <v>5</v>
      </c>
      <c r="M53" s="1" t="s">
        <v>61</v>
      </c>
      <c r="N53" s="29" t="str">
        <f>LEFT(Table17[[#This Row],[ns1:time2]],10)</f>
        <v>2022-09-12</v>
      </c>
    </row>
    <row r="54" spans="1:14" x14ac:dyDescent="0.35">
      <c r="A54">
        <f t="shared" si="0"/>
        <v>53</v>
      </c>
      <c r="B54">
        <f t="shared" si="1"/>
        <v>6</v>
      </c>
      <c r="C54" s="1" t="s">
        <v>604</v>
      </c>
      <c r="D54">
        <v>1.1000000000000001</v>
      </c>
      <c r="E54" s="2" t="s">
        <v>12</v>
      </c>
      <c r="F54" s="1" t="s">
        <v>13</v>
      </c>
      <c r="G54" s="3" t="s">
        <v>605</v>
      </c>
      <c r="H54">
        <v>33.989004000000001</v>
      </c>
      <c r="I54">
        <v>71.433194999999998</v>
      </c>
      <c r="J54">
        <v>398.97515900000002</v>
      </c>
      <c r="K54" s="3" t="s">
        <v>610</v>
      </c>
      <c r="L54">
        <v>6</v>
      </c>
      <c r="M54" s="1" t="s">
        <v>61</v>
      </c>
      <c r="N54" s="29" t="str">
        <f>LEFT(Table17[[#This Row],[ns1:time2]],10)</f>
        <v>2022-09-12</v>
      </c>
    </row>
    <row r="55" spans="1:14" x14ac:dyDescent="0.35">
      <c r="A55">
        <f t="shared" si="0"/>
        <v>54</v>
      </c>
      <c r="B55">
        <f t="shared" si="1"/>
        <v>7</v>
      </c>
      <c r="C55" s="1" t="s">
        <v>604</v>
      </c>
      <c r="D55">
        <v>1.1000000000000001</v>
      </c>
      <c r="E55" s="2" t="s">
        <v>12</v>
      </c>
      <c r="F55" s="1" t="s">
        <v>13</v>
      </c>
      <c r="G55" s="3" t="s">
        <v>605</v>
      </c>
      <c r="H55">
        <v>33.989598999999998</v>
      </c>
      <c r="I55">
        <v>71.433259000000007</v>
      </c>
      <c r="J55">
        <v>398.73452800000001</v>
      </c>
      <c r="K55" s="3" t="s">
        <v>611</v>
      </c>
      <c r="L55">
        <v>7</v>
      </c>
      <c r="M55" s="1" t="s">
        <v>61</v>
      </c>
      <c r="N55" s="29" t="str">
        <f>LEFT(Table17[[#This Row],[ns1:time2]],10)</f>
        <v>2022-09-12</v>
      </c>
    </row>
    <row r="56" spans="1:14" x14ac:dyDescent="0.35">
      <c r="A56">
        <f t="shared" si="0"/>
        <v>55</v>
      </c>
      <c r="B56">
        <f t="shared" si="1"/>
        <v>8</v>
      </c>
      <c r="C56" s="1" t="s">
        <v>604</v>
      </c>
      <c r="D56">
        <v>1.1000000000000001</v>
      </c>
      <c r="E56" s="2" t="s">
        <v>12</v>
      </c>
      <c r="F56" s="1" t="s">
        <v>13</v>
      </c>
      <c r="G56" s="3" t="s">
        <v>605</v>
      </c>
      <c r="H56">
        <v>33.990076000000002</v>
      </c>
      <c r="I56">
        <v>71.433314999999993</v>
      </c>
      <c r="J56">
        <v>397.84085099999999</v>
      </c>
      <c r="K56" s="3" t="s">
        <v>612</v>
      </c>
      <c r="L56">
        <v>8</v>
      </c>
      <c r="M56" s="1" t="s">
        <v>61</v>
      </c>
      <c r="N56" s="29" t="str">
        <f>LEFT(Table17[[#This Row],[ns1:time2]],10)</f>
        <v>2022-09-12</v>
      </c>
    </row>
    <row r="57" spans="1:14" x14ac:dyDescent="0.35">
      <c r="A57">
        <f t="shared" si="0"/>
        <v>56</v>
      </c>
      <c r="B57">
        <f t="shared" si="1"/>
        <v>9</v>
      </c>
      <c r="C57" s="1" t="s">
        <v>604</v>
      </c>
      <c r="D57">
        <v>1.1000000000000001</v>
      </c>
      <c r="E57" s="2" t="s">
        <v>12</v>
      </c>
      <c r="F57" s="1" t="s">
        <v>13</v>
      </c>
      <c r="G57" s="3" t="s">
        <v>605</v>
      </c>
      <c r="H57">
        <v>33.990490999999999</v>
      </c>
      <c r="I57">
        <v>71.433353999999994</v>
      </c>
      <c r="J57">
        <v>401.50857500000001</v>
      </c>
      <c r="K57" s="3" t="s">
        <v>613</v>
      </c>
      <c r="L57">
        <v>9</v>
      </c>
      <c r="M57" s="1" t="s">
        <v>61</v>
      </c>
      <c r="N57" s="29" t="str">
        <f>LEFT(Table17[[#This Row],[ns1:time2]],10)</f>
        <v>2022-09-12</v>
      </c>
    </row>
    <row r="58" spans="1:14" x14ac:dyDescent="0.35">
      <c r="A58">
        <f t="shared" si="0"/>
        <v>57</v>
      </c>
      <c r="B58">
        <f t="shared" si="1"/>
        <v>10</v>
      </c>
      <c r="C58" s="1" t="s">
        <v>604</v>
      </c>
      <c r="D58">
        <v>1.1000000000000001</v>
      </c>
      <c r="E58" s="2" t="s">
        <v>12</v>
      </c>
      <c r="F58" s="1" t="s">
        <v>13</v>
      </c>
      <c r="G58" s="3" t="s">
        <v>605</v>
      </c>
      <c r="H58">
        <v>33.991261999999999</v>
      </c>
      <c r="I58">
        <v>71.433251999999996</v>
      </c>
      <c r="J58">
        <v>402.36721799999998</v>
      </c>
      <c r="K58" s="3" t="s">
        <v>614</v>
      </c>
      <c r="L58">
        <v>10</v>
      </c>
      <c r="M58" s="1" t="s">
        <v>61</v>
      </c>
      <c r="N58" s="29" t="str">
        <f>LEFT(Table17[[#This Row],[ns1:time2]],10)</f>
        <v>2022-09-12</v>
      </c>
    </row>
    <row r="59" spans="1:14" x14ac:dyDescent="0.35">
      <c r="A59">
        <f t="shared" si="0"/>
        <v>58</v>
      </c>
      <c r="B59">
        <f t="shared" si="1"/>
        <v>11</v>
      </c>
      <c r="C59" s="1" t="s">
        <v>604</v>
      </c>
      <c r="D59">
        <v>1.1000000000000001</v>
      </c>
      <c r="E59" s="2" t="s">
        <v>12</v>
      </c>
      <c r="F59" s="1" t="s">
        <v>13</v>
      </c>
      <c r="G59" s="3" t="s">
        <v>605</v>
      </c>
      <c r="H59">
        <v>33.992646000000001</v>
      </c>
      <c r="I59">
        <v>71.433205999999998</v>
      </c>
      <c r="J59">
        <v>400.19091800000001</v>
      </c>
      <c r="K59" s="3" t="s">
        <v>615</v>
      </c>
      <c r="L59">
        <v>11</v>
      </c>
      <c r="M59" s="1" t="s">
        <v>61</v>
      </c>
      <c r="N59" s="29" t="str">
        <f>LEFT(Table17[[#This Row],[ns1:time2]],10)</f>
        <v>2022-09-12</v>
      </c>
    </row>
    <row r="60" spans="1:14" x14ac:dyDescent="0.35">
      <c r="A60">
        <f t="shared" si="0"/>
        <v>59</v>
      </c>
      <c r="B60">
        <f t="shared" si="1"/>
        <v>12</v>
      </c>
      <c r="C60" s="1" t="s">
        <v>604</v>
      </c>
      <c r="D60">
        <v>1.1000000000000001</v>
      </c>
      <c r="E60" s="2" t="s">
        <v>12</v>
      </c>
      <c r="F60" s="1" t="s">
        <v>13</v>
      </c>
      <c r="G60" s="3" t="s">
        <v>605</v>
      </c>
      <c r="H60">
        <v>33.992944000000001</v>
      </c>
      <c r="I60">
        <v>71.433144999999996</v>
      </c>
      <c r="J60">
        <v>399.668701</v>
      </c>
      <c r="K60" s="3" t="s">
        <v>616</v>
      </c>
      <c r="L60">
        <v>12</v>
      </c>
      <c r="M60" s="1" t="s">
        <v>61</v>
      </c>
      <c r="N60" s="29" t="str">
        <f>LEFT(Table17[[#This Row],[ns1:time2]],10)</f>
        <v>2022-09-12</v>
      </c>
    </row>
    <row r="61" spans="1:14" x14ac:dyDescent="0.35">
      <c r="A61">
        <f t="shared" si="0"/>
        <v>60</v>
      </c>
      <c r="B61">
        <f t="shared" si="1"/>
        <v>13</v>
      </c>
      <c r="C61" s="1" t="s">
        <v>604</v>
      </c>
      <c r="D61">
        <v>1.1000000000000001</v>
      </c>
      <c r="E61" s="2" t="s">
        <v>12</v>
      </c>
      <c r="F61" s="1" t="s">
        <v>13</v>
      </c>
      <c r="G61" s="3" t="s">
        <v>605</v>
      </c>
      <c r="H61">
        <v>33.993201999999997</v>
      </c>
      <c r="I61">
        <v>71.433126000000001</v>
      </c>
      <c r="J61">
        <v>406.34060699999998</v>
      </c>
      <c r="K61" s="3" t="s">
        <v>617</v>
      </c>
      <c r="L61">
        <v>13</v>
      </c>
      <c r="M61" s="1" t="s">
        <v>61</v>
      </c>
      <c r="N61" s="29" t="str">
        <f>LEFT(Table17[[#This Row],[ns1:time2]],10)</f>
        <v>2022-09-12</v>
      </c>
    </row>
    <row r="62" spans="1:14" x14ac:dyDescent="0.35">
      <c r="A62">
        <f t="shared" si="0"/>
        <v>61</v>
      </c>
      <c r="B62">
        <f t="shared" si="1"/>
        <v>14</v>
      </c>
      <c r="C62" s="1" t="s">
        <v>604</v>
      </c>
      <c r="D62">
        <v>1.1000000000000001</v>
      </c>
      <c r="E62" s="2" t="s">
        <v>12</v>
      </c>
      <c r="F62" s="1" t="s">
        <v>13</v>
      </c>
      <c r="G62" s="3" t="s">
        <v>605</v>
      </c>
      <c r="H62">
        <v>33.993651</v>
      </c>
      <c r="I62">
        <v>71.433188000000001</v>
      </c>
      <c r="J62">
        <v>405.532715</v>
      </c>
      <c r="K62" s="3" t="s">
        <v>618</v>
      </c>
      <c r="L62">
        <v>14</v>
      </c>
      <c r="M62" s="1" t="s">
        <v>61</v>
      </c>
      <c r="N62" s="29" t="str">
        <f>LEFT(Table17[[#This Row],[ns1:time2]],10)</f>
        <v>2022-09-12</v>
      </c>
    </row>
    <row r="63" spans="1:14" x14ac:dyDescent="0.35">
      <c r="A63">
        <f t="shared" si="0"/>
        <v>62</v>
      </c>
      <c r="B63">
        <f t="shared" si="1"/>
        <v>15</v>
      </c>
      <c r="C63" s="1" t="s">
        <v>604</v>
      </c>
      <c r="D63">
        <v>1.1000000000000001</v>
      </c>
      <c r="E63" s="2" t="s">
        <v>12</v>
      </c>
      <c r="F63" s="1" t="s">
        <v>13</v>
      </c>
      <c r="G63" s="3" t="s">
        <v>605</v>
      </c>
      <c r="H63">
        <v>33.994031999999997</v>
      </c>
      <c r="I63">
        <v>71.433224999999993</v>
      </c>
      <c r="J63">
        <v>405.39700299999998</v>
      </c>
      <c r="K63" s="3" t="s">
        <v>619</v>
      </c>
      <c r="L63">
        <v>15</v>
      </c>
      <c r="M63" s="1" t="s">
        <v>61</v>
      </c>
      <c r="N63" s="29" t="str">
        <f>LEFT(Table17[[#This Row],[ns1:time2]],10)</f>
        <v>2022-09-12</v>
      </c>
    </row>
    <row r="64" spans="1:14" x14ac:dyDescent="0.35">
      <c r="A64">
        <f t="shared" si="0"/>
        <v>63</v>
      </c>
      <c r="B64">
        <f t="shared" si="1"/>
        <v>16</v>
      </c>
      <c r="C64" s="1" t="s">
        <v>604</v>
      </c>
      <c r="D64">
        <v>1.1000000000000001</v>
      </c>
      <c r="E64" s="2" t="s">
        <v>12</v>
      </c>
      <c r="F64" s="1" t="s">
        <v>13</v>
      </c>
      <c r="G64" s="3" t="s">
        <v>605</v>
      </c>
      <c r="H64">
        <v>33.994466000000003</v>
      </c>
      <c r="I64">
        <v>71.433267999999998</v>
      </c>
      <c r="J64">
        <v>405.26223800000002</v>
      </c>
      <c r="K64" s="3" t="s">
        <v>620</v>
      </c>
      <c r="L64">
        <v>16</v>
      </c>
      <c r="M64" s="1" t="s">
        <v>61</v>
      </c>
      <c r="N64" s="29" t="str">
        <f>LEFT(Table17[[#This Row],[ns1:time2]],10)</f>
        <v>2022-09-12</v>
      </c>
    </row>
    <row r="65" spans="1:14" x14ac:dyDescent="0.35">
      <c r="A65">
        <f t="shared" si="0"/>
        <v>64</v>
      </c>
      <c r="B65">
        <f t="shared" si="1"/>
        <v>17</v>
      </c>
      <c r="C65" s="1" t="s">
        <v>604</v>
      </c>
      <c r="D65">
        <v>1.1000000000000001</v>
      </c>
      <c r="E65" s="2" t="s">
        <v>12</v>
      </c>
      <c r="F65" s="1" t="s">
        <v>13</v>
      </c>
      <c r="G65" s="3" t="s">
        <v>605</v>
      </c>
      <c r="H65">
        <v>33.994509999999998</v>
      </c>
      <c r="I65">
        <v>71.433271000000005</v>
      </c>
      <c r="J65">
        <v>404.45779399999998</v>
      </c>
      <c r="K65" s="3" t="s">
        <v>621</v>
      </c>
      <c r="L65">
        <v>17</v>
      </c>
      <c r="M65" s="1" t="s">
        <v>61</v>
      </c>
      <c r="N65" s="29" t="str">
        <f>LEFT(Table17[[#This Row],[ns1:time2]],10)</f>
        <v>2022-09-12</v>
      </c>
    </row>
    <row r="66" spans="1:14" x14ac:dyDescent="0.35">
      <c r="A66">
        <f t="shared" si="0"/>
        <v>65</v>
      </c>
      <c r="B66">
        <f t="shared" si="1"/>
        <v>18</v>
      </c>
      <c r="C66" s="1" t="s">
        <v>604</v>
      </c>
      <c r="D66">
        <v>1.1000000000000001</v>
      </c>
      <c r="E66" s="2" t="s">
        <v>12</v>
      </c>
      <c r="F66" s="1" t="s">
        <v>13</v>
      </c>
      <c r="G66" s="3" t="s">
        <v>605</v>
      </c>
      <c r="H66">
        <v>33.994858000000001</v>
      </c>
      <c r="I66">
        <v>71.433311000000003</v>
      </c>
      <c r="J66">
        <v>403.98889200000002</v>
      </c>
      <c r="K66" s="3" t="s">
        <v>622</v>
      </c>
      <c r="L66">
        <v>18</v>
      </c>
      <c r="M66" s="1" t="s">
        <v>61</v>
      </c>
      <c r="N66" s="29" t="str">
        <f>LEFT(Table17[[#This Row],[ns1:time2]],10)</f>
        <v>2022-09-12</v>
      </c>
    </row>
    <row r="67" spans="1:14" x14ac:dyDescent="0.35">
      <c r="A67">
        <f t="shared" si="0"/>
        <v>66</v>
      </c>
      <c r="B67">
        <f t="shared" si="1"/>
        <v>19</v>
      </c>
      <c r="C67" s="1" t="s">
        <v>604</v>
      </c>
      <c r="D67">
        <v>1.1000000000000001</v>
      </c>
      <c r="E67" s="2" t="s">
        <v>12</v>
      </c>
      <c r="F67" s="1" t="s">
        <v>13</v>
      </c>
      <c r="G67" s="3" t="s">
        <v>605</v>
      </c>
      <c r="H67">
        <v>33.994892</v>
      </c>
      <c r="I67">
        <v>71.433312999999998</v>
      </c>
      <c r="J67">
        <v>403.46664399999997</v>
      </c>
      <c r="K67" s="3" t="s">
        <v>623</v>
      </c>
      <c r="L67">
        <v>19</v>
      </c>
      <c r="M67" s="1" t="s">
        <v>61</v>
      </c>
      <c r="N67" s="29" t="str">
        <f>LEFT(Table17[[#This Row],[ns1:time2]],10)</f>
        <v>2022-09-12</v>
      </c>
    </row>
    <row r="68" spans="1:14" x14ac:dyDescent="0.35">
      <c r="A68">
        <f t="shared" ref="A68:A131" si="2">A67+1</f>
        <v>67</v>
      </c>
      <c r="B68">
        <f t="shared" si="1"/>
        <v>20</v>
      </c>
      <c r="C68" s="1" t="s">
        <v>604</v>
      </c>
      <c r="D68">
        <v>1.1000000000000001</v>
      </c>
      <c r="E68" s="2" t="s">
        <v>12</v>
      </c>
      <c r="F68" s="1" t="s">
        <v>13</v>
      </c>
      <c r="G68" s="3" t="s">
        <v>605</v>
      </c>
      <c r="H68">
        <v>33.995202999999997</v>
      </c>
      <c r="I68">
        <v>71.433336999999995</v>
      </c>
      <c r="J68">
        <v>402.60964999999999</v>
      </c>
      <c r="K68" s="3" t="s">
        <v>624</v>
      </c>
      <c r="L68">
        <v>20</v>
      </c>
      <c r="M68" s="1" t="s">
        <v>61</v>
      </c>
      <c r="N68" s="29" t="str">
        <f>LEFT(Table17[[#This Row],[ns1:time2]],10)</f>
        <v>2022-09-12</v>
      </c>
    </row>
    <row r="69" spans="1:14" x14ac:dyDescent="0.35">
      <c r="A69">
        <f t="shared" si="2"/>
        <v>68</v>
      </c>
      <c r="B69">
        <f t="shared" si="1"/>
        <v>21</v>
      </c>
      <c r="C69" s="1" t="s">
        <v>604</v>
      </c>
      <c r="D69">
        <v>1.1000000000000001</v>
      </c>
      <c r="E69" s="2" t="s">
        <v>12</v>
      </c>
      <c r="F69" s="1" t="s">
        <v>13</v>
      </c>
      <c r="G69" s="3" t="s">
        <v>605</v>
      </c>
      <c r="H69">
        <v>33.995626999999999</v>
      </c>
      <c r="I69">
        <v>71.433374000000001</v>
      </c>
      <c r="J69">
        <v>402.09536700000001</v>
      </c>
      <c r="K69" s="3" t="s">
        <v>625</v>
      </c>
      <c r="L69">
        <v>21</v>
      </c>
      <c r="M69" s="1" t="s">
        <v>61</v>
      </c>
      <c r="N69" s="29" t="str">
        <f>LEFT(Table17[[#This Row],[ns1:time2]],10)</f>
        <v>2022-09-12</v>
      </c>
    </row>
    <row r="70" spans="1:14" x14ac:dyDescent="0.35">
      <c r="A70">
        <f t="shared" si="2"/>
        <v>69</v>
      </c>
      <c r="B70">
        <f t="shared" si="1"/>
        <v>22</v>
      </c>
      <c r="C70" s="1" t="s">
        <v>604</v>
      </c>
      <c r="D70">
        <v>1.1000000000000001</v>
      </c>
      <c r="E70" s="2" t="s">
        <v>12</v>
      </c>
      <c r="F70" s="1" t="s">
        <v>13</v>
      </c>
      <c r="G70" s="3" t="s">
        <v>605</v>
      </c>
      <c r="H70">
        <v>33.996442999999999</v>
      </c>
      <c r="I70">
        <v>71.433479000000005</v>
      </c>
      <c r="J70">
        <v>397.22204599999998</v>
      </c>
      <c r="K70" s="3" t="s">
        <v>626</v>
      </c>
      <c r="L70">
        <v>22</v>
      </c>
      <c r="M70" s="1" t="s">
        <v>61</v>
      </c>
      <c r="N70" s="29" t="str">
        <f>LEFT(Table17[[#This Row],[ns1:time2]],10)</f>
        <v>2022-09-12</v>
      </c>
    </row>
    <row r="71" spans="1:14" x14ac:dyDescent="0.35">
      <c r="A71">
        <f t="shared" si="2"/>
        <v>70</v>
      </c>
      <c r="B71">
        <f t="shared" si="1"/>
        <v>23</v>
      </c>
      <c r="C71" s="1" t="s">
        <v>604</v>
      </c>
      <c r="D71">
        <v>1.1000000000000001</v>
      </c>
      <c r="E71" s="2" t="s">
        <v>12</v>
      </c>
      <c r="F71" s="1" t="s">
        <v>13</v>
      </c>
      <c r="G71" s="3" t="s">
        <v>605</v>
      </c>
      <c r="H71">
        <v>33.996544999999998</v>
      </c>
      <c r="I71">
        <v>71.433955999999995</v>
      </c>
      <c r="J71">
        <v>398.32879600000001</v>
      </c>
      <c r="K71" s="3" t="s">
        <v>627</v>
      </c>
      <c r="L71">
        <v>23</v>
      </c>
      <c r="M71" s="1" t="s">
        <v>61</v>
      </c>
      <c r="N71" s="29" t="str">
        <f>LEFT(Table17[[#This Row],[ns1:time2]],10)</f>
        <v>2022-09-12</v>
      </c>
    </row>
    <row r="72" spans="1:14" x14ac:dyDescent="0.35">
      <c r="A72">
        <f t="shared" si="2"/>
        <v>71</v>
      </c>
      <c r="B72">
        <f t="shared" si="1"/>
        <v>24</v>
      </c>
      <c r="C72" s="1" t="s">
        <v>604</v>
      </c>
      <c r="D72">
        <v>1.1000000000000001</v>
      </c>
      <c r="E72" s="2" t="s">
        <v>12</v>
      </c>
      <c r="F72" s="1" t="s">
        <v>13</v>
      </c>
      <c r="G72" s="3" t="s">
        <v>605</v>
      </c>
      <c r="H72">
        <v>33.996782000000003</v>
      </c>
      <c r="I72">
        <v>71.434400999999994</v>
      </c>
      <c r="J72">
        <v>396.09393299999999</v>
      </c>
      <c r="K72" s="3" t="s">
        <v>628</v>
      </c>
      <c r="L72">
        <v>24</v>
      </c>
      <c r="M72" s="1" t="s">
        <v>61</v>
      </c>
      <c r="N72" s="29" t="str">
        <f>LEFT(Table17[[#This Row],[ns1:time2]],10)</f>
        <v>2022-09-12</v>
      </c>
    </row>
    <row r="73" spans="1:14" x14ac:dyDescent="0.35">
      <c r="A73">
        <f t="shared" si="2"/>
        <v>72</v>
      </c>
      <c r="B73">
        <f t="shared" si="1"/>
        <v>25</v>
      </c>
      <c r="C73" s="1" t="s">
        <v>604</v>
      </c>
      <c r="D73">
        <v>1.1000000000000001</v>
      </c>
      <c r="E73" s="2" t="s">
        <v>12</v>
      </c>
      <c r="F73" s="1" t="s">
        <v>13</v>
      </c>
      <c r="G73" s="3" t="s">
        <v>605</v>
      </c>
      <c r="H73">
        <v>33.996895000000002</v>
      </c>
      <c r="I73">
        <v>71.435012999999998</v>
      </c>
      <c r="J73">
        <v>395.365387</v>
      </c>
      <c r="K73" s="3" t="s">
        <v>629</v>
      </c>
      <c r="L73">
        <v>25</v>
      </c>
      <c r="M73" s="1" t="s">
        <v>61</v>
      </c>
      <c r="N73" s="29" t="str">
        <f>LEFT(Table17[[#This Row],[ns1:time2]],10)</f>
        <v>2022-09-12</v>
      </c>
    </row>
    <row r="74" spans="1:14" x14ac:dyDescent="0.35">
      <c r="A74">
        <f t="shared" si="2"/>
        <v>73</v>
      </c>
      <c r="B74">
        <f t="shared" si="1"/>
        <v>26</v>
      </c>
      <c r="C74" s="1" t="s">
        <v>604</v>
      </c>
      <c r="D74">
        <v>1.1000000000000001</v>
      </c>
      <c r="E74" s="2" t="s">
        <v>12</v>
      </c>
      <c r="F74" s="1" t="s">
        <v>13</v>
      </c>
      <c r="G74" s="3" t="s">
        <v>605</v>
      </c>
      <c r="H74">
        <v>33.996893</v>
      </c>
      <c r="I74">
        <v>71.435017000000002</v>
      </c>
      <c r="J74">
        <v>395.401703</v>
      </c>
      <c r="K74" s="3" t="s">
        <v>630</v>
      </c>
      <c r="L74">
        <v>26</v>
      </c>
      <c r="M74" s="1" t="s">
        <v>61</v>
      </c>
      <c r="N74" s="29" t="str">
        <f>LEFT(Table17[[#This Row],[ns1:time2]],10)</f>
        <v>2022-09-12</v>
      </c>
    </row>
    <row r="75" spans="1:14" x14ac:dyDescent="0.35">
      <c r="A75">
        <f t="shared" si="2"/>
        <v>74</v>
      </c>
      <c r="B75">
        <f t="shared" si="1"/>
        <v>27</v>
      </c>
      <c r="C75" s="1" t="s">
        <v>604</v>
      </c>
      <c r="D75">
        <v>1.1000000000000001</v>
      </c>
      <c r="E75" s="2" t="s">
        <v>12</v>
      </c>
      <c r="F75" s="1" t="s">
        <v>13</v>
      </c>
      <c r="G75" s="3" t="s">
        <v>605</v>
      </c>
      <c r="H75">
        <v>33.997188999999999</v>
      </c>
      <c r="I75">
        <v>71.435085000000001</v>
      </c>
      <c r="J75">
        <v>398.322113</v>
      </c>
      <c r="K75" s="3" t="s">
        <v>631</v>
      </c>
      <c r="L75">
        <v>27</v>
      </c>
      <c r="M75" s="1" t="s">
        <v>61</v>
      </c>
      <c r="N75" s="29" t="str">
        <f>LEFT(Table17[[#This Row],[ns1:time2]],10)</f>
        <v>2022-09-12</v>
      </c>
    </row>
    <row r="76" spans="1:14" x14ac:dyDescent="0.35">
      <c r="A76">
        <f t="shared" si="2"/>
        <v>75</v>
      </c>
      <c r="B76">
        <f t="shared" si="1"/>
        <v>28</v>
      </c>
      <c r="C76" s="1" t="s">
        <v>604</v>
      </c>
      <c r="D76">
        <v>1.1000000000000001</v>
      </c>
      <c r="E76" s="2" t="s">
        <v>12</v>
      </c>
      <c r="F76" s="1" t="s">
        <v>13</v>
      </c>
      <c r="G76" s="3" t="s">
        <v>605</v>
      </c>
      <c r="H76">
        <v>33.997059999999998</v>
      </c>
      <c r="I76">
        <v>71.435595000000006</v>
      </c>
      <c r="J76">
        <v>397.46579000000003</v>
      </c>
      <c r="K76" s="3" t="s">
        <v>632</v>
      </c>
      <c r="L76">
        <v>28</v>
      </c>
      <c r="M76" s="1" t="s">
        <v>61</v>
      </c>
      <c r="N76" s="29" t="str">
        <f>LEFT(Table17[[#This Row],[ns1:time2]],10)</f>
        <v>2022-09-12</v>
      </c>
    </row>
    <row r="77" spans="1:14" x14ac:dyDescent="0.35">
      <c r="A77">
        <f t="shared" si="2"/>
        <v>76</v>
      </c>
      <c r="B77">
        <f t="shared" si="1"/>
        <v>29</v>
      </c>
      <c r="C77" s="1" t="s">
        <v>604</v>
      </c>
      <c r="D77">
        <v>1.1000000000000001</v>
      </c>
      <c r="E77" s="2" t="s">
        <v>12</v>
      </c>
      <c r="F77" s="1" t="s">
        <v>13</v>
      </c>
      <c r="G77" s="3" t="s">
        <v>605</v>
      </c>
      <c r="H77">
        <v>33.997039999999998</v>
      </c>
      <c r="I77">
        <v>71.435967000000005</v>
      </c>
      <c r="J77">
        <v>396.76342799999998</v>
      </c>
      <c r="K77" s="3" t="s">
        <v>633</v>
      </c>
      <c r="L77">
        <v>29</v>
      </c>
      <c r="M77" s="1" t="s">
        <v>61</v>
      </c>
      <c r="N77" s="29" t="str">
        <f>LEFT(Table17[[#This Row],[ns1:time2]],10)</f>
        <v>2022-09-12</v>
      </c>
    </row>
    <row r="78" spans="1:14" x14ac:dyDescent="0.35">
      <c r="A78">
        <f t="shared" si="2"/>
        <v>77</v>
      </c>
      <c r="B78">
        <f t="shared" si="1"/>
        <v>30</v>
      </c>
      <c r="C78" s="1" t="s">
        <v>604</v>
      </c>
      <c r="D78">
        <v>1.1000000000000001</v>
      </c>
      <c r="E78" s="2" t="s">
        <v>12</v>
      </c>
      <c r="F78" s="1" t="s">
        <v>13</v>
      </c>
      <c r="G78" s="3" t="s">
        <v>605</v>
      </c>
      <c r="H78">
        <v>33.997022000000001</v>
      </c>
      <c r="I78">
        <v>71.436154999999999</v>
      </c>
      <c r="J78">
        <v>396.23388699999998</v>
      </c>
      <c r="K78" s="3" t="s">
        <v>634</v>
      </c>
      <c r="L78">
        <v>30</v>
      </c>
      <c r="M78" s="1" t="s">
        <v>61</v>
      </c>
      <c r="N78" s="29" t="str">
        <f>LEFT(Table17[[#This Row],[ns1:time2]],10)</f>
        <v>2022-09-12</v>
      </c>
    </row>
    <row r="79" spans="1:14" x14ac:dyDescent="0.35">
      <c r="A79">
        <f t="shared" si="2"/>
        <v>78</v>
      </c>
      <c r="B79">
        <f t="shared" si="1"/>
        <v>31</v>
      </c>
      <c r="C79" s="1" t="s">
        <v>604</v>
      </c>
      <c r="D79">
        <v>1.1000000000000001</v>
      </c>
      <c r="E79" s="2" t="s">
        <v>12</v>
      </c>
      <c r="F79" s="1" t="s">
        <v>13</v>
      </c>
      <c r="G79" s="3" t="s">
        <v>605</v>
      </c>
      <c r="H79">
        <v>33.996985000000002</v>
      </c>
      <c r="I79">
        <v>71.436715000000007</v>
      </c>
      <c r="J79">
        <v>395.19000199999999</v>
      </c>
      <c r="K79" s="3" t="s">
        <v>635</v>
      </c>
      <c r="L79">
        <v>31</v>
      </c>
      <c r="M79" s="1" t="s">
        <v>61</v>
      </c>
      <c r="N79" s="29" t="str">
        <f>LEFT(Table17[[#This Row],[ns1:time2]],10)</f>
        <v>2022-09-12</v>
      </c>
    </row>
    <row r="80" spans="1:14" x14ac:dyDescent="0.35">
      <c r="A80">
        <f t="shared" si="2"/>
        <v>79</v>
      </c>
      <c r="B80">
        <f t="shared" si="1"/>
        <v>32</v>
      </c>
      <c r="C80" s="1" t="s">
        <v>604</v>
      </c>
      <c r="D80">
        <v>1.1000000000000001</v>
      </c>
      <c r="E80" s="2" t="s">
        <v>12</v>
      </c>
      <c r="F80" s="1" t="s">
        <v>13</v>
      </c>
      <c r="G80" s="3" t="s">
        <v>605</v>
      </c>
      <c r="H80">
        <v>33.996940000000002</v>
      </c>
      <c r="I80">
        <v>71.437586999999994</v>
      </c>
      <c r="J80">
        <v>394.06158399999998</v>
      </c>
      <c r="K80" s="3" t="s">
        <v>636</v>
      </c>
      <c r="L80">
        <v>32</v>
      </c>
      <c r="M80" s="1" t="s">
        <v>61</v>
      </c>
      <c r="N80" s="29" t="str">
        <f>LEFT(Table17[[#This Row],[ns1:time2]],10)</f>
        <v>2022-09-12</v>
      </c>
    </row>
    <row r="81" spans="1:14" x14ac:dyDescent="0.35">
      <c r="A81">
        <f t="shared" si="2"/>
        <v>80</v>
      </c>
      <c r="B81">
        <f t="shared" si="1"/>
        <v>33</v>
      </c>
      <c r="C81" s="1" t="s">
        <v>604</v>
      </c>
      <c r="D81">
        <v>1.1000000000000001</v>
      </c>
      <c r="E81" s="2" t="s">
        <v>12</v>
      </c>
      <c r="F81" s="1" t="s">
        <v>13</v>
      </c>
      <c r="G81" s="3" t="s">
        <v>605</v>
      </c>
      <c r="H81">
        <v>33.996935999999998</v>
      </c>
      <c r="I81">
        <v>71.437663000000001</v>
      </c>
      <c r="J81">
        <v>393.944275</v>
      </c>
      <c r="K81" s="3" t="s">
        <v>637</v>
      </c>
      <c r="L81">
        <v>33</v>
      </c>
      <c r="M81" s="1" t="s">
        <v>61</v>
      </c>
      <c r="N81" s="29" t="str">
        <f>LEFT(Table17[[#This Row],[ns1:time2]],10)</f>
        <v>2022-09-12</v>
      </c>
    </row>
    <row r="82" spans="1:14" x14ac:dyDescent="0.35">
      <c r="A82">
        <f t="shared" si="2"/>
        <v>81</v>
      </c>
      <c r="B82">
        <f t="shared" si="1"/>
        <v>34</v>
      </c>
      <c r="C82" s="1" t="s">
        <v>604</v>
      </c>
      <c r="D82">
        <v>1.1000000000000001</v>
      </c>
      <c r="E82" s="2" t="s">
        <v>12</v>
      </c>
      <c r="F82" s="1" t="s">
        <v>13</v>
      </c>
      <c r="G82" s="3" t="s">
        <v>605</v>
      </c>
      <c r="H82">
        <v>33.996890999999998</v>
      </c>
      <c r="I82">
        <v>71.438445999999999</v>
      </c>
      <c r="J82">
        <v>393.27368200000001</v>
      </c>
      <c r="K82" s="3" t="s">
        <v>638</v>
      </c>
      <c r="L82">
        <v>34</v>
      </c>
      <c r="M82" s="1" t="s">
        <v>61</v>
      </c>
      <c r="N82" s="29" t="str">
        <f>LEFT(Table17[[#This Row],[ns1:time2]],10)</f>
        <v>2022-09-12</v>
      </c>
    </row>
    <row r="83" spans="1:14" x14ac:dyDescent="0.35">
      <c r="A83">
        <f t="shared" si="2"/>
        <v>82</v>
      </c>
      <c r="B83">
        <f t="shared" si="1"/>
        <v>35</v>
      </c>
      <c r="C83" s="1" t="s">
        <v>604</v>
      </c>
      <c r="D83">
        <v>1.1000000000000001</v>
      </c>
      <c r="E83" s="2" t="s">
        <v>12</v>
      </c>
      <c r="F83" s="1" t="s">
        <v>13</v>
      </c>
      <c r="G83" s="3" t="s">
        <v>605</v>
      </c>
      <c r="H83">
        <v>33.996886000000003</v>
      </c>
      <c r="I83">
        <v>71.439316000000005</v>
      </c>
      <c r="J83">
        <v>393.29415899999998</v>
      </c>
      <c r="K83" s="3" t="s">
        <v>639</v>
      </c>
      <c r="L83">
        <v>35</v>
      </c>
      <c r="M83" s="1" t="s">
        <v>61</v>
      </c>
      <c r="N83" s="29" t="str">
        <f>LEFT(Table17[[#This Row],[ns1:time2]],10)</f>
        <v>2022-09-12</v>
      </c>
    </row>
    <row r="84" spans="1:14" x14ac:dyDescent="0.35">
      <c r="A84">
        <f t="shared" si="2"/>
        <v>83</v>
      </c>
      <c r="B84">
        <f t="shared" si="1"/>
        <v>36</v>
      </c>
      <c r="C84" s="1" t="s">
        <v>604</v>
      </c>
      <c r="D84">
        <v>1.1000000000000001</v>
      </c>
      <c r="E84" s="2" t="s">
        <v>12</v>
      </c>
      <c r="F84" s="1" t="s">
        <v>13</v>
      </c>
      <c r="G84" s="3" t="s">
        <v>605</v>
      </c>
      <c r="H84">
        <v>33.996889000000003</v>
      </c>
      <c r="I84">
        <v>71.439317000000003</v>
      </c>
      <c r="J84">
        <v>393.10626200000002</v>
      </c>
      <c r="K84" s="3" t="s">
        <v>640</v>
      </c>
      <c r="L84">
        <v>36</v>
      </c>
      <c r="M84" s="1" t="s">
        <v>61</v>
      </c>
      <c r="N84" s="29" t="str">
        <f>LEFT(Table17[[#This Row],[ns1:time2]],10)</f>
        <v>2022-09-12</v>
      </c>
    </row>
    <row r="85" spans="1:14" x14ac:dyDescent="0.35">
      <c r="A85">
        <f t="shared" si="2"/>
        <v>84</v>
      </c>
      <c r="B85">
        <f t="shared" si="1"/>
        <v>37</v>
      </c>
      <c r="C85" s="1" t="s">
        <v>604</v>
      </c>
      <c r="D85">
        <v>1.1000000000000001</v>
      </c>
      <c r="E85" s="2" t="s">
        <v>12</v>
      </c>
      <c r="F85" s="1" t="s">
        <v>13</v>
      </c>
      <c r="G85" s="3" t="s">
        <v>605</v>
      </c>
      <c r="H85">
        <v>33.996890999999998</v>
      </c>
      <c r="I85">
        <v>71.439316000000005</v>
      </c>
      <c r="J85">
        <v>393.035461</v>
      </c>
      <c r="K85" s="3" t="s">
        <v>641</v>
      </c>
      <c r="L85">
        <v>37</v>
      </c>
      <c r="M85" s="1" t="s">
        <v>61</v>
      </c>
      <c r="N85" s="29" t="str">
        <f>LEFT(Table17[[#This Row],[ns1:time2]],10)</f>
        <v>2022-09-12</v>
      </c>
    </row>
    <row r="86" spans="1:14" x14ac:dyDescent="0.35">
      <c r="A86" s="19">
        <f t="shared" si="2"/>
        <v>85</v>
      </c>
      <c r="B86" s="19">
        <v>1</v>
      </c>
      <c r="C86" s="18" t="s">
        <v>11</v>
      </c>
      <c r="D86" s="19">
        <v>1.1000000000000001</v>
      </c>
      <c r="E86" s="20" t="s">
        <v>12</v>
      </c>
      <c r="F86" s="18" t="s">
        <v>13</v>
      </c>
      <c r="G86" s="21" t="s">
        <v>348</v>
      </c>
      <c r="H86" s="19">
        <v>33.996512000000003</v>
      </c>
      <c r="I86" s="19">
        <v>71.453777000000002</v>
      </c>
      <c r="J86" s="19">
        <v>368.81222500000001</v>
      </c>
      <c r="K86" s="21" t="s">
        <v>348</v>
      </c>
      <c r="L86" s="19">
        <v>48</v>
      </c>
      <c r="M86" s="18" t="s">
        <v>61</v>
      </c>
      <c r="N86" s="29" t="str">
        <f>LEFT(Table17[[#This Row],[ns1:time2]],10)</f>
        <v>2022-09-13</v>
      </c>
    </row>
    <row r="87" spans="1:14" x14ac:dyDescent="0.35">
      <c r="A87">
        <f t="shared" si="2"/>
        <v>86</v>
      </c>
      <c r="B87">
        <f>B86+1</f>
        <v>2</v>
      </c>
      <c r="C87" s="1" t="s">
        <v>11</v>
      </c>
      <c r="D87">
        <v>1.1000000000000001</v>
      </c>
      <c r="E87" s="2" t="s">
        <v>12</v>
      </c>
      <c r="F87" s="1" t="s">
        <v>13</v>
      </c>
      <c r="G87" s="3" t="s">
        <v>348</v>
      </c>
      <c r="H87">
        <v>33.996822000000002</v>
      </c>
      <c r="I87">
        <v>71.453862000000001</v>
      </c>
      <c r="J87">
        <v>379.27972399999999</v>
      </c>
      <c r="K87" s="3" t="s">
        <v>349</v>
      </c>
      <c r="L87">
        <v>49</v>
      </c>
      <c r="M87" s="1" t="s">
        <v>61</v>
      </c>
      <c r="N87" s="29" t="str">
        <f>LEFT(Table17[[#This Row],[ns1:time2]],10)</f>
        <v>2022-09-13</v>
      </c>
    </row>
    <row r="88" spans="1:14" x14ac:dyDescent="0.35">
      <c r="A88">
        <f t="shared" si="2"/>
        <v>87</v>
      </c>
      <c r="B88">
        <f t="shared" ref="B88:B151" si="3">B87+1</f>
        <v>3</v>
      </c>
      <c r="C88" s="1" t="s">
        <v>11</v>
      </c>
      <c r="D88">
        <v>1.1000000000000001</v>
      </c>
      <c r="E88" s="2" t="s">
        <v>12</v>
      </c>
      <c r="F88" s="1" t="s">
        <v>13</v>
      </c>
      <c r="G88" s="3" t="s">
        <v>348</v>
      </c>
      <c r="H88">
        <v>33.996813000000003</v>
      </c>
      <c r="I88">
        <v>71.453873999999999</v>
      </c>
      <c r="J88">
        <v>379.26416</v>
      </c>
      <c r="K88" s="3" t="s">
        <v>350</v>
      </c>
      <c r="L88">
        <v>50</v>
      </c>
      <c r="M88" s="1" t="s">
        <v>61</v>
      </c>
      <c r="N88" s="29" t="str">
        <f>LEFT(Table17[[#This Row],[ns1:time2]],10)</f>
        <v>2022-09-13</v>
      </c>
    </row>
    <row r="89" spans="1:14" x14ac:dyDescent="0.35">
      <c r="A89">
        <f t="shared" si="2"/>
        <v>88</v>
      </c>
      <c r="B89">
        <f t="shared" si="3"/>
        <v>4</v>
      </c>
      <c r="C89" s="1" t="s">
        <v>11</v>
      </c>
      <c r="D89">
        <v>1.1000000000000001</v>
      </c>
      <c r="E89" s="2" t="s">
        <v>12</v>
      </c>
      <c r="F89" s="1" t="s">
        <v>13</v>
      </c>
      <c r="G89" s="3" t="s">
        <v>348</v>
      </c>
      <c r="H89">
        <v>33.996816000000003</v>
      </c>
      <c r="I89">
        <v>71.453886999999995</v>
      </c>
      <c r="J89">
        <v>379.27005000000003</v>
      </c>
      <c r="K89" s="3" t="s">
        <v>351</v>
      </c>
      <c r="L89">
        <v>51</v>
      </c>
      <c r="M89" s="1" t="s">
        <v>61</v>
      </c>
      <c r="N89" s="29" t="str">
        <f>LEFT(Table17[[#This Row],[ns1:time2]],10)</f>
        <v>2022-09-13</v>
      </c>
    </row>
    <row r="90" spans="1:14" x14ac:dyDescent="0.35">
      <c r="A90">
        <f t="shared" si="2"/>
        <v>89</v>
      </c>
      <c r="B90">
        <f t="shared" si="3"/>
        <v>5</v>
      </c>
      <c r="C90" s="1" t="s">
        <v>11</v>
      </c>
      <c r="D90">
        <v>1.1000000000000001</v>
      </c>
      <c r="E90" s="2" t="s">
        <v>12</v>
      </c>
      <c r="F90" s="1" t="s">
        <v>13</v>
      </c>
      <c r="G90" s="3" t="s">
        <v>348</v>
      </c>
      <c r="H90">
        <v>33.997123000000002</v>
      </c>
      <c r="I90">
        <v>71.454115999999999</v>
      </c>
      <c r="J90">
        <v>379.99795499999999</v>
      </c>
      <c r="K90" s="3" t="s">
        <v>352</v>
      </c>
      <c r="L90">
        <v>52</v>
      </c>
      <c r="M90" s="1" t="s">
        <v>61</v>
      </c>
      <c r="N90" s="29" t="str">
        <f>LEFT(Table17[[#This Row],[ns1:time2]],10)</f>
        <v>2022-09-13</v>
      </c>
    </row>
    <row r="91" spans="1:14" x14ac:dyDescent="0.35">
      <c r="A91">
        <f t="shared" si="2"/>
        <v>90</v>
      </c>
      <c r="B91">
        <f t="shared" si="3"/>
        <v>6</v>
      </c>
      <c r="C91" s="1" t="s">
        <v>11</v>
      </c>
      <c r="D91">
        <v>1.1000000000000001</v>
      </c>
      <c r="E91" s="2" t="s">
        <v>12</v>
      </c>
      <c r="F91" s="1" t="s">
        <v>13</v>
      </c>
      <c r="G91" s="3" t="s">
        <v>348</v>
      </c>
      <c r="H91">
        <v>33.997124999999997</v>
      </c>
      <c r="I91">
        <v>71.454121999999998</v>
      </c>
      <c r="J91">
        <v>379.99844400000001</v>
      </c>
      <c r="K91" s="3" t="s">
        <v>353</v>
      </c>
      <c r="L91">
        <v>53</v>
      </c>
      <c r="M91" s="1" t="s">
        <v>61</v>
      </c>
      <c r="N91" s="29" t="str">
        <f>LEFT(Table17[[#This Row],[ns1:time2]],10)</f>
        <v>2022-09-13</v>
      </c>
    </row>
    <row r="92" spans="1:14" x14ac:dyDescent="0.35">
      <c r="A92">
        <f t="shared" si="2"/>
        <v>91</v>
      </c>
      <c r="B92">
        <f t="shared" si="3"/>
        <v>7</v>
      </c>
      <c r="C92" s="1" t="s">
        <v>11</v>
      </c>
      <c r="D92">
        <v>1.1000000000000001</v>
      </c>
      <c r="E92" s="2" t="s">
        <v>12</v>
      </c>
      <c r="F92" s="1" t="s">
        <v>13</v>
      </c>
      <c r="G92" s="3" t="s">
        <v>348</v>
      </c>
      <c r="H92">
        <v>33.997123999999999</v>
      </c>
      <c r="I92">
        <v>71.454128999999995</v>
      </c>
      <c r="J92">
        <v>379.99865699999998</v>
      </c>
      <c r="K92" s="3" t="s">
        <v>354</v>
      </c>
      <c r="L92">
        <v>54</v>
      </c>
      <c r="M92" s="1" t="s">
        <v>61</v>
      </c>
      <c r="N92" s="29" t="str">
        <f>LEFT(Table17[[#This Row],[ns1:time2]],10)</f>
        <v>2022-09-13</v>
      </c>
    </row>
    <row r="93" spans="1:14" x14ac:dyDescent="0.35">
      <c r="A93">
        <f t="shared" si="2"/>
        <v>92</v>
      </c>
      <c r="B93">
        <f t="shared" si="3"/>
        <v>8</v>
      </c>
      <c r="C93" s="1" t="s">
        <v>11</v>
      </c>
      <c r="D93">
        <v>1.1000000000000001</v>
      </c>
      <c r="E93" s="2" t="s">
        <v>12</v>
      </c>
      <c r="F93" s="1" t="s">
        <v>13</v>
      </c>
      <c r="G93" s="3" t="s">
        <v>348</v>
      </c>
      <c r="H93">
        <v>33.997123999999999</v>
      </c>
      <c r="I93">
        <v>71.454137000000003</v>
      </c>
      <c r="J93">
        <v>379.99963400000001</v>
      </c>
      <c r="K93" s="3" t="s">
        <v>355</v>
      </c>
      <c r="L93">
        <v>55</v>
      </c>
      <c r="M93" s="1" t="s">
        <v>61</v>
      </c>
      <c r="N93" s="29" t="str">
        <f>LEFT(Table17[[#This Row],[ns1:time2]],10)</f>
        <v>2022-09-13</v>
      </c>
    </row>
    <row r="94" spans="1:14" x14ac:dyDescent="0.35">
      <c r="A94">
        <f t="shared" si="2"/>
        <v>93</v>
      </c>
      <c r="B94">
        <f t="shared" si="3"/>
        <v>9</v>
      </c>
      <c r="C94" s="1" t="s">
        <v>11</v>
      </c>
      <c r="D94">
        <v>1.1000000000000001</v>
      </c>
      <c r="E94" s="2" t="s">
        <v>12</v>
      </c>
      <c r="F94" s="1" t="s">
        <v>13</v>
      </c>
      <c r="G94" s="3" t="s">
        <v>348</v>
      </c>
      <c r="H94">
        <v>33.997127999999996</v>
      </c>
      <c r="I94">
        <v>71.454145999999994</v>
      </c>
      <c r="J94">
        <v>380.00238000000002</v>
      </c>
      <c r="K94" s="3" t="s">
        <v>356</v>
      </c>
      <c r="L94">
        <v>56</v>
      </c>
      <c r="M94" s="1" t="s">
        <v>61</v>
      </c>
      <c r="N94" s="29" t="str">
        <f>LEFT(Table17[[#This Row],[ns1:time2]],10)</f>
        <v>2022-09-13</v>
      </c>
    </row>
    <row r="95" spans="1:14" x14ac:dyDescent="0.35">
      <c r="A95">
        <f t="shared" si="2"/>
        <v>94</v>
      </c>
      <c r="B95">
        <f t="shared" si="3"/>
        <v>10</v>
      </c>
      <c r="C95" s="1" t="s">
        <v>11</v>
      </c>
      <c r="D95">
        <v>1.1000000000000001</v>
      </c>
      <c r="E95" s="2" t="s">
        <v>12</v>
      </c>
      <c r="F95" s="1" t="s">
        <v>13</v>
      </c>
      <c r="G95" s="3" t="s">
        <v>348</v>
      </c>
      <c r="H95">
        <v>33.996262000000002</v>
      </c>
      <c r="I95">
        <v>71.456276000000003</v>
      </c>
      <c r="J95">
        <v>383.29754600000001</v>
      </c>
      <c r="K95" s="3" t="s">
        <v>357</v>
      </c>
      <c r="L95">
        <v>57</v>
      </c>
      <c r="M95" s="1" t="s">
        <v>61</v>
      </c>
      <c r="N95" s="29" t="str">
        <f>LEFT(Table17[[#This Row],[ns1:time2]],10)</f>
        <v>2022-09-13</v>
      </c>
    </row>
    <row r="96" spans="1:14" x14ac:dyDescent="0.35">
      <c r="A96">
        <f t="shared" si="2"/>
        <v>95</v>
      </c>
      <c r="B96">
        <f t="shared" si="3"/>
        <v>11</v>
      </c>
      <c r="C96" s="1" t="s">
        <v>11</v>
      </c>
      <c r="D96">
        <v>1.1000000000000001</v>
      </c>
      <c r="E96" s="2" t="s">
        <v>12</v>
      </c>
      <c r="F96" s="1" t="s">
        <v>13</v>
      </c>
      <c r="G96" s="3" t="s">
        <v>348</v>
      </c>
      <c r="H96">
        <v>33.996265000000001</v>
      </c>
      <c r="I96">
        <v>71.456284999999994</v>
      </c>
      <c r="J96">
        <v>383.28979500000003</v>
      </c>
      <c r="K96" s="3" t="s">
        <v>358</v>
      </c>
      <c r="L96">
        <v>58</v>
      </c>
      <c r="M96" s="1" t="s">
        <v>61</v>
      </c>
      <c r="N96" s="29" t="str">
        <f>LEFT(Table17[[#This Row],[ns1:time2]],10)</f>
        <v>2022-09-13</v>
      </c>
    </row>
    <row r="97" spans="1:14" x14ac:dyDescent="0.35">
      <c r="A97">
        <f t="shared" si="2"/>
        <v>96</v>
      </c>
      <c r="B97">
        <f t="shared" si="3"/>
        <v>12</v>
      </c>
      <c r="C97" s="1" t="s">
        <v>11</v>
      </c>
      <c r="D97">
        <v>1.1000000000000001</v>
      </c>
      <c r="E97" s="2" t="s">
        <v>12</v>
      </c>
      <c r="F97" s="1" t="s">
        <v>13</v>
      </c>
      <c r="G97" s="3" t="s">
        <v>348</v>
      </c>
      <c r="H97">
        <v>33.996268000000001</v>
      </c>
      <c r="I97">
        <v>71.456292000000005</v>
      </c>
      <c r="J97">
        <v>383.27804600000002</v>
      </c>
      <c r="K97" s="3" t="s">
        <v>359</v>
      </c>
      <c r="L97">
        <v>59</v>
      </c>
      <c r="M97" s="1" t="s">
        <v>61</v>
      </c>
      <c r="N97" s="29" t="str">
        <f>LEFT(Table17[[#This Row],[ns1:time2]],10)</f>
        <v>2022-09-13</v>
      </c>
    </row>
    <row r="98" spans="1:14" x14ac:dyDescent="0.35">
      <c r="A98">
        <f t="shared" si="2"/>
        <v>97</v>
      </c>
      <c r="B98">
        <f t="shared" si="3"/>
        <v>13</v>
      </c>
      <c r="C98" s="1" t="s">
        <v>11</v>
      </c>
      <c r="D98">
        <v>1.1000000000000001</v>
      </c>
      <c r="E98" s="2" t="s">
        <v>12</v>
      </c>
      <c r="F98" s="1" t="s">
        <v>13</v>
      </c>
      <c r="G98" s="3" t="s">
        <v>348</v>
      </c>
      <c r="H98">
        <v>33.993034000000002</v>
      </c>
      <c r="I98">
        <v>71.457167999999996</v>
      </c>
      <c r="J98">
        <v>383.947205</v>
      </c>
      <c r="K98" s="3" t="s">
        <v>360</v>
      </c>
      <c r="L98">
        <v>60</v>
      </c>
      <c r="M98" s="1" t="s">
        <v>61</v>
      </c>
      <c r="N98" s="29" t="str">
        <f>LEFT(Table17[[#This Row],[ns1:time2]],10)</f>
        <v>2022-09-13</v>
      </c>
    </row>
    <row r="99" spans="1:14" x14ac:dyDescent="0.35">
      <c r="A99">
        <f t="shared" si="2"/>
        <v>98</v>
      </c>
      <c r="B99">
        <f t="shared" si="3"/>
        <v>14</v>
      </c>
      <c r="C99" s="1" t="s">
        <v>11</v>
      </c>
      <c r="D99">
        <v>1.1000000000000001</v>
      </c>
      <c r="E99" s="2" t="s">
        <v>12</v>
      </c>
      <c r="F99" s="1" t="s">
        <v>13</v>
      </c>
      <c r="G99" s="3" t="s">
        <v>348</v>
      </c>
      <c r="H99">
        <v>33.993012</v>
      </c>
      <c r="I99">
        <v>71.457471999999996</v>
      </c>
      <c r="J99">
        <v>381.63024899999999</v>
      </c>
      <c r="K99" s="3" t="s">
        <v>361</v>
      </c>
      <c r="L99">
        <v>61</v>
      </c>
      <c r="M99" s="1" t="s">
        <v>61</v>
      </c>
      <c r="N99" s="29" t="str">
        <f>LEFT(Table17[[#This Row],[ns1:time2]],10)</f>
        <v>2022-09-13</v>
      </c>
    </row>
    <row r="100" spans="1:14" x14ac:dyDescent="0.35">
      <c r="A100">
        <f t="shared" si="2"/>
        <v>99</v>
      </c>
      <c r="B100">
        <f t="shared" si="3"/>
        <v>15</v>
      </c>
      <c r="C100" s="1" t="s">
        <v>11</v>
      </c>
      <c r="D100">
        <v>1.1000000000000001</v>
      </c>
      <c r="E100" s="2" t="s">
        <v>12</v>
      </c>
      <c r="F100" s="1" t="s">
        <v>13</v>
      </c>
      <c r="G100" s="3" t="s">
        <v>348</v>
      </c>
      <c r="H100">
        <v>33.992939999999997</v>
      </c>
      <c r="I100">
        <v>71.457875999999999</v>
      </c>
      <c r="J100">
        <v>382.93505900000002</v>
      </c>
      <c r="K100" s="3" t="s">
        <v>362</v>
      </c>
      <c r="L100">
        <v>62</v>
      </c>
      <c r="M100" s="1" t="s">
        <v>61</v>
      </c>
      <c r="N100" s="29" t="str">
        <f>LEFT(Table17[[#This Row],[ns1:time2]],10)</f>
        <v>2022-09-13</v>
      </c>
    </row>
    <row r="101" spans="1:14" x14ac:dyDescent="0.35">
      <c r="A101">
        <f t="shared" si="2"/>
        <v>100</v>
      </c>
      <c r="B101">
        <f t="shared" si="3"/>
        <v>16</v>
      </c>
      <c r="C101" s="1" t="s">
        <v>11</v>
      </c>
      <c r="D101">
        <v>1.1000000000000001</v>
      </c>
      <c r="E101" s="2" t="s">
        <v>12</v>
      </c>
      <c r="F101" s="1" t="s">
        <v>13</v>
      </c>
      <c r="G101" s="3" t="s">
        <v>348</v>
      </c>
      <c r="H101">
        <v>33.992927999999999</v>
      </c>
      <c r="I101">
        <v>71.457879000000005</v>
      </c>
      <c r="J101">
        <v>382.927887</v>
      </c>
      <c r="K101" s="3" t="s">
        <v>363</v>
      </c>
      <c r="L101">
        <v>63</v>
      </c>
      <c r="M101" s="1" t="s">
        <v>61</v>
      </c>
      <c r="N101" s="29" t="str">
        <f>LEFT(Table17[[#This Row],[ns1:time2]],10)</f>
        <v>2022-09-13</v>
      </c>
    </row>
    <row r="102" spans="1:14" x14ac:dyDescent="0.35">
      <c r="A102">
        <f t="shared" si="2"/>
        <v>101</v>
      </c>
      <c r="B102">
        <f t="shared" si="3"/>
        <v>17</v>
      </c>
      <c r="C102" s="1" t="s">
        <v>11</v>
      </c>
      <c r="D102">
        <v>1.1000000000000001</v>
      </c>
      <c r="E102" s="2" t="s">
        <v>12</v>
      </c>
      <c r="F102" s="1" t="s">
        <v>13</v>
      </c>
      <c r="G102" s="3" t="s">
        <v>348</v>
      </c>
      <c r="H102">
        <v>33.992916000000001</v>
      </c>
      <c r="I102">
        <v>71.457881999999998</v>
      </c>
      <c r="J102">
        <v>382.91635100000002</v>
      </c>
      <c r="K102" s="3" t="s">
        <v>364</v>
      </c>
      <c r="L102">
        <v>64</v>
      </c>
      <c r="M102" s="1" t="s">
        <v>61</v>
      </c>
      <c r="N102" s="29" t="str">
        <f>LEFT(Table17[[#This Row],[ns1:time2]],10)</f>
        <v>2022-09-13</v>
      </c>
    </row>
    <row r="103" spans="1:14" x14ac:dyDescent="0.35">
      <c r="A103">
        <f t="shared" si="2"/>
        <v>102</v>
      </c>
      <c r="B103">
        <f t="shared" si="3"/>
        <v>18</v>
      </c>
      <c r="C103" s="1" t="s">
        <v>11</v>
      </c>
      <c r="D103">
        <v>1.1000000000000001</v>
      </c>
      <c r="E103" s="2" t="s">
        <v>12</v>
      </c>
      <c r="F103" s="1" t="s">
        <v>13</v>
      </c>
      <c r="G103" s="3" t="s">
        <v>348</v>
      </c>
      <c r="H103">
        <v>33.993746000000002</v>
      </c>
      <c r="I103">
        <v>71.457936000000004</v>
      </c>
      <c r="J103">
        <v>385.56317100000001</v>
      </c>
      <c r="K103" s="3" t="s">
        <v>365</v>
      </c>
      <c r="L103">
        <v>65</v>
      </c>
      <c r="M103" s="1" t="s">
        <v>61</v>
      </c>
      <c r="N103" s="29" t="str">
        <f>LEFT(Table17[[#This Row],[ns1:time2]],10)</f>
        <v>2022-09-13</v>
      </c>
    </row>
    <row r="104" spans="1:14" x14ac:dyDescent="0.35">
      <c r="A104">
        <f t="shared" si="2"/>
        <v>103</v>
      </c>
      <c r="B104">
        <f t="shared" si="3"/>
        <v>19</v>
      </c>
      <c r="C104" s="1" t="s">
        <v>11</v>
      </c>
      <c r="D104">
        <v>1.1000000000000001</v>
      </c>
      <c r="E104" s="2" t="s">
        <v>12</v>
      </c>
      <c r="F104" s="1" t="s">
        <v>13</v>
      </c>
      <c r="G104" s="3" t="s">
        <v>348</v>
      </c>
      <c r="H104">
        <v>33.994067999999999</v>
      </c>
      <c r="I104">
        <v>71.458132000000006</v>
      </c>
      <c r="J104">
        <v>385.46298200000001</v>
      </c>
      <c r="K104" s="3" t="s">
        <v>366</v>
      </c>
      <c r="L104">
        <v>66</v>
      </c>
      <c r="M104" s="1" t="s">
        <v>61</v>
      </c>
      <c r="N104" s="29" t="str">
        <f>LEFT(Table17[[#This Row],[ns1:time2]],10)</f>
        <v>2022-09-13</v>
      </c>
    </row>
    <row r="105" spans="1:14" x14ac:dyDescent="0.35">
      <c r="A105">
        <f t="shared" si="2"/>
        <v>104</v>
      </c>
      <c r="B105">
        <f t="shared" si="3"/>
        <v>20</v>
      </c>
      <c r="C105" s="1" t="s">
        <v>11</v>
      </c>
      <c r="D105">
        <v>1.1000000000000001</v>
      </c>
      <c r="E105" s="2" t="s">
        <v>12</v>
      </c>
      <c r="F105" s="1" t="s">
        <v>13</v>
      </c>
      <c r="G105" s="3" t="s">
        <v>348</v>
      </c>
      <c r="H105">
        <v>33.994385000000001</v>
      </c>
      <c r="I105">
        <v>71.458318000000006</v>
      </c>
      <c r="J105">
        <v>384.86697400000003</v>
      </c>
      <c r="K105" s="3" t="s">
        <v>367</v>
      </c>
      <c r="L105">
        <v>67</v>
      </c>
      <c r="M105" s="1" t="s">
        <v>61</v>
      </c>
      <c r="N105" s="29" t="str">
        <f>LEFT(Table17[[#This Row],[ns1:time2]],10)</f>
        <v>2022-09-13</v>
      </c>
    </row>
    <row r="106" spans="1:14" x14ac:dyDescent="0.35">
      <c r="A106">
        <f t="shared" si="2"/>
        <v>105</v>
      </c>
      <c r="B106">
        <f t="shared" si="3"/>
        <v>21</v>
      </c>
      <c r="C106" s="1" t="s">
        <v>11</v>
      </c>
      <c r="D106">
        <v>1.1000000000000001</v>
      </c>
      <c r="E106" s="2" t="s">
        <v>12</v>
      </c>
      <c r="F106" s="1" t="s">
        <v>13</v>
      </c>
      <c r="G106" s="3" t="s">
        <v>348</v>
      </c>
      <c r="H106">
        <v>33.994788</v>
      </c>
      <c r="I106">
        <v>71.458517000000001</v>
      </c>
      <c r="J106">
        <v>382.52090500000003</v>
      </c>
      <c r="K106" s="3" t="s">
        <v>368</v>
      </c>
      <c r="L106">
        <v>68</v>
      </c>
      <c r="M106" s="1" t="s">
        <v>61</v>
      </c>
      <c r="N106" s="29" t="str">
        <f>LEFT(Table17[[#This Row],[ns1:time2]],10)</f>
        <v>2022-09-13</v>
      </c>
    </row>
    <row r="107" spans="1:14" x14ac:dyDescent="0.35">
      <c r="A107">
        <f t="shared" si="2"/>
        <v>106</v>
      </c>
      <c r="B107">
        <f t="shared" si="3"/>
        <v>22</v>
      </c>
      <c r="C107" s="1" t="s">
        <v>11</v>
      </c>
      <c r="D107">
        <v>1.1000000000000001</v>
      </c>
      <c r="E107" s="2" t="s">
        <v>12</v>
      </c>
      <c r="F107" s="1" t="s">
        <v>13</v>
      </c>
      <c r="G107" s="3" t="s">
        <v>348</v>
      </c>
      <c r="H107">
        <v>33.994781000000003</v>
      </c>
      <c r="I107">
        <v>71.458519999999993</v>
      </c>
      <c r="J107">
        <v>382.53961199999998</v>
      </c>
      <c r="K107" s="3" t="s">
        <v>369</v>
      </c>
      <c r="L107">
        <v>69</v>
      </c>
      <c r="M107" s="1" t="s">
        <v>61</v>
      </c>
      <c r="N107" s="29" t="str">
        <f>LEFT(Table17[[#This Row],[ns1:time2]],10)</f>
        <v>2022-09-13</v>
      </c>
    </row>
    <row r="108" spans="1:14" x14ac:dyDescent="0.35">
      <c r="A108">
        <f t="shared" si="2"/>
        <v>107</v>
      </c>
      <c r="B108">
        <f t="shared" si="3"/>
        <v>23</v>
      </c>
      <c r="C108" s="1" t="s">
        <v>11</v>
      </c>
      <c r="D108">
        <v>1.1000000000000001</v>
      </c>
      <c r="E108" s="2" t="s">
        <v>12</v>
      </c>
      <c r="F108" s="1" t="s">
        <v>13</v>
      </c>
      <c r="G108" s="3" t="s">
        <v>348</v>
      </c>
      <c r="H108">
        <v>33.994779000000001</v>
      </c>
      <c r="I108">
        <v>71.458528999999999</v>
      </c>
      <c r="J108">
        <v>382.53781099999998</v>
      </c>
      <c r="K108" s="3" t="s">
        <v>370</v>
      </c>
      <c r="L108">
        <v>70</v>
      </c>
      <c r="M108" s="1" t="s">
        <v>61</v>
      </c>
      <c r="N108" s="29" t="str">
        <f>LEFT(Table17[[#This Row],[ns1:time2]],10)</f>
        <v>2022-09-13</v>
      </c>
    </row>
    <row r="109" spans="1:14" x14ac:dyDescent="0.35">
      <c r="A109">
        <f t="shared" si="2"/>
        <v>108</v>
      </c>
      <c r="B109">
        <f t="shared" si="3"/>
        <v>24</v>
      </c>
      <c r="C109" s="1" t="s">
        <v>11</v>
      </c>
      <c r="D109">
        <v>1.1000000000000001</v>
      </c>
      <c r="E109" s="2" t="s">
        <v>12</v>
      </c>
      <c r="F109" s="1" t="s">
        <v>13</v>
      </c>
      <c r="G109" s="3" t="s">
        <v>348</v>
      </c>
      <c r="H109">
        <v>33.990752999999998</v>
      </c>
      <c r="I109">
        <v>71.455552999999995</v>
      </c>
      <c r="J109">
        <v>384.19152800000001</v>
      </c>
      <c r="K109" s="3" t="s">
        <v>371</v>
      </c>
      <c r="L109">
        <v>71</v>
      </c>
      <c r="M109" s="1" t="s">
        <v>61</v>
      </c>
      <c r="N109" s="29" t="str">
        <f>LEFT(Table17[[#This Row],[ns1:time2]],10)</f>
        <v>2022-09-13</v>
      </c>
    </row>
    <row r="110" spans="1:14" x14ac:dyDescent="0.35">
      <c r="A110">
        <f t="shared" si="2"/>
        <v>109</v>
      </c>
      <c r="B110">
        <f t="shared" si="3"/>
        <v>25</v>
      </c>
      <c r="C110" s="1" t="s">
        <v>11</v>
      </c>
      <c r="D110">
        <v>1.1000000000000001</v>
      </c>
      <c r="E110" s="2" t="s">
        <v>12</v>
      </c>
      <c r="F110" s="1" t="s">
        <v>13</v>
      </c>
      <c r="G110" s="3" t="s">
        <v>348</v>
      </c>
      <c r="H110">
        <v>33.990746999999999</v>
      </c>
      <c r="I110">
        <v>71.455555000000004</v>
      </c>
      <c r="J110">
        <v>384.19045999999997</v>
      </c>
      <c r="K110" s="3" t="s">
        <v>372</v>
      </c>
      <c r="L110">
        <v>72</v>
      </c>
      <c r="M110" s="1" t="s">
        <v>61</v>
      </c>
      <c r="N110" s="29" t="str">
        <f>LEFT(Table17[[#This Row],[ns1:time2]],10)</f>
        <v>2022-09-13</v>
      </c>
    </row>
    <row r="111" spans="1:14" x14ac:dyDescent="0.35">
      <c r="A111">
        <f t="shared" si="2"/>
        <v>110</v>
      </c>
      <c r="B111">
        <f t="shared" si="3"/>
        <v>26</v>
      </c>
      <c r="C111" s="1" t="s">
        <v>11</v>
      </c>
      <c r="D111">
        <v>1.1000000000000001</v>
      </c>
      <c r="E111" s="2" t="s">
        <v>12</v>
      </c>
      <c r="F111" s="1" t="s">
        <v>13</v>
      </c>
      <c r="G111" s="3" t="s">
        <v>348</v>
      </c>
      <c r="H111">
        <v>33.990734000000003</v>
      </c>
      <c r="I111">
        <v>71.455556000000001</v>
      </c>
      <c r="J111">
        <v>384.19387799999998</v>
      </c>
      <c r="K111" s="3" t="s">
        <v>373</v>
      </c>
      <c r="L111">
        <v>73</v>
      </c>
      <c r="M111" s="1" t="s">
        <v>61</v>
      </c>
      <c r="N111" s="29" t="str">
        <f>LEFT(Table17[[#This Row],[ns1:time2]],10)</f>
        <v>2022-09-13</v>
      </c>
    </row>
    <row r="112" spans="1:14" x14ac:dyDescent="0.35">
      <c r="A112">
        <f t="shared" si="2"/>
        <v>111</v>
      </c>
      <c r="B112">
        <f t="shared" si="3"/>
        <v>27</v>
      </c>
      <c r="C112" s="1" t="s">
        <v>11</v>
      </c>
      <c r="D112">
        <v>1.1000000000000001</v>
      </c>
      <c r="E112" s="2" t="s">
        <v>12</v>
      </c>
      <c r="F112" s="1" t="s">
        <v>13</v>
      </c>
      <c r="G112" s="3" t="s">
        <v>348</v>
      </c>
      <c r="H112">
        <v>33.990529000000002</v>
      </c>
      <c r="I112">
        <v>71.455278000000007</v>
      </c>
      <c r="J112">
        <v>386.45513899999997</v>
      </c>
      <c r="K112" s="3" t="s">
        <v>374</v>
      </c>
      <c r="L112">
        <v>74</v>
      </c>
      <c r="M112" s="1" t="s">
        <v>61</v>
      </c>
      <c r="N112" s="29" t="str">
        <f>LEFT(Table17[[#This Row],[ns1:time2]],10)</f>
        <v>2022-09-13</v>
      </c>
    </row>
    <row r="113" spans="1:14" x14ac:dyDescent="0.35">
      <c r="A113">
        <f t="shared" si="2"/>
        <v>112</v>
      </c>
      <c r="B113">
        <f t="shared" si="3"/>
        <v>28</v>
      </c>
      <c r="C113" s="1" t="s">
        <v>11</v>
      </c>
      <c r="D113">
        <v>1.1000000000000001</v>
      </c>
      <c r="E113" s="2" t="s">
        <v>12</v>
      </c>
      <c r="F113" s="1" t="s">
        <v>13</v>
      </c>
      <c r="G113" s="3" t="s">
        <v>348</v>
      </c>
      <c r="H113">
        <v>33.990529000000002</v>
      </c>
      <c r="I113">
        <v>71.455273000000005</v>
      </c>
      <c r="J113">
        <v>386.45517000000001</v>
      </c>
      <c r="K113" s="3" t="s">
        <v>375</v>
      </c>
      <c r="L113">
        <v>75</v>
      </c>
      <c r="M113" s="1" t="s">
        <v>61</v>
      </c>
      <c r="N113" s="29" t="str">
        <f>LEFT(Table17[[#This Row],[ns1:time2]],10)</f>
        <v>2022-09-13</v>
      </c>
    </row>
    <row r="114" spans="1:14" x14ac:dyDescent="0.35">
      <c r="A114">
        <f t="shared" si="2"/>
        <v>113</v>
      </c>
      <c r="B114">
        <f t="shared" si="3"/>
        <v>29</v>
      </c>
      <c r="C114" s="1" t="s">
        <v>11</v>
      </c>
      <c r="D114">
        <v>1.1000000000000001</v>
      </c>
      <c r="E114" s="2" t="s">
        <v>12</v>
      </c>
      <c r="F114" s="1" t="s">
        <v>13</v>
      </c>
      <c r="G114" s="3" t="s">
        <v>348</v>
      </c>
      <c r="H114">
        <v>33.990659999999998</v>
      </c>
      <c r="I114">
        <v>71.455815999999999</v>
      </c>
      <c r="J114">
        <v>384.895264</v>
      </c>
      <c r="K114" s="3" t="s">
        <v>376</v>
      </c>
      <c r="L114">
        <v>76</v>
      </c>
      <c r="M114" s="1" t="s">
        <v>61</v>
      </c>
      <c r="N114" s="29" t="str">
        <f>LEFT(Table17[[#This Row],[ns1:time2]],10)</f>
        <v>2022-09-13</v>
      </c>
    </row>
    <row r="115" spans="1:14" x14ac:dyDescent="0.35">
      <c r="A115">
        <f t="shared" si="2"/>
        <v>114</v>
      </c>
      <c r="B115">
        <f t="shared" si="3"/>
        <v>30</v>
      </c>
      <c r="C115" s="1" t="s">
        <v>11</v>
      </c>
      <c r="D115">
        <v>1.1000000000000001</v>
      </c>
      <c r="E115" s="2" t="s">
        <v>12</v>
      </c>
      <c r="F115" s="1" t="s">
        <v>13</v>
      </c>
      <c r="G115" s="3" t="s">
        <v>348</v>
      </c>
      <c r="H115">
        <v>33.990492000000003</v>
      </c>
      <c r="I115">
        <v>71.456222999999994</v>
      </c>
      <c r="J115">
        <v>386.521027</v>
      </c>
      <c r="K115" s="3" t="s">
        <v>377</v>
      </c>
      <c r="L115">
        <v>77</v>
      </c>
      <c r="M115" s="1" t="s">
        <v>61</v>
      </c>
      <c r="N115" s="29" t="str">
        <f>LEFT(Table17[[#This Row],[ns1:time2]],10)</f>
        <v>2022-09-13</v>
      </c>
    </row>
    <row r="116" spans="1:14" x14ac:dyDescent="0.35">
      <c r="A116">
        <f t="shared" si="2"/>
        <v>115</v>
      </c>
      <c r="B116">
        <f t="shared" si="3"/>
        <v>31</v>
      </c>
      <c r="C116" s="1" t="s">
        <v>11</v>
      </c>
      <c r="D116">
        <v>1.1000000000000001</v>
      </c>
      <c r="E116" s="2" t="s">
        <v>12</v>
      </c>
      <c r="F116" s="1" t="s">
        <v>13</v>
      </c>
      <c r="G116" s="3" t="s">
        <v>348</v>
      </c>
      <c r="H116">
        <v>33.990310999999998</v>
      </c>
      <c r="I116">
        <v>71.456563000000003</v>
      </c>
      <c r="J116">
        <v>386.43624899999998</v>
      </c>
      <c r="K116" s="3" t="s">
        <v>378</v>
      </c>
      <c r="L116">
        <v>78</v>
      </c>
      <c r="M116" s="1" t="s">
        <v>61</v>
      </c>
      <c r="N116" s="29" t="str">
        <f>LEFT(Table17[[#This Row],[ns1:time2]],10)</f>
        <v>2022-09-13</v>
      </c>
    </row>
    <row r="117" spans="1:14" x14ac:dyDescent="0.35">
      <c r="A117">
        <f t="shared" si="2"/>
        <v>116</v>
      </c>
      <c r="B117">
        <f t="shared" si="3"/>
        <v>32</v>
      </c>
      <c r="C117" s="1" t="s">
        <v>11</v>
      </c>
      <c r="D117">
        <v>1.1000000000000001</v>
      </c>
      <c r="E117" s="2" t="s">
        <v>12</v>
      </c>
      <c r="F117" s="1" t="s">
        <v>13</v>
      </c>
      <c r="G117" s="3" t="s">
        <v>348</v>
      </c>
      <c r="H117">
        <v>33.990260999999997</v>
      </c>
      <c r="I117">
        <v>71.455124999999995</v>
      </c>
      <c r="J117">
        <v>386.88711499999999</v>
      </c>
      <c r="K117" s="3" t="s">
        <v>379</v>
      </c>
      <c r="L117">
        <v>79</v>
      </c>
      <c r="M117" s="1" t="s">
        <v>61</v>
      </c>
      <c r="N117" s="29" t="str">
        <f>LEFT(Table17[[#This Row],[ns1:time2]],10)</f>
        <v>2022-09-13</v>
      </c>
    </row>
    <row r="118" spans="1:14" x14ac:dyDescent="0.35">
      <c r="A118">
        <f t="shared" si="2"/>
        <v>117</v>
      </c>
      <c r="B118">
        <f t="shared" si="3"/>
        <v>33</v>
      </c>
      <c r="C118" s="1" t="s">
        <v>11</v>
      </c>
      <c r="D118">
        <v>1.1000000000000001</v>
      </c>
      <c r="E118" s="2" t="s">
        <v>12</v>
      </c>
      <c r="F118" s="1" t="s">
        <v>13</v>
      </c>
      <c r="G118" s="3" t="s">
        <v>348</v>
      </c>
      <c r="H118">
        <v>33.990264000000003</v>
      </c>
      <c r="I118">
        <v>71.455101999999997</v>
      </c>
      <c r="J118">
        <v>386.88443000000001</v>
      </c>
      <c r="K118" s="3" t="s">
        <v>380</v>
      </c>
      <c r="L118">
        <v>80</v>
      </c>
      <c r="M118" s="1" t="s">
        <v>61</v>
      </c>
      <c r="N118" s="29" t="str">
        <f>LEFT(Table17[[#This Row],[ns1:time2]],10)</f>
        <v>2022-09-13</v>
      </c>
    </row>
    <row r="119" spans="1:14" x14ac:dyDescent="0.35">
      <c r="A119">
        <f t="shared" si="2"/>
        <v>118</v>
      </c>
      <c r="B119">
        <f t="shared" si="3"/>
        <v>34</v>
      </c>
      <c r="C119" s="1" t="s">
        <v>11</v>
      </c>
      <c r="D119">
        <v>1.1000000000000001</v>
      </c>
      <c r="E119" s="2" t="s">
        <v>12</v>
      </c>
      <c r="F119" s="1" t="s">
        <v>13</v>
      </c>
      <c r="G119" s="3" t="s">
        <v>348</v>
      </c>
      <c r="H119">
        <v>33.990265000000001</v>
      </c>
      <c r="I119">
        <v>71.455099000000004</v>
      </c>
      <c r="J119">
        <v>386.88217200000003</v>
      </c>
      <c r="K119" s="3" t="s">
        <v>381</v>
      </c>
      <c r="L119">
        <v>81</v>
      </c>
      <c r="M119" s="1" t="s">
        <v>61</v>
      </c>
      <c r="N119" s="29" t="str">
        <f>LEFT(Table17[[#This Row],[ns1:time2]],10)</f>
        <v>2022-09-13</v>
      </c>
    </row>
    <row r="120" spans="1:14" x14ac:dyDescent="0.35">
      <c r="A120">
        <f t="shared" si="2"/>
        <v>119</v>
      </c>
      <c r="B120">
        <f t="shared" si="3"/>
        <v>35</v>
      </c>
      <c r="C120" s="1" t="s">
        <v>11</v>
      </c>
      <c r="D120">
        <v>1.1000000000000001</v>
      </c>
      <c r="E120" s="2" t="s">
        <v>12</v>
      </c>
      <c r="F120" s="1" t="s">
        <v>13</v>
      </c>
      <c r="G120" s="3" t="s">
        <v>348</v>
      </c>
      <c r="H120">
        <v>33.990484000000002</v>
      </c>
      <c r="I120">
        <v>71.455274000000003</v>
      </c>
      <c r="J120">
        <v>387.22723400000001</v>
      </c>
      <c r="K120" s="3" t="s">
        <v>382</v>
      </c>
      <c r="L120">
        <v>82</v>
      </c>
      <c r="M120" s="1" t="s">
        <v>61</v>
      </c>
      <c r="N120" s="29" t="str">
        <f>LEFT(Table17[[#This Row],[ns1:time2]],10)</f>
        <v>2022-09-13</v>
      </c>
    </row>
    <row r="121" spans="1:14" x14ac:dyDescent="0.35">
      <c r="A121">
        <f t="shared" si="2"/>
        <v>120</v>
      </c>
      <c r="B121">
        <f t="shared" si="3"/>
        <v>36</v>
      </c>
      <c r="C121" s="1" t="s">
        <v>11</v>
      </c>
      <c r="D121">
        <v>1.1000000000000001</v>
      </c>
      <c r="E121" s="2" t="s">
        <v>12</v>
      </c>
      <c r="F121" s="1" t="s">
        <v>13</v>
      </c>
      <c r="G121" s="3" t="s">
        <v>348</v>
      </c>
      <c r="H121">
        <v>33.990225000000002</v>
      </c>
      <c r="I121">
        <v>71.454954000000001</v>
      </c>
      <c r="J121">
        <v>389.742188</v>
      </c>
      <c r="K121" s="3" t="s">
        <v>383</v>
      </c>
      <c r="L121">
        <v>83</v>
      </c>
      <c r="M121" s="1" t="s">
        <v>61</v>
      </c>
      <c r="N121" s="29" t="str">
        <f>LEFT(Table17[[#This Row],[ns1:time2]],10)</f>
        <v>2022-09-13</v>
      </c>
    </row>
    <row r="122" spans="1:14" x14ac:dyDescent="0.35">
      <c r="A122">
        <f t="shared" si="2"/>
        <v>121</v>
      </c>
      <c r="B122">
        <f t="shared" si="3"/>
        <v>37</v>
      </c>
      <c r="C122" s="1" t="s">
        <v>11</v>
      </c>
      <c r="D122">
        <v>1.1000000000000001</v>
      </c>
      <c r="E122" s="2" t="s">
        <v>12</v>
      </c>
      <c r="F122" s="1" t="s">
        <v>13</v>
      </c>
      <c r="G122" s="3" t="s">
        <v>348</v>
      </c>
      <c r="H122">
        <v>33.98997</v>
      </c>
      <c r="I122">
        <v>71.455354999999997</v>
      </c>
      <c r="J122">
        <v>387.08441199999999</v>
      </c>
      <c r="K122" s="3" t="s">
        <v>384</v>
      </c>
      <c r="L122">
        <v>84</v>
      </c>
      <c r="M122" s="1" t="s">
        <v>61</v>
      </c>
      <c r="N122" s="29" t="str">
        <f>LEFT(Table17[[#This Row],[ns1:time2]],10)</f>
        <v>2022-09-13</v>
      </c>
    </row>
    <row r="123" spans="1:14" x14ac:dyDescent="0.35">
      <c r="A123">
        <f t="shared" si="2"/>
        <v>122</v>
      </c>
      <c r="B123">
        <f t="shared" si="3"/>
        <v>38</v>
      </c>
      <c r="C123" s="1" t="s">
        <v>11</v>
      </c>
      <c r="D123">
        <v>1.1000000000000001</v>
      </c>
      <c r="E123" s="2" t="s">
        <v>12</v>
      </c>
      <c r="F123" s="1" t="s">
        <v>13</v>
      </c>
      <c r="G123" s="3" t="s">
        <v>348</v>
      </c>
      <c r="H123">
        <v>33.989832</v>
      </c>
      <c r="I123">
        <v>71.455786000000003</v>
      </c>
      <c r="J123">
        <v>386.74240099999997</v>
      </c>
      <c r="K123" s="3" t="s">
        <v>385</v>
      </c>
      <c r="L123">
        <v>85</v>
      </c>
      <c r="M123" s="1" t="s">
        <v>61</v>
      </c>
      <c r="N123" s="29" t="str">
        <f>LEFT(Table17[[#This Row],[ns1:time2]],10)</f>
        <v>2022-09-13</v>
      </c>
    </row>
    <row r="124" spans="1:14" x14ac:dyDescent="0.35">
      <c r="A124">
        <f t="shared" si="2"/>
        <v>123</v>
      </c>
      <c r="B124">
        <f t="shared" si="3"/>
        <v>39</v>
      </c>
      <c r="C124" s="1" t="s">
        <v>11</v>
      </c>
      <c r="D124">
        <v>1.1000000000000001</v>
      </c>
      <c r="E124" s="2" t="s">
        <v>12</v>
      </c>
      <c r="F124" s="1" t="s">
        <v>13</v>
      </c>
      <c r="G124" s="3" t="s">
        <v>348</v>
      </c>
      <c r="H124">
        <v>33.989989999999999</v>
      </c>
      <c r="I124">
        <v>71.454843999999994</v>
      </c>
      <c r="J124">
        <v>389.82455399999998</v>
      </c>
      <c r="K124" s="3" t="s">
        <v>386</v>
      </c>
      <c r="L124">
        <v>86</v>
      </c>
      <c r="M124" s="1" t="s">
        <v>61</v>
      </c>
      <c r="N124" s="29" t="str">
        <f>LEFT(Table17[[#This Row],[ns1:time2]],10)</f>
        <v>2022-09-13</v>
      </c>
    </row>
    <row r="125" spans="1:14" x14ac:dyDescent="0.35">
      <c r="A125">
        <f t="shared" si="2"/>
        <v>124</v>
      </c>
      <c r="B125">
        <f t="shared" si="3"/>
        <v>40</v>
      </c>
      <c r="C125" s="1" t="s">
        <v>11</v>
      </c>
      <c r="D125">
        <v>1.1000000000000001</v>
      </c>
      <c r="E125" s="2" t="s">
        <v>12</v>
      </c>
      <c r="F125" s="1" t="s">
        <v>13</v>
      </c>
      <c r="G125" s="3" t="s">
        <v>348</v>
      </c>
      <c r="H125">
        <v>33.989989000000001</v>
      </c>
      <c r="I125">
        <v>71.454814999999996</v>
      </c>
      <c r="J125">
        <v>389.82251000000002</v>
      </c>
      <c r="K125" s="3" t="s">
        <v>387</v>
      </c>
      <c r="L125">
        <v>87</v>
      </c>
      <c r="M125" s="1" t="s">
        <v>61</v>
      </c>
      <c r="N125" s="29" t="str">
        <f>LEFT(Table17[[#This Row],[ns1:time2]],10)</f>
        <v>2022-09-13</v>
      </c>
    </row>
    <row r="126" spans="1:14" x14ac:dyDescent="0.35">
      <c r="A126">
        <f t="shared" si="2"/>
        <v>125</v>
      </c>
      <c r="B126">
        <f t="shared" si="3"/>
        <v>41</v>
      </c>
      <c r="C126" s="1" t="s">
        <v>11</v>
      </c>
      <c r="D126">
        <v>1.1000000000000001</v>
      </c>
      <c r="E126" s="2" t="s">
        <v>12</v>
      </c>
      <c r="F126" s="1" t="s">
        <v>13</v>
      </c>
      <c r="G126" s="3" t="s">
        <v>348</v>
      </c>
      <c r="H126">
        <v>33.989989000000001</v>
      </c>
      <c r="I126">
        <v>71.454802999999998</v>
      </c>
      <c r="J126">
        <v>389.83084100000002</v>
      </c>
      <c r="K126" s="3" t="s">
        <v>388</v>
      </c>
      <c r="L126">
        <v>88</v>
      </c>
      <c r="M126" s="1" t="s">
        <v>61</v>
      </c>
      <c r="N126" s="29" t="str">
        <f>LEFT(Table17[[#This Row],[ns1:time2]],10)</f>
        <v>2022-09-13</v>
      </c>
    </row>
    <row r="127" spans="1:14" x14ac:dyDescent="0.35">
      <c r="A127">
        <f t="shared" si="2"/>
        <v>126</v>
      </c>
      <c r="B127">
        <f t="shared" si="3"/>
        <v>42</v>
      </c>
      <c r="C127" s="1" t="s">
        <v>11</v>
      </c>
      <c r="D127">
        <v>1.1000000000000001</v>
      </c>
      <c r="E127" s="2" t="s">
        <v>12</v>
      </c>
      <c r="F127" s="1" t="s">
        <v>13</v>
      </c>
      <c r="G127" s="3" t="s">
        <v>348</v>
      </c>
      <c r="H127">
        <v>33.989581000000001</v>
      </c>
      <c r="I127">
        <v>71.454468000000006</v>
      </c>
      <c r="J127">
        <v>392.60376000000002</v>
      </c>
      <c r="K127" s="3" t="s">
        <v>389</v>
      </c>
      <c r="L127">
        <v>89</v>
      </c>
      <c r="M127" s="1" t="s">
        <v>61</v>
      </c>
      <c r="N127" s="29" t="str">
        <f>LEFT(Table17[[#This Row],[ns1:time2]],10)</f>
        <v>2022-09-13</v>
      </c>
    </row>
    <row r="128" spans="1:14" x14ac:dyDescent="0.35">
      <c r="A128">
        <f t="shared" si="2"/>
        <v>127</v>
      </c>
      <c r="B128">
        <f t="shared" si="3"/>
        <v>43</v>
      </c>
      <c r="C128" s="1" t="s">
        <v>11</v>
      </c>
      <c r="D128">
        <v>1.1000000000000001</v>
      </c>
      <c r="E128" s="2" t="s">
        <v>12</v>
      </c>
      <c r="F128" s="1" t="s">
        <v>13</v>
      </c>
      <c r="G128" s="3" t="s">
        <v>348</v>
      </c>
      <c r="H128">
        <v>33.989204999999998</v>
      </c>
      <c r="I128">
        <v>71.454136000000005</v>
      </c>
      <c r="J128">
        <v>392.415436</v>
      </c>
      <c r="K128" s="3" t="s">
        <v>390</v>
      </c>
      <c r="L128">
        <v>90</v>
      </c>
      <c r="M128" s="1" t="s">
        <v>61</v>
      </c>
      <c r="N128" s="29" t="str">
        <f>LEFT(Table17[[#This Row],[ns1:time2]],10)</f>
        <v>2022-09-13</v>
      </c>
    </row>
    <row r="129" spans="1:14" x14ac:dyDescent="0.35">
      <c r="A129">
        <f t="shared" si="2"/>
        <v>128</v>
      </c>
      <c r="B129">
        <f t="shared" si="3"/>
        <v>44</v>
      </c>
      <c r="C129" s="1" t="s">
        <v>11</v>
      </c>
      <c r="D129">
        <v>1.1000000000000001</v>
      </c>
      <c r="E129" s="2" t="s">
        <v>12</v>
      </c>
      <c r="F129" s="1" t="s">
        <v>13</v>
      </c>
      <c r="G129" s="3" t="s">
        <v>348</v>
      </c>
      <c r="H129">
        <v>33.989077000000002</v>
      </c>
      <c r="I129">
        <v>71.454345000000004</v>
      </c>
      <c r="J129">
        <v>388.36025999999998</v>
      </c>
      <c r="K129" s="3" t="s">
        <v>391</v>
      </c>
      <c r="L129">
        <v>91</v>
      </c>
      <c r="M129" s="1" t="s">
        <v>61</v>
      </c>
      <c r="N129" s="29" t="str">
        <f>LEFT(Table17[[#This Row],[ns1:time2]],10)</f>
        <v>2022-09-13</v>
      </c>
    </row>
    <row r="130" spans="1:14" x14ac:dyDescent="0.35">
      <c r="A130">
        <f t="shared" si="2"/>
        <v>129</v>
      </c>
      <c r="B130">
        <f t="shared" si="3"/>
        <v>45</v>
      </c>
      <c r="C130" s="1" t="s">
        <v>11</v>
      </c>
      <c r="D130">
        <v>1.1000000000000001</v>
      </c>
      <c r="E130" s="2" t="s">
        <v>12</v>
      </c>
      <c r="F130" s="1" t="s">
        <v>13</v>
      </c>
      <c r="G130" s="3" t="s">
        <v>348</v>
      </c>
      <c r="H130">
        <v>33.988807000000001</v>
      </c>
      <c r="I130">
        <v>71.454648000000006</v>
      </c>
      <c r="J130">
        <v>392.091431</v>
      </c>
      <c r="K130" s="3" t="s">
        <v>392</v>
      </c>
      <c r="L130">
        <v>92</v>
      </c>
      <c r="M130" s="1" t="s">
        <v>61</v>
      </c>
      <c r="N130" s="29" t="str">
        <f>LEFT(Table17[[#This Row],[ns1:time2]],10)</f>
        <v>2022-09-13</v>
      </c>
    </row>
    <row r="131" spans="1:14" x14ac:dyDescent="0.35">
      <c r="A131">
        <f t="shared" si="2"/>
        <v>130</v>
      </c>
      <c r="B131">
        <f t="shared" si="3"/>
        <v>46</v>
      </c>
      <c r="C131" s="1" t="s">
        <v>11</v>
      </c>
      <c r="D131">
        <v>1.1000000000000001</v>
      </c>
      <c r="E131" s="2" t="s">
        <v>12</v>
      </c>
      <c r="F131" s="1" t="s">
        <v>13</v>
      </c>
      <c r="G131" s="3" t="s">
        <v>348</v>
      </c>
      <c r="H131">
        <v>33.988813999999998</v>
      </c>
      <c r="I131">
        <v>71.454649000000003</v>
      </c>
      <c r="J131">
        <v>392.07418799999999</v>
      </c>
      <c r="K131" s="3" t="s">
        <v>393</v>
      </c>
      <c r="L131">
        <v>93</v>
      </c>
      <c r="M131" s="1" t="s">
        <v>61</v>
      </c>
      <c r="N131" s="29" t="str">
        <f>LEFT(Table17[[#This Row],[ns1:time2]],10)</f>
        <v>2022-09-13</v>
      </c>
    </row>
    <row r="132" spans="1:14" x14ac:dyDescent="0.35">
      <c r="A132">
        <f t="shared" ref="A132:A195" si="4">A131+1</f>
        <v>131</v>
      </c>
      <c r="B132">
        <f t="shared" si="3"/>
        <v>47</v>
      </c>
      <c r="C132" s="1" t="s">
        <v>11</v>
      </c>
      <c r="D132">
        <v>1.1000000000000001</v>
      </c>
      <c r="E132" s="2" t="s">
        <v>12</v>
      </c>
      <c r="F132" s="1" t="s">
        <v>13</v>
      </c>
      <c r="G132" s="3" t="s">
        <v>348</v>
      </c>
      <c r="H132">
        <v>33.988818000000002</v>
      </c>
      <c r="I132">
        <v>71.454642000000007</v>
      </c>
      <c r="J132">
        <v>392.07333399999999</v>
      </c>
      <c r="K132" s="3" t="s">
        <v>394</v>
      </c>
      <c r="L132">
        <v>94</v>
      </c>
      <c r="M132" s="1" t="s">
        <v>61</v>
      </c>
      <c r="N132" s="29" t="str">
        <f>LEFT(Table17[[#This Row],[ns1:time2]],10)</f>
        <v>2022-09-13</v>
      </c>
    </row>
    <row r="133" spans="1:14" x14ac:dyDescent="0.35">
      <c r="A133">
        <f t="shared" si="4"/>
        <v>132</v>
      </c>
      <c r="B133">
        <f t="shared" si="3"/>
        <v>48</v>
      </c>
      <c r="C133" s="1" t="s">
        <v>11</v>
      </c>
      <c r="D133">
        <v>1.1000000000000001</v>
      </c>
      <c r="E133" s="2" t="s">
        <v>12</v>
      </c>
      <c r="F133" s="1" t="s">
        <v>13</v>
      </c>
      <c r="G133" s="3" t="s">
        <v>348</v>
      </c>
      <c r="H133">
        <v>33.988567000000003</v>
      </c>
      <c r="I133">
        <v>71.455046999999993</v>
      </c>
      <c r="J133">
        <v>389.83380099999999</v>
      </c>
      <c r="K133" s="3" t="s">
        <v>395</v>
      </c>
      <c r="L133">
        <v>95</v>
      </c>
      <c r="M133" s="1" t="s">
        <v>61</v>
      </c>
      <c r="N133" s="29" t="str">
        <f>LEFT(Table17[[#This Row],[ns1:time2]],10)</f>
        <v>2022-09-13</v>
      </c>
    </row>
    <row r="134" spans="1:14" x14ac:dyDescent="0.35">
      <c r="A134">
        <f t="shared" si="4"/>
        <v>133</v>
      </c>
      <c r="B134">
        <f t="shared" si="3"/>
        <v>49</v>
      </c>
      <c r="C134" s="1" t="s">
        <v>11</v>
      </c>
      <c r="D134">
        <v>1.1000000000000001</v>
      </c>
      <c r="E134" s="2" t="s">
        <v>12</v>
      </c>
      <c r="F134" s="1" t="s">
        <v>13</v>
      </c>
      <c r="G134" s="3" t="s">
        <v>348</v>
      </c>
      <c r="H134">
        <v>33.988356000000003</v>
      </c>
      <c r="I134">
        <v>71.455523999999997</v>
      </c>
      <c r="J134">
        <v>392.88073700000001</v>
      </c>
      <c r="K134" s="3" t="s">
        <v>396</v>
      </c>
      <c r="L134">
        <v>96</v>
      </c>
      <c r="M134" s="1" t="s">
        <v>61</v>
      </c>
      <c r="N134" s="29" t="str">
        <f>LEFT(Table17[[#This Row],[ns1:time2]],10)</f>
        <v>2022-09-13</v>
      </c>
    </row>
    <row r="135" spans="1:14" x14ac:dyDescent="0.35">
      <c r="A135">
        <f t="shared" si="4"/>
        <v>134</v>
      </c>
      <c r="B135">
        <f t="shared" si="3"/>
        <v>50</v>
      </c>
      <c r="C135" s="1" t="s">
        <v>11</v>
      </c>
      <c r="D135">
        <v>1.1000000000000001</v>
      </c>
      <c r="E135" s="2" t="s">
        <v>12</v>
      </c>
      <c r="F135" s="1" t="s">
        <v>13</v>
      </c>
      <c r="G135" s="3" t="s">
        <v>348</v>
      </c>
      <c r="H135">
        <v>33.988888000000003</v>
      </c>
      <c r="I135">
        <v>71.453851</v>
      </c>
      <c r="J135">
        <v>390.17715500000003</v>
      </c>
      <c r="K135" s="3" t="s">
        <v>397</v>
      </c>
      <c r="L135">
        <v>97</v>
      </c>
      <c r="M135" s="1" t="s">
        <v>61</v>
      </c>
      <c r="N135" s="29" t="str">
        <f>LEFT(Table17[[#This Row],[ns1:time2]],10)</f>
        <v>2022-09-13</v>
      </c>
    </row>
    <row r="136" spans="1:14" x14ac:dyDescent="0.35">
      <c r="A136">
        <f t="shared" si="4"/>
        <v>135</v>
      </c>
      <c r="B136">
        <f t="shared" si="3"/>
        <v>51</v>
      </c>
      <c r="C136" s="1" t="s">
        <v>11</v>
      </c>
      <c r="D136">
        <v>1.1000000000000001</v>
      </c>
      <c r="E136" s="2" t="s">
        <v>12</v>
      </c>
      <c r="F136" s="1" t="s">
        <v>13</v>
      </c>
      <c r="G136" s="3" t="s">
        <v>348</v>
      </c>
      <c r="H136">
        <v>33.988625999999996</v>
      </c>
      <c r="I136">
        <v>71.453609999999998</v>
      </c>
      <c r="J136">
        <v>392.597534</v>
      </c>
      <c r="K136" s="3" t="s">
        <v>398</v>
      </c>
      <c r="L136">
        <v>98</v>
      </c>
      <c r="M136" s="1" t="s">
        <v>61</v>
      </c>
      <c r="N136" s="29" t="str">
        <f>LEFT(Table17[[#This Row],[ns1:time2]],10)</f>
        <v>2022-09-13</v>
      </c>
    </row>
    <row r="137" spans="1:14" x14ac:dyDescent="0.35">
      <c r="A137">
        <f t="shared" si="4"/>
        <v>136</v>
      </c>
      <c r="B137">
        <f t="shared" si="3"/>
        <v>52</v>
      </c>
      <c r="C137" s="1" t="s">
        <v>11</v>
      </c>
      <c r="D137">
        <v>1.1000000000000001</v>
      </c>
      <c r="E137" s="2" t="s">
        <v>12</v>
      </c>
      <c r="F137" s="1" t="s">
        <v>13</v>
      </c>
      <c r="G137" s="3" t="s">
        <v>348</v>
      </c>
      <c r="H137">
        <v>33.988397999999997</v>
      </c>
      <c r="I137">
        <v>71.453408999999994</v>
      </c>
      <c r="J137">
        <v>394.21133400000002</v>
      </c>
      <c r="K137" s="3" t="s">
        <v>399</v>
      </c>
      <c r="L137">
        <v>99</v>
      </c>
      <c r="M137" s="1" t="s">
        <v>61</v>
      </c>
      <c r="N137" s="29" t="str">
        <f>LEFT(Table17[[#This Row],[ns1:time2]],10)</f>
        <v>2022-09-13</v>
      </c>
    </row>
    <row r="138" spans="1:14" x14ac:dyDescent="0.35">
      <c r="A138">
        <f t="shared" si="4"/>
        <v>137</v>
      </c>
      <c r="B138">
        <f t="shared" si="3"/>
        <v>53</v>
      </c>
      <c r="C138" s="1" t="s">
        <v>11</v>
      </c>
      <c r="D138">
        <v>1.1000000000000001</v>
      </c>
      <c r="E138" s="2" t="s">
        <v>12</v>
      </c>
      <c r="F138" s="1" t="s">
        <v>13</v>
      </c>
      <c r="G138" s="3" t="s">
        <v>348</v>
      </c>
      <c r="H138">
        <v>33.988394</v>
      </c>
      <c r="I138">
        <v>71.453422000000003</v>
      </c>
      <c r="J138">
        <v>394.20812999999998</v>
      </c>
      <c r="K138" s="3" t="s">
        <v>400</v>
      </c>
      <c r="L138">
        <v>100</v>
      </c>
      <c r="M138" s="1" t="s">
        <v>61</v>
      </c>
      <c r="N138" s="29" t="str">
        <f>LEFT(Table17[[#This Row],[ns1:time2]],10)</f>
        <v>2022-09-13</v>
      </c>
    </row>
    <row r="139" spans="1:14" x14ac:dyDescent="0.35">
      <c r="A139">
        <f t="shared" si="4"/>
        <v>138</v>
      </c>
      <c r="B139">
        <f t="shared" si="3"/>
        <v>54</v>
      </c>
      <c r="C139" s="1" t="s">
        <v>11</v>
      </c>
      <c r="D139">
        <v>1.1000000000000001</v>
      </c>
      <c r="E139" s="2" t="s">
        <v>12</v>
      </c>
      <c r="F139" s="1" t="s">
        <v>13</v>
      </c>
      <c r="G139" s="3" t="s">
        <v>348</v>
      </c>
      <c r="H139">
        <v>33.988385999999998</v>
      </c>
      <c r="I139">
        <v>71.453433000000004</v>
      </c>
      <c r="J139">
        <v>394.20309400000002</v>
      </c>
      <c r="K139" s="3" t="s">
        <v>401</v>
      </c>
      <c r="L139">
        <v>101</v>
      </c>
      <c r="M139" s="1" t="s">
        <v>61</v>
      </c>
      <c r="N139" s="29" t="str">
        <f>LEFT(Table17[[#This Row],[ns1:time2]],10)</f>
        <v>2022-09-13</v>
      </c>
    </row>
    <row r="140" spans="1:14" x14ac:dyDescent="0.35">
      <c r="A140">
        <f t="shared" si="4"/>
        <v>139</v>
      </c>
      <c r="B140">
        <f t="shared" si="3"/>
        <v>55</v>
      </c>
      <c r="C140" s="1" t="s">
        <v>11</v>
      </c>
      <c r="D140">
        <v>1.1000000000000001</v>
      </c>
      <c r="E140" s="2" t="s">
        <v>12</v>
      </c>
      <c r="F140" s="1" t="s">
        <v>13</v>
      </c>
      <c r="G140" s="3" t="s">
        <v>348</v>
      </c>
      <c r="H140">
        <v>33.988228999999997</v>
      </c>
      <c r="I140">
        <v>71.453682000000001</v>
      </c>
      <c r="J140">
        <v>391.33261099999999</v>
      </c>
      <c r="K140" s="3" t="s">
        <v>402</v>
      </c>
      <c r="L140">
        <v>102</v>
      </c>
      <c r="M140" s="1" t="s">
        <v>61</v>
      </c>
      <c r="N140" s="29" t="str">
        <f>LEFT(Table17[[#This Row],[ns1:time2]],10)</f>
        <v>2022-09-13</v>
      </c>
    </row>
    <row r="141" spans="1:14" x14ac:dyDescent="0.35">
      <c r="A141">
        <f t="shared" si="4"/>
        <v>140</v>
      </c>
      <c r="B141">
        <f t="shared" si="3"/>
        <v>56</v>
      </c>
      <c r="C141" s="1" t="s">
        <v>11</v>
      </c>
      <c r="D141">
        <v>1.1000000000000001</v>
      </c>
      <c r="E141" s="2" t="s">
        <v>12</v>
      </c>
      <c r="F141" s="1" t="s">
        <v>13</v>
      </c>
      <c r="G141" s="3" t="s">
        <v>348</v>
      </c>
      <c r="H141">
        <v>33.987990000000003</v>
      </c>
      <c r="I141">
        <v>71.454060999999996</v>
      </c>
      <c r="J141">
        <v>391.28530899999998</v>
      </c>
      <c r="K141" s="3" t="s">
        <v>403</v>
      </c>
      <c r="L141">
        <v>103</v>
      </c>
      <c r="M141" s="1" t="s">
        <v>61</v>
      </c>
      <c r="N141" s="29" t="str">
        <f>LEFT(Table17[[#This Row],[ns1:time2]],10)</f>
        <v>2022-09-13</v>
      </c>
    </row>
    <row r="142" spans="1:14" x14ac:dyDescent="0.35">
      <c r="A142">
        <f t="shared" si="4"/>
        <v>141</v>
      </c>
      <c r="B142">
        <f t="shared" si="3"/>
        <v>57</v>
      </c>
      <c r="C142" s="1" t="s">
        <v>11</v>
      </c>
      <c r="D142">
        <v>1.1000000000000001</v>
      </c>
      <c r="E142" s="2" t="s">
        <v>12</v>
      </c>
      <c r="F142" s="1" t="s">
        <v>13</v>
      </c>
      <c r="G142" s="3" t="s">
        <v>348</v>
      </c>
      <c r="H142">
        <v>33.987743999999999</v>
      </c>
      <c r="I142">
        <v>71.454504999999997</v>
      </c>
      <c r="J142">
        <v>391.18649299999998</v>
      </c>
      <c r="K142" s="3" t="s">
        <v>404</v>
      </c>
      <c r="L142">
        <v>104</v>
      </c>
      <c r="M142" s="1" t="s">
        <v>61</v>
      </c>
      <c r="N142" s="29" t="str">
        <f>LEFT(Table17[[#This Row],[ns1:time2]],10)</f>
        <v>2022-09-13</v>
      </c>
    </row>
    <row r="143" spans="1:14" x14ac:dyDescent="0.35">
      <c r="A143">
        <f t="shared" si="4"/>
        <v>142</v>
      </c>
      <c r="B143">
        <f t="shared" si="3"/>
        <v>58</v>
      </c>
      <c r="C143" s="1" t="s">
        <v>11</v>
      </c>
      <c r="D143">
        <v>1.1000000000000001</v>
      </c>
      <c r="E143" s="2" t="s">
        <v>12</v>
      </c>
      <c r="F143" s="1" t="s">
        <v>13</v>
      </c>
      <c r="G143" s="3" t="s">
        <v>348</v>
      </c>
      <c r="H143">
        <v>33.987506000000003</v>
      </c>
      <c r="I143">
        <v>71.454926999999998</v>
      </c>
      <c r="J143">
        <v>390.23083500000001</v>
      </c>
      <c r="K143" s="3" t="s">
        <v>405</v>
      </c>
      <c r="L143">
        <v>105</v>
      </c>
      <c r="M143" s="1" t="s">
        <v>61</v>
      </c>
      <c r="N143" s="29" t="str">
        <f>LEFT(Table17[[#This Row],[ns1:time2]],10)</f>
        <v>2022-09-13</v>
      </c>
    </row>
    <row r="144" spans="1:14" x14ac:dyDescent="0.35">
      <c r="A144">
        <f t="shared" si="4"/>
        <v>143</v>
      </c>
      <c r="B144">
        <f t="shared" si="3"/>
        <v>59</v>
      </c>
      <c r="C144" s="1" t="s">
        <v>11</v>
      </c>
      <c r="D144">
        <v>1.1000000000000001</v>
      </c>
      <c r="E144" s="2" t="s">
        <v>12</v>
      </c>
      <c r="F144" s="1" t="s">
        <v>13</v>
      </c>
      <c r="G144" s="3" t="s">
        <v>348</v>
      </c>
      <c r="H144">
        <v>33.988048999999997</v>
      </c>
      <c r="I144">
        <v>71.452938000000003</v>
      </c>
      <c r="J144">
        <v>397.93411300000002</v>
      </c>
      <c r="K144" s="3" t="s">
        <v>406</v>
      </c>
      <c r="L144">
        <v>106</v>
      </c>
      <c r="M144" s="1" t="s">
        <v>61</v>
      </c>
      <c r="N144" s="29" t="str">
        <f>LEFT(Table17[[#This Row],[ns1:time2]],10)</f>
        <v>2022-09-13</v>
      </c>
    </row>
    <row r="145" spans="1:14" x14ac:dyDescent="0.35">
      <c r="A145">
        <f t="shared" si="4"/>
        <v>144</v>
      </c>
      <c r="B145">
        <f t="shared" si="3"/>
        <v>60</v>
      </c>
      <c r="C145" s="1" t="s">
        <v>11</v>
      </c>
      <c r="D145">
        <v>1.1000000000000001</v>
      </c>
      <c r="E145" s="2" t="s">
        <v>12</v>
      </c>
      <c r="F145" s="1" t="s">
        <v>13</v>
      </c>
      <c r="G145" s="3" t="s">
        <v>348</v>
      </c>
      <c r="H145">
        <v>33.988053999999998</v>
      </c>
      <c r="I145">
        <v>71.452928</v>
      </c>
      <c r="J145">
        <v>397.92898600000001</v>
      </c>
      <c r="K145" s="3" t="s">
        <v>407</v>
      </c>
      <c r="L145">
        <v>107</v>
      </c>
      <c r="M145" s="1" t="s">
        <v>61</v>
      </c>
      <c r="N145" s="29" t="str">
        <f>LEFT(Table17[[#This Row],[ns1:time2]],10)</f>
        <v>2022-09-13</v>
      </c>
    </row>
    <row r="146" spans="1:14" x14ac:dyDescent="0.35">
      <c r="A146">
        <f t="shared" si="4"/>
        <v>145</v>
      </c>
      <c r="B146">
        <f t="shared" si="3"/>
        <v>61</v>
      </c>
      <c r="C146" s="1" t="s">
        <v>11</v>
      </c>
      <c r="D146">
        <v>1.1000000000000001</v>
      </c>
      <c r="E146" s="2" t="s">
        <v>12</v>
      </c>
      <c r="F146" s="1" t="s">
        <v>13</v>
      </c>
      <c r="G146" s="3" t="s">
        <v>348</v>
      </c>
      <c r="H146">
        <v>33.988061000000002</v>
      </c>
      <c r="I146">
        <v>71.452934999999997</v>
      </c>
      <c r="J146">
        <v>397.92611699999998</v>
      </c>
      <c r="K146" s="3" t="s">
        <v>408</v>
      </c>
      <c r="L146">
        <v>108</v>
      </c>
      <c r="M146" s="1" t="s">
        <v>61</v>
      </c>
      <c r="N146" s="29" t="str">
        <f>LEFT(Table17[[#This Row],[ns1:time2]],10)</f>
        <v>2022-09-13</v>
      </c>
    </row>
    <row r="147" spans="1:14" x14ac:dyDescent="0.35">
      <c r="A147">
        <f t="shared" si="4"/>
        <v>146</v>
      </c>
      <c r="B147">
        <f t="shared" si="3"/>
        <v>62</v>
      </c>
      <c r="C147" s="1" t="s">
        <v>11</v>
      </c>
      <c r="D147">
        <v>1.1000000000000001</v>
      </c>
      <c r="E147" s="2" t="s">
        <v>12</v>
      </c>
      <c r="F147" s="1" t="s">
        <v>13</v>
      </c>
      <c r="G147" s="3" t="s">
        <v>348</v>
      </c>
      <c r="H147">
        <v>33.988081999999999</v>
      </c>
      <c r="I147">
        <v>71.453097</v>
      </c>
      <c r="J147">
        <v>394.622253</v>
      </c>
      <c r="K147" s="3" t="s">
        <v>409</v>
      </c>
      <c r="L147">
        <v>109</v>
      </c>
      <c r="M147" s="1" t="s">
        <v>61</v>
      </c>
      <c r="N147" s="29" t="str">
        <f>LEFT(Table17[[#This Row],[ns1:time2]],10)</f>
        <v>2022-09-13</v>
      </c>
    </row>
    <row r="148" spans="1:14" x14ac:dyDescent="0.35">
      <c r="A148">
        <f t="shared" si="4"/>
        <v>147</v>
      </c>
      <c r="B148">
        <f t="shared" si="3"/>
        <v>63</v>
      </c>
      <c r="C148" s="1" t="s">
        <v>11</v>
      </c>
      <c r="D148">
        <v>1.1000000000000001</v>
      </c>
      <c r="E148" s="2" t="s">
        <v>12</v>
      </c>
      <c r="F148" s="1" t="s">
        <v>13</v>
      </c>
      <c r="G148" s="3" t="s">
        <v>348</v>
      </c>
      <c r="H148">
        <v>33.987811000000001</v>
      </c>
      <c r="I148">
        <v>71.453408999999994</v>
      </c>
      <c r="J148">
        <v>395.22726399999999</v>
      </c>
      <c r="K148" s="3" t="s">
        <v>410</v>
      </c>
      <c r="L148">
        <v>110</v>
      </c>
      <c r="M148" s="1" t="s">
        <v>61</v>
      </c>
      <c r="N148" s="29" t="str">
        <f>LEFT(Table17[[#This Row],[ns1:time2]],10)</f>
        <v>2022-09-13</v>
      </c>
    </row>
    <row r="149" spans="1:14" x14ac:dyDescent="0.35">
      <c r="A149">
        <f t="shared" si="4"/>
        <v>148</v>
      </c>
      <c r="B149">
        <f t="shared" si="3"/>
        <v>64</v>
      </c>
      <c r="C149" s="1" t="s">
        <v>11</v>
      </c>
      <c r="D149">
        <v>1.1000000000000001</v>
      </c>
      <c r="E149" s="2" t="s">
        <v>12</v>
      </c>
      <c r="F149" s="1" t="s">
        <v>13</v>
      </c>
      <c r="G149" s="3" t="s">
        <v>348</v>
      </c>
      <c r="H149">
        <v>33.987596000000003</v>
      </c>
      <c r="I149">
        <v>71.453781000000006</v>
      </c>
      <c r="J149">
        <v>394.274475</v>
      </c>
      <c r="K149" s="3" t="s">
        <v>411</v>
      </c>
      <c r="L149">
        <v>111</v>
      </c>
      <c r="M149" s="1" t="s">
        <v>61</v>
      </c>
      <c r="N149" s="29" t="str">
        <f>LEFT(Table17[[#This Row],[ns1:time2]],10)</f>
        <v>2022-09-13</v>
      </c>
    </row>
    <row r="150" spans="1:14" x14ac:dyDescent="0.35">
      <c r="A150">
        <f t="shared" si="4"/>
        <v>149</v>
      </c>
      <c r="B150">
        <f t="shared" si="3"/>
        <v>65</v>
      </c>
      <c r="C150" s="1" t="s">
        <v>11</v>
      </c>
      <c r="D150">
        <v>1.1000000000000001</v>
      </c>
      <c r="E150" s="2" t="s">
        <v>12</v>
      </c>
      <c r="F150" s="1" t="s">
        <v>13</v>
      </c>
      <c r="G150" s="3" t="s">
        <v>348</v>
      </c>
      <c r="H150">
        <v>33.987862</v>
      </c>
      <c r="I150">
        <v>71.452749999999995</v>
      </c>
      <c r="J150">
        <v>401.05660999999998</v>
      </c>
      <c r="K150" s="3" t="s">
        <v>412</v>
      </c>
      <c r="L150">
        <v>112</v>
      </c>
      <c r="M150" s="1" t="s">
        <v>61</v>
      </c>
      <c r="N150" s="29" t="str">
        <f>LEFT(Table17[[#This Row],[ns1:time2]],10)</f>
        <v>2022-09-13</v>
      </c>
    </row>
    <row r="151" spans="1:14" x14ac:dyDescent="0.35">
      <c r="A151">
        <f t="shared" si="4"/>
        <v>150</v>
      </c>
      <c r="B151">
        <f t="shared" si="3"/>
        <v>66</v>
      </c>
      <c r="C151" s="1" t="s">
        <v>11</v>
      </c>
      <c r="D151">
        <v>1.1000000000000001</v>
      </c>
      <c r="E151" s="2" t="s">
        <v>12</v>
      </c>
      <c r="F151" s="1" t="s">
        <v>13</v>
      </c>
      <c r="G151" s="3" t="s">
        <v>348</v>
      </c>
      <c r="H151">
        <v>33.987557000000002</v>
      </c>
      <c r="I151">
        <v>71.452893000000003</v>
      </c>
      <c r="J151">
        <v>399.92678799999999</v>
      </c>
      <c r="K151" s="3" t="s">
        <v>413</v>
      </c>
      <c r="L151">
        <v>113</v>
      </c>
      <c r="M151" s="1" t="s">
        <v>61</v>
      </c>
      <c r="N151" s="29" t="str">
        <f>LEFT(Table17[[#This Row],[ns1:time2]],10)</f>
        <v>2022-09-13</v>
      </c>
    </row>
    <row r="152" spans="1:14" x14ac:dyDescent="0.35">
      <c r="A152">
        <f t="shared" si="4"/>
        <v>151</v>
      </c>
      <c r="B152">
        <f t="shared" ref="B152:B154" si="5">B151+1</f>
        <v>67</v>
      </c>
      <c r="C152" s="1" t="s">
        <v>11</v>
      </c>
      <c r="D152">
        <v>1.1000000000000001</v>
      </c>
      <c r="E152" s="2" t="s">
        <v>12</v>
      </c>
      <c r="F152" s="1" t="s">
        <v>13</v>
      </c>
      <c r="G152" s="3" t="s">
        <v>348</v>
      </c>
      <c r="H152">
        <v>33.989367000000001</v>
      </c>
      <c r="I152">
        <v>71.453761999999998</v>
      </c>
      <c r="J152">
        <v>394.35900900000001</v>
      </c>
      <c r="K152" s="3" t="s">
        <v>414</v>
      </c>
      <c r="L152">
        <v>114</v>
      </c>
      <c r="M152" s="1" t="s">
        <v>61</v>
      </c>
      <c r="N152" s="29" t="str">
        <f>LEFT(Table17[[#This Row],[ns1:time2]],10)</f>
        <v>2022-09-13</v>
      </c>
    </row>
    <row r="153" spans="1:14" x14ac:dyDescent="0.35">
      <c r="A153">
        <f t="shared" si="4"/>
        <v>152</v>
      </c>
      <c r="B153">
        <f t="shared" si="5"/>
        <v>68</v>
      </c>
      <c r="C153" s="1" t="s">
        <v>11</v>
      </c>
      <c r="D153">
        <v>1.1000000000000001</v>
      </c>
      <c r="E153" s="2" t="s">
        <v>12</v>
      </c>
      <c r="F153" s="1" t="s">
        <v>13</v>
      </c>
      <c r="G153" s="3" t="s">
        <v>348</v>
      </c>
      <c r="H153">
        <v>33.989367999999999</v>
      </c>
      <c r="I153">
        <v>71.453760000000003</v>
      </c>
      <c r="J153">
        <v>394.34909099999999</v>
      </c>
      <c r="K153" s="3" t="s">
        <v>415</v>
      </c>
      <c r="L153">
        <v>115</v>
      </c>
      <c r="M153" s="1" t="s">
        <v>61</v>
      </c>
      <c r="N153" s="29" t="str">
        <f>LEFT(Table17[[#This Row],[ns1:time2]],10)</f>
        <v>2022-09-13</v>
      </c>
    </row>
    <row r="154" spans="1:14" x14ac:dyDescent="0.35">
      <c r="A154">
        <f t="shared" si="4"/>
        <v>153</v>
      </c>
      <c r="B154">
        <f t="shared" si="5"/>
        <v>69</v>
      </c>
      <c r="C154" s="1" t="s">
        <v>11</v>
      </c>
      <c r="D154">
        <v>1.1000000000000001</v>
      </c>
      <c r="E154" s="2" t="s">
        <v>12</v>
      </c>
      <c r="F154" s="1" t="s">
        <v>13</v>
      </c>
      <c r="G154" s="3" t="s">
        <v>348</v>
      </c>
      <c r="H154">
        <v>33.989365999999997</v>
      </c>
      <c r="I154">
        <v>71.453768999999994</v>
      </c>
      <c r="J154">
        <v>394.339203</v>
      </c>
      <c r="K154" s="3" t="s">
        <v>416</v>
      </c>
      <c r="L154">
        <v>116</v>
      </c>
      <c r="M154" s="1" t="s">
        <v>61</v>
      </c>
      <c r="N154" s="29" t="str">
        <f>LEFT(Table17[[#This Row],[ns1:time2]],10)</f>
        <v>2022-09-13</v>
      </c>
    </row>
    <row r="155" spans="1:14" x14ac:dyDescent="0.35">
      <c r="A155" s="19">
        <f t="shared" si="4"/>
        <v>154</v>
      </c>
      <c r="B155" s="19">
        <v>1</v>
      </c>
      <c r="C155" s="18" t="s">
        <v>11</v>
      </c>
      <c r="D155" s="19">
        <v>1.1000000000000001</v>
      </c>
      <c r="E155" s="20" t="s">
        <v>12</v>
      </c>
      <c r="F155" s="18" t="s">
        <v>13</v>
      </c>
      <c r="G155" s="21" t="s">
        <v>679</v>
      </c>
      <c r="H155" s="19">
        <v>33.991427999999999</v>
      </c>
      <c r="I155" s="19">
        <v>71.456128000000007</v>
      </c>
      <c r="J155" s="19">
        <v>390.808044</v>
      </c>
      <c r="K155" s="21" t="s">
        <v>679</v>
      </c>
      <c r="L155" s="19">
        <v>117</v>
      </c>
      <c r="M155" s="18" t="s">
        <v>61</v>
      </c>
      <c r="N155" s="29" t="str">
        <f>LEFT(Table17[[#This Row],[ns1:time2]],10)</f>
        <v>2022-09-14</v>
      </c>
    </row>
    <row r="156" spans="1:14" x14ac:dyDescent="0.35">
      <c r="A156">
        <f t="shared" si="4"/>
        <v>155</v>
      </c>
      <c r="B156">
        <f>B155+1</f>
        <v>2</v>
      </c>
      <c r="C156" s="1" t="s">
        <v>11</v>
      </c>
      <c r="D156">
        <v>1.1000000000000001</v>
      </c>
      <c r="E156" s="2" t="s">
        <v>12</v>
      </c>
      <c r="F156" s="1" t="s">
        <v>13</v>
      </c>
      <c r="G156" s="3" t="s">
        <v>679</v>
      </c>
      <c r="H156">
        <v>33.991729999999997</v>
      </c>
      <c r="I156">
        <v>71.456393000000006</v>
      </c>
      <c r="J156">
        <v>391.71078499999999</v>
      </c>
      <c r="K156" s="3" t="s">
        <v>680</v>
      </c>
      <c r="L156">
        <v>118</v>
      </c>
      <c r="M156" s="1" t="s">
        <v>61</v>
      </c>
      <c r="N156" s="29" t="str">
        <f>LEFT(Table17[[#This Row],[ns1:time2]],10)</f>
        <v>2022-09-14</v>
      </c>
    </row>
    <row r="157" spans="1:14" x14ac:dyDescent="0.35">
      <c r="A157">
        <f t="shared" si="4"/>
        <v>156</v>
      </c>
      <c r="B157">
        <f t="shared" ref="B157:B220" si="6">B156+1</f>
        <v>3</v>
      </c>
      <c r="C157" s="1" t="s">
        <v>11</v>
      </c>
      <c r="D157">
        <v>1.1000000000000001</v>
      </c>
      <c r="E157" s="2" t="s">
        <v>12</v>
      </c>
      <c r="F157" s="1" t="s">
        <v>13</v>
      </c>
      <c r="G157" s="3" t="s">
        <v>679</v>
      </c>
      <c r="H157">
        <v>33.991784000000003</v>
      </c>
      <c r="I157">
        <v>71.456439000000003</v>
      </c>
      <c r="J157">
        <v>391.90447999999998</v>
      </c>
      <c r="K157" s="3" t="s">
        <v>681</v>
      </c>
      <c r="L157">
        <v>119</v>
      </c>
      <c r="M157" s="1" t="s">
        <v>61</v>
      </c>
      <c r="N157" s="29" t="str">
        <f>LEFT(Table17[[#This Row],[ns1:time2]],10)</f>
        <v>2022-09-14</v>
      </c>
    </row>
    <row r="158" spans="1:14" x14ac:dyDescent="0.35">
      <c r="A158">
        <f t="shared" si="4"/>
        <v>157</v>
      </c>
      <c r="B158">
        <f t="shared" si="6"/>
        <v>4</v>
      </c>
      <c r="C158" s="1" t="s">
        <v>11</v>
      </c>
      <c r="D158">
        <v>1.1000000000000001</v>
      </c>
      <c r="E158" s="2" t="s">
        <v>12</v>
      </c>
      <c r="F158" s="1" t="s">
        <v>13</v>
      </c>
      <c r="G158" s="3" t="s">
        <v>679</v>
      </c>
      <c r="H158">
        <v>33.991782000000001</v>
      </c>
      <c r="I158">
        <v>71.456455000000005</v>
      </c>
      <c r="J158">
        <v>391.90731799999998</v>
      </c>
      <c r="K158" s="3" t="s">
        <v>682</v>
      </c>
      <c r="L158">
        <v>120</v>
      </c>
      <c r="M158" s="1" t="s">
        <v>61</v>
      </c>
      <c r="N158" s="29" t="str">
        <f>LEFT(Table17[[#This Row],[ns1:time2]],10)</f>
        <v>2022-09-14</v>
      </c>
    </row>
    <row r="159" spans="1:14" x14ac:dyDescent="0.35">
      <c r="A159">
        <f t="shared" si="4"/>
        <v>158</v>
      </c>
      <c r="B159">
        <f t="shared" si="6"/>
        <v>5</v>
      </c>
      <c r="C159" s="1" t="s">
        <v>11</v>
      </c>
      <c r="D159">
        <v>1.1000000000000001</v>
      </c>
      <c r="E159" s="2" t="s">
        <v>12</v>
      </c>
      <c r="F159" s="1" t="s">
        <v>13</v>
      </c>
      <c r="G159" s="3" t="s">
        <v>679</v>
      </c>
      <c r="H159">
        <v>33.991970000000002</v>
      </c>
      <c r="I159">
        <v>71.456675000000004</v>
      </c>
      <c r="J159">
        <v>393.79745500000001</v>
      </c>
      <c r="K159" s="3" t="s">
        <v>683</v>
      </c>
      <c r="L159">
        <v>121</v>
      </c>
      <c r="M159" s="1" t="s">
        <v>61</v>
      </c>
      <c r="N159" s="29" t="str">
        <f>LEFT(Table17[[#This Row],[ns1:time2]],10)</f>
        <v>2022-09-14</v>
      </c>
    </row>
    <row r="160" spans="1:14" x14ac:dyDescent="0.35">
      <c r="A160">
        <f t="shared" si="4"/>
        <v>159</v>
      </c>
      <c r="B160">
        <f t="shared" si="6"/>
        <v>6</v>
      </c>
      <c r="C160" s="1" t="s">
        <v>11</v>
      </c>
      <c r="D160">
        <v>1.1000000000000001</v>
      </c>
      <c r="E160" s="2" t="s">
        <v>12</v>
      </c>
      <c r="F160" s="1" t="s">
        <v>13</v>
      </c>
      <c r="G160" s="3" t="s">
        <v>679</v>
      </c>
      <c r="H160">
        <v>33.991979999999998</v>
      </c>
      <c r="I160">
        <v>71.456810000000004</v>
      </c>
      <c r="J160">
        <v>392.800476</v>
      </c>
      <c r="K160" s="3" t="s">
        <v>684</v>
      </c>
      <c r="L160">
        <v>122</v>
      </c>
      <c r="M160" s="1" t="s">
        <v>61</v>
      </c>
      <c r="N160" s="29" t="str">
        <f>LEFT(Table17[[#This Row],[ns1:time2]],10)</f>
        <v>2022-09-14</v>
      </c>
    </row>
    <row r="161" spans="1:14" x14ac:dyDescent="0.35">
      <c r="A161">
        <f t="shared" si="4"/>
        <v>160</v>
      </c>
      <c r="B161">
        <f t="shared" si="6"/>
        <v>7</v>
      </c>
      <c r="C161" s="1" t="s">
        <v>11</v>
      </c>
      <c r="D161">
        <v>1.1000000000000001</v>
      </c>
      <c r="E161" s="2" t="s">
        <v>12</v>
      </c>
      <c r="F161" s="1" t="s">
        <v>13</v>
      </c>
      <c r="G161" s="3" t="s">
        <v>679</v>
      </c>
      <c r="H161">
        <v>33.992001999999999</v>
      </c>
      <c r="I161">
        <v>71.456850000000003</v>
      </c>
      <c r="J161">
        <v>392.32733200000001</v>
      </c>
      <c r="K161" s="3" t="s">
        <v>685</v>
      </c>
      <c r="L161">
        <v>123</v>
      </c>
      <c r="M161" s="1" t="s">
        <v>61</v>
      </c>
      <c r="N161" s="29" t="str">
        <f>LEFT(Table17[[#This Row],[ns1:time2]],10)</f>
        <v>2022-09-14</v>
      </c>
    </row>
    <row r="162" spans="1:14" x14ac:dyDescent="0.35">
      <c r="A162">
        <f t="shared" si="4"/>
        <v>161</v>
      </c>
      <c r="B162">
        <f t="shared" si="6"/>
        <v>8</v>
      </c>
      <c r="C162" s="1" t="s">
        <v>11</v>
      </c>
      <c r="D162">
        <v>1.1000000000000001</v>
      </c>
      <c r="E162" s="2" t="s">
        <v>12</v>
      </c>
      <c r="F162" s="1" t="s">
        <v>13</v>
      </c>
      <c r="G162" s="3" t="s">
        <v>679</v>
      </c>
      <c r="H162">
        <v>33.991996</v>
      </c>
      <c r="I162">
        <v>71.456845999999999</v>
      </c>
      <c r="J162">
        <v>392.315247</v>
      </c>
      <c r="K162" s="3" t="s">
        <v>686</v>
      </c>
      <c r="L162">
        <v>124</v>
      </c>
      <c r="M162" s="1" t="s">
        <v>61</v>
      </c>
      <c r="N162" s="29" t="str">
        <f>LEFT(Table17[[#This Row],[ns1:time2]],10)</f>
        <v>2022-09-14</v>
      </c>
    </row>
    <row r="163" spans="1:14" x14ac:dyDescent="0.35">
      <c r="A163">
        <f t="shared" si="4"/>
        <v>162</v>
      </c>
      <c r="B163">
        <f t="shared" si="6"/>
        <v>9</v>
      </c>
      <c r="C163" s="1" t="s">
        <v>11</v>
      </c>
      <c r="D163">
        <v>1.1000000000000001</v>
      </c>
      <c r="E163" s="2" t="s">
        <v>12</v>
      </c>
      <c r="F163" s="1" t="s">
        <v>13</v>
      </c>
      <c r="G163" s="3" t="s">
        <v>679</v>
      </c>
      <c r="H163">
        <v>33.992018999999999</v>
      </c>
      <c r="I163">
        <v>71.456858999999994</v>
      </c>
      <c r="J163">
        <v>392.44751000000002</v>
      </c>
      <c r="K163" s="3" t="s">
        <v>687</v>
      </c>
      <c r="L163">
        <v>125</v>
      </c>
      <c r="M163" s="1" t="s">
        <v>61</v>
      </c>
      <c r="N163" s="29" t="str">
        <f>LEFT(Table17[[#This Row],[ns1:time2]],10)</f>
        <v>2022-09-14</v>
      </c>
    </row>
    <row r="164" spans="1:14" x14ac:dyDescent="0.35">
      <c r="A164">
        <f t="shared" si="4"/>
        <v>163</v>
      </c>
      <c r="B164">
        <f t="shared" si="6"/>
        <v>10</v>
      </c>
      <c r="C164" s="1" t="s">
        <v>11</v>
      </c>
      <c r="D164">
        <v>1.1000000000000001</v>
      </c>
      <c r="E164" s="2" t="s">
        <v>12</v>
      </c>
      <c r="F164" s="1" t="s">
        <v>13</v>
      </c>
      <c r="G164" s="3" t="s">
        <v>679</v>
      </c>
      <c r="H164">
        <v>33.992002999999997</v>
      </c>
      <c r="I164">
        <v>71.456868</v>
      </c>
      <c r="J164">
        <v>392.43386800000002</v>
      </c>
      <c r="K164" s="3" t="s">
        <v>688</v>
      </c>
      <c r="L164">
        <v>126</v>
      </c>
      <c r="M164" s="1" t="s">
        <v>61</v>
      </c>
      <c r="N164" s="29" t="str">
        <f>LEFT(Table17[[#This Row],[ns1:time2]],10)</f>
        <v>2022-09-14</v>
      </c>
    </row>
    <row r="165" spans="1:14" x14ac:dyDescent="0.35">
      <c r="A165">
        <f t="shared" si="4"/>
        <v>164</v>
      </c>
      <c r="B165">
        <f t="shared" si="6"/>
        <v>11</v>
      </c>
      <c r="C165" s="1" t="s">
        <v>11</v>
      </c>
      <c r="D165">
        <v>1.1000000000000001</v>
      </c>
      <c r="E165" s="2" t="s">
        <v>12</v>
      </c>
      <c r="F165" s="1" t="s">
        <v>13</v>
      </c>
      <c r="G165" s="3" t="s">
        <v>679</v>
      </c>
      <c r="H165">
        <v>33.991883999999999</v>
      </c>
      <c r="I165">
        <v>71.457190999999995</v>
      </c>
      <c r="J165">
        <v>388.50985700000001</v>
      </c>
      <c r="K165" s="3" t="s">
        <v>689</v>
      </c>
      <c r="L165">
        <v>127</v>
      </c>
      <c r="M165" s="1" t="s">
        <v>61</v>
      </c>
      <c r="N165" s="29" t="str">
        <f>LEFT(Table17[[#This Row],[ns1:time2]],10)</f>
        <v>2022-09-14</v>
      </c>
    </row>
    <row r="166" spans="1:14" x14ac:dyDescent="0.35">
      <c r="A166">
        <f t="shared" si="4"/>
        <v>165</v>
      </c>
      <c r="B166">
        <f t="shared" si="6"/>
        <v>12</v>
      </c>
      <c r="C166" s="1" t="s">
        <v>11</v>
      </c>
      <c r="D166">
        <v>1.1000000000000001</v>
      </c>
      <c r="E166" s="2" t="s">
        <v>12</v>
      </c>
      <c r="F166" s="1" t="s">
        <v>13</v>
      </c>
      <c r="G166" s="3" t="s">
        <v>679</v>
      </c>
      <c r="H166">
        <v>33.991669999999999</v>
      </c>
      <c r="I166">
        <v>71.457723000000001</v>
      </c>
      <c r="J166">
        <v>389.856201</v>
      </c>
      <c r="K166" s="3" t="s">
        <v>690</v>
      </c>
      <c r="L166">
        <v>128</v>
      </c>
      <c r="M166" s="1" t="s">
        <v>61</v>
      </c>
      <c r="N166" s="29" t="str">
        <f>LEFT(Table17[[#This Row],[ns1:time2]],10)</f>
        <v>2022-09-14</v>
      </c>
    </row>
    <row r="167" spans="1:14" x14ac:dyDescent="0.35">
      <c r="A167">
        <f t="shared" si="4"/>
        <v>166</v>
      </c>
      <c r="B167">
        <f t="shared" si="6"/>
        <v>13</v>
      </c>
      <c r="C167" s="1" t="s">
        <v>11</v>
      </c>
      <c r="D167">
        <v>1.1000000000000001</v>
      </c>
      <c r="E167" s="2" t="s">
        <v>12</v>
      </c>
      <c r="F167" s="1" t="s">
        <v>13</v>
      </c>
      <c r="G167" s="3" t="s">
        <v>679</v>
      </c>
      <c r="H167">
        <v>33.991489000000001</v>
      </c>
      <c r="I167">
        <v>71.458049000000003</v>
      </c>
      <c r="J167">
        <v>390.43545499999999</v>
      </c>
      <c r="K167" s="3" t="s">
        <v>691</v>
      </c>
      <c r="L167">
        <v>129</v>
      </c>
      <c r="M167" s="1" t="s">
        <v>61</v>
      </c>
      <c r="N167" s="29" t="str">
        <f>LEFT(Table17[[#This Row],[ns1:time2]],10)</f>
        <v>2022-09-14</v>
      </c>
    </row>
    <row r="168" spans="1:14" x14ac:dyDescent="0.35">
      <c r="A168">
        <f t="shared" si="4"/>
        <v>167</v>
      </c>
      <c r="B168">
        <f t="shared" si="6"/>
        <v>14</v>
      </c>
      <c r="C168" s="1" t="s">
        <v>11</v>
      </c>
      <c r="D168">
        <v>1.1000000000000001</v>
      </c>
      <c r="E168" s="2" t="s">
        <v>12</v>
      </c>
      <c r="F168" s="1" t="s">
        <v>13</v>
      </c>
      <c r="G168" s="3" t="s">
        <v>679</v>
      </c>
      <c r="H168">
        <v>33.991343000000001</v>
      </c>
      <c r="I168">
        <v>71.458354999999997</v>
      </c>
      <c r="J168">
        <v>390.93090799999999</v>
      </c>
      <c r="K168" s="3" t="s">
        <v>692</v>
      </c>
      <c r="L168">
        <v>130</v>
      </c>
      <c r="M168" s="1" t="s">
        <v>61</v>
      </c>
      <c r="N168" s="29" t="str">
        <f>LEFT(Table17[[#This Row],[ns1:time2]],10)</f>
        <v>2022-09-14</v>
      </c>
    </row>
    <row r="169" spans="1:14" x14ac:dyDescent="0.35">
      <c r="A169">
        <f t="shared" si="4"/>
        <v>168</v>
      </c>
      <c r="B169">
        <f t="shared" si="6"/>
        <v>15</v>
      </c>
      <c r="C169" s="1" t="s">
        <v>11</v>
      </c>
      <c r="D169">
        <v>1.1000000000000001</v>
      </c>
      <c r="E169" s="2" t="s">
        <v>12</v>
      </c>
      <c r="F169" s="1" t="s">
        <v>13</v>
      </c>
      <c r="G169" s="3" t="s">
        <v>679</v>
      </c>
      <c r="H169">
        <v>33.991188999999999</v>
      </c>
      <c r="I169">
        <v>71.458715999999995</v>
      </c>
      <c r="J169">
        <v>389.30551100000002</v>
      </c>
      <c r="K169" s="3" t="s">
        <v>693</v>
      </c>
      <c r="L169">
        <v>131</v>
      </c>
      <c r="M169" s="1" t="s">
        <v>61</v>
      </c>
      <c r="N169" s="29" t="str">
        <f>LEFT(Table17[[#This Row],[ns1:time2]],10)</f>
        <v>2022-09-14</v>
      </c>
    </row>
    <row r="170" spans="1:14" x14ac:dyDescent="0.35">
      <c r="A170">
        <f t="shared" si="4"/>
        <v>169</v>
      </c>
      <c r="B170">
        <f t="shared" si="6"/>
        <v>16</v>
      </c>
      <c r="C170" s="1" t="s">
        <v>11</v>
      </c>
      <c r="D170">
        <v>1.1000000000000001</v>
      </c>
      <c r="E170" s="2" t="s">
        <v>12</v>
      </c>
      <c r="F170" s="1" t="s">
        <v>13</v>
      </c>
      <c r="G170" s="3" t="s">
        <v>679</v>
      </c>
      <c r="H170">
        <v>33.991190000000003</v>
      </c>
      <c r="I170">
        <v>71.458723000000006</v>
      </c>
      <c r="J170">
        <v>389.29788200000002</v>
      </c>
      <c r="K170" s="3" t="s">
        <v>694</v>
      </c>
      <c r="L170">
        <v>132</v>
      </c>
      <c r="M170" s="1" t="s">
        <v>61</v>
      </c>
      <c r="N170" s="29" t="str">
        <f>LEFT(Table17[[#This Row],[ns1:time2]],10)</f>
        <v>2022-09-14</v>
      </c>
    </row>
    <row r="171" spans="1:14" x14ac:dyDescent="0.35">
      <c r="A171">
        <f t="shared" si="4"/>
        <v>170</v>
      </c>
      <c r="B171">
        <f t="shared" si="6"/>
        <v>17</v>
      </c>
      <c r="C171" s="1" t="s">
        <v>11</v>
      </c>
      <c r="D171">
        <v>1.1000000000000001</v>
      </c>
      <c r="E171" s="2" t="s">
        <v>12</v>
      </c>
      <c r="F171" s="1" t="s">
        <v>13</v>
      </c>
      <c r="G171" s="3" t="s">
        <v>679</v>
      </c>
      <c r="H171">
        <v>33.991176000000003</v>
      </c>
      <c r="I171">
        <v>71.458734000000007</v>
      </c>
      <c r="J171">
        <v>389.28829999999999</v>
      </c>
      <c r="K171" s="3" t="s">
        <v>695</v>
      </c>
      <c r="L171">
        <v>133</v>
      </c>
      <c r="M171" s="1" t="s">
        <v>61</v>
      </c>
      <c r="N171" s="29" t="str">
        <f>LEFT(Table17[[#This Row],[ns1:time2]],10)</f>
        <v>2022-09-14</v>
      </c>
    </row>
    <row r="172" spans="1:14" x14ac:dyDescent="0.35">
      <c r="A172">
        <f t="shared" si="4"/>
        <v>171</v>
      </c>
      <c r="B172">
        <f t="shared" si="6"/>
        <v>18</v>
      </c>
      <c r="C172" s="1" t="s">
        <v>11</v>
      </c>
      <c r="D172">
        <v>1.1000000000000001</v>
      </c>
      <c r="E172" s="2" t="s">
        <v>12</v>
      </c>
      <c r="F172" s="1" t="s">
        <v>13</v>
      </c>
      <c r="G172" s="3" t="s">
        <v>679</v>
      </c>
      <c r="H172">
        <v>33.991056</v>
      </c>
      <c r="I172">
        <v>71.459154999999996</v>
      </c>
      <c r="J172">
        <v>389.995789</v>
      </c>
      <c r="K172" s="3" t="s">
        <v>696</v>
      </c>
      <c r="L172">
        <v>134</v>
      </c>
      <c r="M172" s="1" t="s">
        <v>61</v>
      </c>
      <c r="N172" s="29" t="str">
        <f>LEFT(Table17[[#This Row],[ns1:time2]],10)</f>
        <v>2022-09-14</v>
      </c>
    </row>
    <row r="173" spans="1:14" x14ac:dyDescent="0.35">
      <c r="A173">
        <f t="shared" si="4"/>
        <v>172</v>
      </c>
      <c r="B173">
        <f t="shared" si="6"/>
        <v>19</v>
      </c>
      <c r="C173" s="1" t="s">
        <v>11</v>
      </c>
      <c r="D173">
        <v>1.1000000000000001</v>
      </c>
      <c r="E173" s="2" t="s">
        <v>12</v>
      </c>
      <c r="F173" s="1" t="s">
        <v>13</v>
      </c>
      <c r="G173" s="3" t="s">
        <v>679</v>
      </c>
      <c r="H173">
        <v>33.990893</v>
      </c>
      <c r="I173">
        <v>71.459586999999999</v>
      </c>
      <c r="J173">
        <v>391.64443999999997</v>
      </c>
      <c r="K173" s="3" t="s">
        <v>697</v>
      </c>
      <c r="L173">
        <v>135</v>
      </c>
      <c r="M173" s="1" t="s">
        <v>61</v>
      </c>
      <c r="N173" s="29" t="str">
        <f>LEFT(Table17[[#This Row],[ns1:time2]],10)</f>
        <v>2022-09-14</v>
      </c>
    </row>
    <row r="174" spans="1:14" x14ac:dyDescent="0.35">
      <c r="A174">
        <f t="shared" si="4"/>
        <v>173</v>
      </c>
      <c r="B174">
        <f t="shared" si="6"/>
        <v>20</v>
      </c>
      <c r="C174" s="1" t="s">
        <v>11</v>
      </c>
      <c r="D174">
        <v>1.1000000000000001</v>
      </c>
      <c r="E174" s="2" t="s">
        <v>12</v>
      </c>
      <c r="F174" s="1" t="s">
        <v>13</v>
      </c>
      <c r="G174" s="3" t="s">
        <v>679</v>
      </c>
      <c r="H174">
        <v>33.990752999999998</v>
      </c>
      <c r="I174">
        <v>71.459064999999995</v>
      </c>
      <c r="J174">
        <v>391.57000699999998</v>
      </c>
      <c r="K174" s="3" t="s">
        <v>698</v>
      </c>
      <c r="L174">
        <v>136</v>
      </c>
      <c r="M174" s="1" t="s">
        <v>61</v>
      </c>
      <c r="N174" s="29" t="str">
        <f>LEFT(Table17[[#This Row],[ns1:time2]],10)</f>
        <v>2022-09-14</v>
      </c>
    </row>
    <row r="175" spans="1:14" x14ac:dyDescent="0.35">
      <c r="A175">
        <f t="shared" si="4"/>
        <v>174</v>
      </c>
      <c r="B175">
        <f t="shared" si="6"/>
        <v>21</v>
      </c>
      <c r="C175" s="1" t="s">
        <v>11</v>
      </c>
      <c r="D175">
        <v>1.1000000000000001</v>
      </c>
      <c r="E175" s="2" t="s">
        <v>12</v>
      </c>
      <c r="F175" s="1" t="s">
        <v>13</v>
      </c>
      <c r="G175" s="3" t="s">
        <v>679</v>
      </c>
      <c r="H175">
        <v>33.990797999999998</v>
      </c>
      <c r="I175">
        <v>71.459023999999999</v>
      </c>
      <c r="J175">
        <v>390.20114100000001</v>
      </c>
      <c r="K175" s="3" t="s">
        <v>699</v>
      </c>
      <c r="L175">
        <v>137</v>
      </c>
      <c r="M175" s="1" t="s">
        <v>61</v>
      </c>
      <c r="N175" s="29" t="str">
        <f>LEFT(Table17[[#This Row],[ns1:time2]],10)</f>
        <v>2022-09-14</v>
      </c>
    </row>
    <row r="176" spans="1:14" x14ac:dyDescent="0.35">
      <c r="A176">
        <f t="shared" si="4"/>
        <v>175</v>
      </c>
      <c r="B176">
        <f t="shared" si="6"/>
        <v>22</v>
      </c>
      <c r="C176" s="1" t="s">
        <v>11</v>
      </c>
      <c r="D176">
        <v>1.1000000000000001</v>
      </c>
      <c r="E176" s="2" t="s">
        <v>12</v>
      </c>
      <c r="F176" s="1" t="s">
        <v>13</v>
      </c>
      <c r="G176" s="3" t="s">
        <v>679</v>
      </c>
      <c r="H176">
        <v>33.990805999999999</v>
      </c>
      <c r="I176">
        <v>71.459029999999998</v>
      </c>
      <c r="J176">
        <v>390.19683800000001</v>
      </c>
      <c r="K176" s="3" t="s">
        <v>700</v>
      </c>
      <c r="L176">
        <v>138</v>
      </c>
      <c r="M176" s="1" t="s">
        <v>61</v>
      </c>
      <c r="N176" s="29" t="str">
        <f>LEFT(Table17[[#This Row],[ns1:time2]],10)</f>
        <v>2022-09-14</v>
      </c>
    </row>
    <row r="177" spans="1:14" x14ac:dyDescent="0.35">
      <c r="A177">
        <f t="shared" si="4"/>
        <v>176</v>
      </c>
      <c r="B177">
        <f t="shared" si="6"/>
        <v>23</v>
      </c>
      <c r="C177" s="1" t="s">
        <v>11</v>
      </c>
      <c r="D177">
        <v>1.1000000000000001</v>
      </c>
      <c r="E177" s="2" t="s">
        <v>12</v>
      </c>
      <c r="F177" s="1" t="s">
        <v>13</v>
      </c>
      <c r="G177" s="3" t="s">
        <v>679</v>
      </c>
      <c r="H177">
        <v>33.990703000000003</v>
      </c>
      <c r="I177">
        <v>71.460088999999996</v>
      </c>
      <c r="J177">
        <v>388.78869600000002</v>
      </c>
      <c r="K177" s="3" t="s">
        <v>701</v>
      </c>
      <c r="L177">
        <v>139</v>
      </c>
      <c r="M177" s="1" t="s">
        <v>61</v>
      </c>
      <c r="N177" s="29" t="str">
        <f>LEFT(Table17[[#This Row],[ns1:time2]],10)</f>
        <v>2022-09-14</v>
      </c>
    </row>
    <row r="178" spans="1:14" x14ac:dyDescent="0.35">
      <c r="A178">
        <f t="shared" si="4"/>
        <v>177</v>
      </c>
      <c r="B178">
        <f t="shared" si="6"/>
        <v>24</v>
      </c>
      <c r="C178" s="1" t="s">
        <v>11</v>
      </c>
      <c r="D178">
        <v>1.1000000000000001</v>
      </c>
      <c r="E178" s="2" t="s">
        <v>12</v>
      </c>
      <c r="F178" s="1" t="s">
        <v>13</v>
      </c>
      <c r="G178" s="3" t="s">
        <v>679</v>
      </c>
      <c r="H178">
        <v>33.990637</v>
      </c>
      <c r="I178">
        <v>71.458979999999997</v>
      </c>
      <c r="J178">
        <v>388.57076999999998</v>
      </c>
      <c r="K178" s="3" t="s">
        <v>702</v>
      </c>
      <c r="L178">
        <v>140</v>
      </c>
      <c r="M178" s="1" t="s">
        <v>61</v>
      </c>
      <c r="N178" s="29" t="str">
        <f>LEFT(Table17[[#This Row],[ns1:time2]],10)</f>
        <v>2022-09-14</v>
      </c>
    </row>
    <row r="179" spans="1:14" x14ac:dyDescent="0.35">
      <c r="A179">
        <f t="shared" si="4"/>
        <v>178</v>
      </c>
      <c r="B179">
        <f t="shared" si="6"/>
        <v>25</v>
      </c>
      <c r="C179" s="1" t="s">
        <v>11</v>
      </c>
      <c r="D179">
        <v>1.1000000000000001</v>
      </c>
      <c r="E179" s="2" t="s">
        <v>12</v>
      </c>
      <c r="F179" s="1" t="s">
        <v>13</v>
      </c>
      <c r="G179" s="3" t="s">
        <v>679</v>
      </c>
      <c r="H179">
        <v>33.990479999999998</v>
      </c>
      <c r="I179">
        <v>71.459317999999996</v>
      </c>
      <c r="J179">
        <v>387.80026199999998</v>
      </c>
      <c r="K179" s="3" t="s">
        <v>703</v>
      </c>
      <c r="L179">
        <v>141</v>
      </c>
      <c r="M179" s="1" t="s">
        <v>61</v>
      </c>
      <c r="N179" s="29" t="str">
        <f>LEFT(Table17[[#This Row],[ns1:time2]],10)</f>
        <v>2022-09-14</v>
      </c>
    </row>
    <row r="180" spans="1:14" x14ac:dyDescent="0.35">
      <c r="A180">
        <f t="shared" si="4"/>
        <v>179</v>
      </c>
      <c r="B180">
        <f t="shared" si="6"/>
        <v>26</v>
      </c>
      <c r="C180" s="1" t="s">
        <v>11</v>
      </c>
      <c r="D180">
        <v>1.1000000000000001</v>
      </c>
      <c r="E180" s="2" t="s">
        <v>12</v>
      </c>
      <c r="F180" s="1" t="s">
        <v>13</v>
      </c>
      <c r="G180" s="3" t="s">
        <v>679</v>
      </c>
      <c r="H180">
        <v>33.990386999999998</v>
      </c>
      <c r="I180">
        <v>71.459588999999994</v>
      </c>
      <c r="J180">
        <v>387.365906</v>
      </c>
      <c r="K180" s="3" t="s">
        <v>704</v>
      </c>
      <c r="L180">
        <v>142</v>
      </c>
      <c r="M180" s="1" t="s">
        <v>61</v>
      </c>
      <c r="N180" s="29" t="str">
        <f>LEFT(Table17[[#This Row],[ns1:time2]],10)</f>
        <v>2022-09-14</v>
      </c>
    </row>
    <row r="181" spans="1:14" x14ac:dyDescent="0.35">
      <c r="A181">
        <f t="shared" si="4"/>
        <v>180</v>
      </c>
      <c r="B181">
        <f t="shared" si="6"/>
        <v>27</v>
      </c>
      <c r="C181" s="1" t="s">
        <v>11</v>
      </c>
      <c r="D181">
        <v>1.1000000000000001</v>
      </c>
      <c r="E181" s="2" t="s">
        <v>12</v>
      </c>
      <c r="F181" s="1" t="s">
        <v>13</v>
      </c>
      <c r="G181" s="3" t="s">
        <v>679</v>
      </c>
      <c r="H181">
        <v>33.990245000000002</v>
      </c>
      <c r="I181">
        <v>71.459881999999993</v>
      </c>
      <c r="J181">
        <v>388.15228300000001</v>
      </c>
      <c r="K181" s="3" t="s">
        <v>705</v>
      </c>
      <c r="L181">
        <v>143</v>
      </c>
      <c r="M181" s="1" t="s">
        <v>61</v>
      </c>
      <c r="N181" s="29" t="str">
        <f>LEFT(Table17[[#This Row],[ns1:time2]],10)</f>
        <v>2022-09-14</v>
      </c>
    </row>
    <row r="182" spans="1:14" x14ac:dyDescent="0.35">
      <c r="A182">
        <f t="shared" si="4"/>
        <v>181</v>
      </c>
      <c r="B182">
        <f t="shared" si="6"/>
        <v>28</v>
      </c>
      <c r="C182" s="1" t="s">
        <v>11</v>
      </c>
      <c r="D182">
        <v>1.1000000000000001</v>
      </c>
      <c r="E182" s="2" t="s">
        <v>12</v>
      </c>
      <c r="F182" s="1" t="s">
        <v>13</v>
      </c>
      <c r="G182" s="3" t="s">
        <v>679</v>
      </c>
      <c r="H182">
        <v>33.990481000000003</v>
      </c>
      <c r="I182">
        <v>71.458893000000003</v>
      </c>
      <c r="J182">
        <v>386.73614500000002</v>
      </c>
      <c r="K182" s="3" t="s">
        <v>706</v>
      </c>
      <c r="L182">
        <v>144</v>
      </c>
      <c r="M182" s="1" t="s">
        <v>61</v>
      </c>
      <c r="N182" s="29" t="str">
        <f>LEFT(Table17[[#This Row],[ns1:time2]],10)</f>
        <v>2022-09-14</v>
      </c>
    </row>
    <row r="183" spans="1:14" x14ac:dyDescent="0.35">
      <c r="A183">
        <f t="shared" si="4"/>
        <v>182</v>
      </c>
      <c r="B183">
        <f t="shared" si="6"/>
        <v>29</v>
      </c>
      <c r="C183" s="1" t="s">
        <v>11</v>
      </c>
      <c r="D183">
        <v>1.1000000000000001</v>
      </c>
      <c r="E183" s="2" t="s">
        <v>12</v>
      </c>
      <c r="F183" s="1" t="s">
        <v>13</v>
      </c>
      <c r="G183" s="3" t="s">
        <v>679</v>
      </c>
      <c r="H183">
        <v>33.990445999999999</v>
      </c>
      <c r="I183">
        <v>71.458892000000006</v>
      </c>
      <c r="J183">
        <v>386.52920499999999</v>
      </c>
      <c r="K183" s="3" t="s">
        <v>707</v>
      </c>
      <c r="L183">
        <v>145</v>
      </c>
      <c r="M183" s="1" t="s">
        <v>61</v>
      </c>
      <c r="N183" s="29" t="str">
        <f>LEFT(Table17[[#This Row],[ns1:time2]],10)</f>
        <v>2022-09-14</v>
      </c>
    </row>
    <row r="184" spans="1:14" x14ac:dyDescent="0.35">
      <c r="A184">
        <f t="shared" si="4"/>
        <v>183</v>
      </c>
      <c r="B184">
        <f t="shared" si="6"/>
        <v>30</v>
      </c>
      <c r="C184" s="1" t="s">
        <v>11</v>
      </c>
      <c r="D184">
        <v>1.1000000000000001</v>
      </c>
      <c r="E184" s="2" t="s">
        <v>12</v>
      </c>
      <c r="F184" s="1" t="s">
        <v>13</v>
      </c>
      <c r="G184" s="3" t="s">
        <v>679</v>
      </c>
      <c r="H184">
        <v>33.99044</v>
      </c>
      <c r="I184">
        <v>71.458889999999997</v>
      </c>
      <c r="J184">
        <v>386.50671399999999</v>
      </c>
      <c r="K184" s="3" t="s">
        <v>708</v>
      </c>
      <c r="L184">
        <v>146</v>
      </c>
      <c r="M184" s="1" t="s">
        <v>61</v>
      </c>
      <c r="N184" s="29" t="str">
        <f>LEFT(Table17[[#This Row],[ns1:time2]],10)</f>
        <v>2022-09-14</v>
      </c>
    </row>
    <row r="185" spans="1:14" x14ac:dyDescent="0.35">
      <c r="A185">
        <f t="shared" si="4"/>
        <v>184</v>
      </c>
      <c r="B185">
        <f t="shared" si="6"/>
        <v>31</v>
      </c>
      <c r="C185" s="1" t="s">
        <v>11</v>
      </c>
      <c r="D185">
        <v>1.1000000000000001</v>
      </c>
      <c r="E185" s="2" t="s">
        <v>12</v>
      </c>
      <c r="F185" s="1" t="s">
        <v>13</v>
      </c>
      <c r="G185" s="3" t="s">
        <v>679</v>
      </c>
      <c r="H185">
        <v>33.990155000000001</v>
      </c>
      <c r="I185">
        <v>71.458725999999999</v>
      </c>
      <c r="J185">
        <v>387.522919</v>
      </c>
      <c r="K185" s="3" t="s">
        <v>709</v>
      </c>
      <c r="L185">
        <v>147</v>
      </c>
      <c r="M185" s="1" t="s">
        <v>61</v>
      </c>
      <c r="N185" s="29" t="str">
        <f>LEFT(Table17[[#This Row],[ns1:time2]],10)</f>
        <v>2022-09-14</v>
      </c>
    </row>
    <row r="186" spans="1:14" x14ac:dyDescent="0.35">
      <c r="A186">
        <f t="shared" si="4"/>
        <v>185</v>
      </c>
      <c r="B186">
        <f t="shared" si="6"/>
        <v>32</v>
      </c>
      <c r="C186" s="1" t="s">
        <v>11</v>
      </c>
      <c r="D186">
        <v>1.1000000000000001</v>
      </c>
      <c r="E186" s="2" t="s">
        <v>12</v>
      </c>
      <c r="F186" s="1" t="s">
        <v>13</v>
      </c>
      <c r="G186" s="3" t="s">
        <v>679</v>
      </c>
      <c r="H186">
        <v>33.989946000000003</v>
      </c>
      <c r="I186">
        <v>71.458568</v>
      </c>
      <c r="J186">
        <v>386.22070300000001</v>
      </c>
      <c r="K186" s="3" t="s">
        <v>710</v>
      </c>
      <c r="L186">
        <v>148</v>
      </c>
      <c r="M186" s="1" t="s">
        <v>61</v>
      </c>
      <c r="N186" s="29" t="str">
        <f>LEFT(Table17[[#This Row],[ns1:time2]],10)</f>
        <v>2022-09-14</v>
      </c>
    </row>
    <row r="187" spans="1:14" x14ac:dyDescent="0.35">
      <c r="A187">
        <f t="shared" si="4"/>
        <v>186</v>
      </c>
      <c r="B187">
        <f t="shared" si="6"/>
        <v>33</v>
      </c>
      <c r="C187" s="1" t="s">
        <v>11</v>
      </c>
      <c r="D187">
        <v>1.1000000000000001</v>
      </c>
      <c r="E187" s="2" t="s">
        <v>12</v>
      </c>
      <c r="F187" s="1" t="s">
        <v>13</v>
      </c>
      <c r="G187" s="3" t="s">
        <v>679</v>
      </c>
      <c r="H187">
        <v>33.989758000000002</v>
      </c>
      <c r="I187">
        <v>71.459063999999998</v>
      </c>
      <c r="J187">
        <v>387.16793799999999</v>
      </c>
      <c r="K187" s="3" t="s">
        <v>711</v>
      </c>
      <c r="L187">
        <v>149</v>
      </c>
      <c r="M187" s="1" t="s">
        <v>61</v>
      </c>
      <c r="N187" s="29" t="str">
        <f>LEFT(Table17[[#This Row],[ns1:time2]],10)</f>
        <v>2022-09-14</v>
      </c>
    </row>
    <row r="188" spans="1:14" x14ac:dyDescent="0.35">
      <c r="A188">
        <f t="shared" si="4"/>
        <v>187</v>
      </c>
      <c r="B188">
        <f t="shared" si="6"/>
        <v>34</v>
      </c>
      <c r="C188" s="1" t="s">
        <v>11</v>
      </c>
      <c r="D188">
        <v>1.1000000000000001</v>
      </c>
      <c r="E188" s="2" t="s">
        <v>12</v>
      </c>
      <c r="F188" s="1" t="s">
        <v>13</v>
      </c>
      <c r="G188" s="3" t="s">
        <v>679</v>
      </c>
      <c r="H188">
        <v>33.989694999999998</v>
      </c>
      <c r="I188">
        <v>71.459237000000002</v>
      </c>
      <c r="J188">
        <v>386.86843900000002</v>
      </c>
      <c r="K188" s="3" t="s">
        <v>712</v>
      </c>
      <c r="L188">
        <v>150</v>
      </c>
      <c r="M188" s="1" t="s">
        <v>61</v>
      </c>
      <c r="N188" s="29" t="str">
        <f>LEFT(Table17[[#This Row],[ns1:time2]],10)</f>
        <v>2022-09-14</v>
      </c>
    </row>
    <row r="189" spans="1:14" x14ac:dyDescent="0.35">
      <c r="A189">
        <f t="shared" si="4"/>
        <v>188</v>
      </c>
      <c r="B189">
        <f t="shared" si="6"/>
        <v>35</v>
      </c>
      <c r="C189" s="1" t="s">
        <v>11</v>
      </c>
      <c r="D189">
        <v>1.1000000000000001</v>
      </c>
      <c r="E189" s="2" t="s">
        <v>12</v>
      </c>
      <c r="F189" s="1" t="s">
        <v>13</v>
      </c>
      <c r="G189" s="3" t="s">
        <v>679</v>
      </c>
      <c r="H189">
        <v>33.990989999999996</v>
      </c>
      <c r="I189">
        <v>71.456118000000004</v>
      </c>
      <c r="J189">
        <v>385.21285999999998</v>
      </c>
      <c r="K189" s="3" t="s">
        <v>713</v>
      </c>
      <c r="L189">
        <v>151</v>
      </c>
      <c r="M189" s="1" t="s">
        <v>61</v>
      </c>
      <c r="N189" s="29" t="str">
        <f>LEFT(Table17[[#This Row],[ns1:time2]],10)</f>
        <v>2022-09-14</v>
      </c>
    </row>
    <row r="190" spans="1:14" x14ac:dyDescent="0.35">
      <c r="A190">
        <f t="shared" si="4"/>
        <v>189</v>
      </c>
      <c r="B190">
        <f t="shared" si="6"/>
        <v>36</v>
      </c>
      <c r="C190" s="1" t="s">
        <v>11</v>
      </c>
      <c r="D190">
        <v>1.1000000000000001</v>
      </c>
      <c r="E190" s="2" t="s">
        <v>12</v>
      </c>
      <c r="F190" s="1" t="s">
        <v>13</v>
      </c>
      <c r="G190" s="3" t="s">
        <v>679</v>
      </c>
      <c r="H190">
        <v>33.990859</v>
      </c>
      <c r="I190">
        <v>71.456354000000005</v>
      </c>
      <c r="J190">
        <v>385.46307400000001</v>
      </c>
      <c r="K190" s="3" t="s">
        <v>714</v>
      </c>
      <c r="L190">
        <v>152</v>
      </c>
      <c r="M190" s="1" t="s">
        <v>61</v>
      </c>
      <c r="N190" s="29" t="str">
        <f>LEFT(Table17[[#This Row],[ns1:time2]],10)</f>
        <v>2022-09-14</v>
      </c>
    </row>
    <row r="191" spans="1:14" x14ac:dyDescent="0.35">
      <c r="A191">
        <f t="shared" si="4"/>
        <v>190</v>
      </c>
      <c r="B191">
        <f t="shared" si="6"/>
        <v>37</v>
      </c>
      <c r="C191" s="1" t="s">
        <v>11</v>
      </c>
      <c r="D191">
        <v>1.1000000000000001</v>
      </c>
      <c r="E191" s="2" t="s">
        <v>12</v>
      </c>
      <c r="F191" s="1" t="s">
        <v>13</v>
      </c>
      <c r="G191" s="3" t="s">
        <v>679</v>
      </c>
      <c r="H191">
        <v>33.990727999999997</v>
      </c>
      <c r="I191">
        <v>71.456857999999997</v>
      </c>
      <c r="J191">
        <v>386.12383999999997</v>
      </c>
      <c r="K191" s="3" t="s">
        <v>715</v>
      </c>
      <c r="L191">
        <v>153</v>
      </c>
      <c r="M191" s="1" t="s">
        <v>61</v>
      </c>
      <c r="N191" s="29" t="str">
        <f>LEFT(Table17[[#This Row],[ns1:time2]],10)</f>
        <v>2022-09-14</v>
      </c>
    </row>
    <row r="192" spans="1:14" x14ac:dyDescent="0.35">
      <c r="A192">
        <f t="shared" si="4"/>
        <v>191</v>
      </c>
      <c r="B192">
        <f t="shared" si="6"/>
        <v>38</v>
      </c>
      <c r="C192" s="1" t="s">
        <v>11</v>
      </c>
      <c r="D192">
        <v>1.1000000000000001</v>
      </c>
      <c r="E192" s="2" t="s">
        <v>12</v>
      </c>
      <c r="F192" s="1" t="s">
        <v>13</v>
      </c>
      <c r="G192" s="3" t="s">
        <v>679</v>
      </c>
      <c r="H192">
        <v>33.990470000000002</v>
      </c>
      <c r="I192">
        <v>71.457266000000004</v>
      </c>
      <c r="J192">
        <v>386.83520499999997</v>
      </c>
      <c r="K192" s="3" t="s">
        <v>716</v>
      </c>
      <c r="L192">
        <v>154</v>
      </c>
      <c r="M192" s="1" t="s">
        <v>61</v>
      </c>
      <c r="N192" s="29" t="str">
        <f>LEFT(Table17[[#This Row],[ns1:time2]],10)</f>
        <v>2022-09-14</v>
      </c>
    </row>
    <row r="193" spans="1:14" x14ac:dyDescent="0.35">
      <c r="A193">
        <f t="shared" si="4"/>
        <v>192</v>
      </c>
      <c r="B193">
        <f t="shared" si="6"/>
        <v>39</v>
      </c>
      <c r="C193" s="1" t="s">
        <v>11</v>
      </c>
      <c r="D193">
        <v>1.1000000000000001</v>
      </c>
      <c r="E193" s="2" t="s">
        <v>12</v>
      </c>
      <c r="F193" s="1" t="s">
        <v>13</v>
      </c>
      <c r="G193" s="3" t="s">
        <v>679</v>
      </c>
      <c r="H193">
        <v>33.990501000000002</v>
      </c>
      <c r="I193">
        <v>71.457296999999997</v>
      </c>
      <c r="J193">
        <v>387.44534299999998</v>
      </c>
      <c r="K193" s="3" t="s">
        <v>717</v>
      </c>
      <c r="L193">
        <v>155</v>
      </c>
      <c r="M193" s="1" t="s">
        <v>61</v>
      </c>
      <c r="N193" s="29" t="str">
        <f>LEFT(Table17[[#This Row],[ns1:time2]],10)</f>
        <v>2022-09-14</v>
      </c>
    </row>
    <row r="194" spans="1:14" x14ac:dyDescent="0.35">
      <c r="A194">
        <f t="shared" si="4"/>
        <v>193</v>
      </c>
      <c r="B194">
        <f t="shared" si="6"/>
        <v>40</v>
      </c>
      <c r="C194" s="1" t="s">
        <v>11</v>
      </c>
      <c r="D194">
        <v>1.1000000000000001</v>
      </c>
      <c r="E194" s="2" t="s">
        <v>12</v>
      </c>
      <c r="F194" s="1" t="s">
        <v>13</v>
      </c>
      <c r="G194" s="3" t="s">
        <v>679</v>
      </c>
      <c r="H194">
        <v>33.990499</v>
      </c>
      <c r="I194">
        <v>71.457306000000003</v>
      </c>
      <c r="J194">
        <v>387.45931999999999</v>
      </c>
      <c r="K194" s="3" t="s">
        <v>718</v>
      </c>
      <c r="L194">
        <v>156</v>
      </c>
      <c r="M194" s="1" t="s">
        <v>61</v>
      </c>
      <c r="N194" s="29" t="str">
        <f>LEFT(Table17[[#This Row],[ns1:time2]],10)</f>
        <v>2022-09-14</v>
      </c>
    </row>
    <row r="195" spans="1:14" x14ac:dyDescent="0.35">
      <c r="A195">
        <f t="shared" si="4"/>
        <v>194</v>
      </c>
      <c r="B195">
        <f t="shared" si="6"/>
        <v>41</v>
      </c>
      <c r="C195" s="1" t="s">
        <v>11</v>
      </c>
      <c r="D195">
        <v>1.1000000000000001</v>
      </c>
      <c r="E195" s="2" t="s">
        <v>12</v>
      </c>
      <c r="F195" s="1" t="s">
        <v>13</v>
      </c>
      <c r="G195" s="3" t="s">
        <v>679</v>
      </c>
      <c r="H195">
        <v>33.990642999999999</v>
      </c>
      <c r="I195">
        <v>71.457238000000004</v>
      </c>
      <c r="J195">
        <v>389.61050399999999</v>
      </c>
      <c r="K195" s="3" t="s">
        <v>719</v>
      </c>
      <c r="L195">
        <v>157</v>
      </c>
      <c r="M195" s="1" t="s">
        <v>61</v>
      </c>
      <c r="N195" s="29" t="str">
        <f>LEFT(Table17[[#This Row],[ns1:time2]],10)</f>
        <v>2022-09-14</v>
      </c>
    </row>
    <row r="196" spans="1:14" x14ac:dyDescent="0.35">
      <c r="A196">
        <f t="shared" ref="A196:B259" si="7">A195+1</f>
        <v>195</v>
      </c>
      <c r="B196">
        <f t="shared" si="6"/>
        <v>42</v>
      </c>
      <c r="C196" s="1" t="s">
        <v>11</v>
      </c>
      <c r="D196">
        <v>1.1000000000000001</v>
      </c>
      <c r="E196" s="2" t="s">
        <v>12</v>
      </c>
      <c r="F196" s="1" t="s">
        <v>13</v>
      </c>
      <c r="G196" s="3" t="s">
        <v>679</v>
      </c>
      <c r="H196">
        <v>33.990907999999997</v>
      </c>
      <c r="I196">
        <v>71.457362000000003</v>
      </c>
      <c r="J196">
        <v>387.84030200000001</v>
      </c>
      <c r="K196" s="3" t="s">
        <v>720</v>
      </c>
      <c r="L196">
        <v>158</v>
      </c>
      <c r="M196" s="1" t="s">
        <v>61</v>
      </c>
      <c r="N196" s="29" t="str">
        <f>LEFT(Table17[[#This Row],[ns1:time2]],10)</f>
        <v>2022-09-14</v>
      </c>
    </row>
    <row r="197" spans="1:14" x14ac:dyDescent="0.35">
      <c r="A197">
        <f t="shared" si="7"/>
        <v>196</v>
      </c>
      <c r="B197">
        <f t="shared" si="6"/>
        <v>43</v>
      </c>
      <c r="C197" s="1" t="s">
        <v>11</v>
      </c>
      <c r="D197">
        <v>1.1000000000000001</v>
      </c>
      <c r="E197" s="2" t="s">
        <v>12</v>
      </c>
      <c r="F197" s="1" t="s">
        <v>13</v>
      </c>
      <c r="G197" s="3" t="s">
        <v>679</v>
      </c>
      <c r="H197">
        <v>33.991067000000001</v>
      </c>
      <c r="I197">
        <v>71.457097000000005</v>
      </c>
      <c r="J197">
        <v>387.79354899999998</v>
      </c>
      <c r="K197" s="3" t="s">
        <v>721</v>
      </c>
      <c r="L197">
        <v>159</v>
      </c>
      <c r="M197" s="1" t="s">
        <v>61</v>
      </c>
      <c r="N197" s="29" t="str">
        <f>LEFT(Table17[[#This Row],[ns1:time2]],10)</f>
        <v>2022-09-14</v>
      </c>
    </row>
    <row r="198" spans="1:14" x14ac:dyDescent="0.35">
      <c r="A198">
        <f t="shared" si="7"/>
        <v>197</v>
      </c>
      <c r="B198">
        <f t="shared" si="6"/>
        <v>44</v>
      </c>
      <c r="C198" s="1" t="s">
        <v>11</v>
      </c>
      <c r="D198">
        <v>1.1000000000000001</v>
      </c>
      <c r="E198" s="2" t="s">
        <v>12</v>
      </c>
      <c r="F198" s="1" t="s">
        <v>13</v>
      </c>
      <c r="G198" s="3" t="s">
        <v>679</v>
      </c>
      <c r="H198">
        <v>33.991129000000001</v>
      </c>
      <c r="I198">
        <v>71.456849000000005</v>
      </c>
      <c r="J198">
        <v>387.53024299999998</v>
      </c>
      <c r="K198" s="3" t="s">
        <v>722</v>
      </c>
      <c r="L198">
        <v>160</v>
      </c>
      <c r="M198" s="1" t="s">
        <v>61</v>
      </c>
      <c r="N198" s="29" t="str">
        <f>LEFT(Table17[[#This Row],[ns1:time2]],10)</f>
        <v>2022-09-14</v>
      </c>
    </row>
    <row r="199" spans="1:14" x14ac:dyDescent="0.35">
      <c r="A199">
        <f t="shared" si="7"/>
        <v>198</v>
      </c>
      <c r="B199">
        <f t="shared" si="6"/>
        <v>45</v>
      </c>
      <c r="C199" s="1" t="s">
        <v>11</v>
      </c>
      <c r="D199">
        <v>1.1000000000000001</v>
      </c>
      <c r="E199" s="2" t="s">
        <v>12</v>
      </c>
      <c r="F199" s="1" t="s">
        <v>13</v>
      </c>
      <c r="G199" s="3" t="s">
        <v>679</v>
      </c>
      <c r="H199">
        <v>33.991028</v>
      </c>
      <c r="I199">
        <v>71.457476</v>
      </c>
      <c r="J199">
        <v>386.17663599999997</v>
      </c>
      <c r="K199" s="3" t="s">
        <v>723</v>
      </c>
      <c r="L199">
        <v>161</v>
      </c>
      <c r="M199" s="1" t="s">
        <v>61</v>
      </c>
      <c r="N199" s="29" t="str">
        <f>LEFT(Table17[[#This Row],[ns1:time2]],10)</f>
        <v>2022-09-14</v>
      </c>
    </row>
    <row r="200" spans="1:14" x14ac:dyDescent="0.35">
      <c r="A200">
        <f t="shared" si="7"/>
        <v>199</v>
      </c>
      <c r="B200">
        <f t="shared" si="6"/>
        <v>46</v>
      </c>
      <c r="C200" s="1" t="s">
        <v>11</v>
      </c>
      <c r="D200">
        <v>1.1000000000000001</v>
      </c>
      <c r="E200" s="2" t="s">
        <v>12</v>
      </c>
      <c r="F200" s="1" t="s">
        <v>13</v>
      </c>
      <c r="G200" s="3" t="s">
        <v>679</v>
      </c>
      <c r="H200">
        <v>33.991354000000001</v>
      </c>
      <c r="I200">
        <v>71.457605000000001</v>
      </c>
      <c r="J200">
        <v>387.53790300000003</v>
      </c>
      <c r="K200" s="3" t="s">
        <v>724</v>
      </c>
      <c r="L200">
        <v>162</v>
      </c>
      <c r="M200" s="1" t="s">
        <v>61</v>
      </c>
      <c r="N200" s="29" t="str">
        <f>LEFT(Table17[[#This Row],[ns1:time2]],10)</f>
        <v>2022-09-14</v>
      </c>
    </row>
    <row r="201" spans="1:14" x14ac:dyDescent="0.35">
      <c r="A201">
        <f t="shared" si="7"/>
        <v>200</v>
      </c>
      <c r="B201">
        <f t="shared" si="6"/>
        <v>47</v>
      </c>
      <c r="C201" s="1" t="s">
        <v>11</v>
      </c>
      <c r="D201">
        <v>1.1000000000000001</v>
      </c>
      <c r="E201" s="2" t="s">
        <v>12</v>
      </c>
      <c r="F201" s="1" t="s">
        <v>13</v>
      </c>
      <c r="G201" s="3" t="s">
        <v>679</v>
      </c>
      <c r="H201">
        <v>33.990264000000003</v>
      </c>
      <c r="I201">
        <v>71.457121000000001</v>
      </c>
      <c r="J201">
        <v>390.22494499999999</v>
      </c>
      <c r="K201" s="3" t="s">
        <v>725</v>
      </c>
      <c r="L201">
        <v>163</v>
      </c>
      <c r="M201" s="1" t="s">
        <v>61</v>
      </c>
      <c r="N201" s="29" t="str">
        <f>LEFT(Table17[[#This Row],[ns1:time2]],10)</f>
        <v>2022-09-14</v>
      </c>
    </row>
    <row r="202" spans="1:14" x14ac:dyDescent="0.35">
      <c r="A202">
        <f t="shared" si="7"/>
        <v>201</v>
      </c>
      <c r="B202">
        <f t="shared" si="6"/>
        <v>48</v>
      </c>
      <c r="C202" s="1" t="s">
        <v>11</v>
      </c>
      <c r="D202">
        <v>1.1000000000000001</v>
      </c>
      <c r="E202" s="2" t="s">
        <v>12</v>
      </c>
      <c r="F202" s="1" t="s">
        <v>13</v>
      </c>
      <c r="G202" s="3" t="s">
        <v>679</v>
      </c>
      <c r="H202">
        <v>33.990082999999998</v>
      </c>
      <c r="I202">
        <v>71.457082</v>
      </c>
      <c r="J202">
        <v>391.63360599999999</v>
      </c>
      <c r="K202" s="3" t="s">
        <v>726</v>
      </c>
      <c r="L202">
        <v>164</v>
      </c>
      <c r="M202" s="1" t="s">
        <v>61</v>
      </c>
      <c r="N202" s="29" t="str">
        <f>LEFT(Table17[[#This Row],[ns1:time2]],10)</f>
        <v>2022-09-14</v>
      </c>
    </row>
    <row r="203" spans="1:14" x14ac:dyDescent="0.35">
      <c r="A203">
        <f t="shared" si="7"/>
        <v>202</v>
      </c>
      <c r="B203">
        <f t="shared" si="6"/>
        <v>49</v>
      </c>
      <c r="C203" s="1" t="s">
        <v>11</v>
      </c>
      <c r="D203">
        <v>1.1000000000000001</v>
      </c>
      <c r="E203" s="2" t="s">
        <v>12</v>
      </c>
      <c r="F203" s="1" t="s">
        <v>13</v>
      </c>
      <c r="G203" s="3" t="s">
        <v>679</v>
      </c>
      <c r="H203">
        <v>33.989797000000003</v>
      </c>
      <c r="I203">
        <v>71.456890999999999</v>
      </c>
      <c r="J203">
        <v>389.427032</v>
      </c>
      <c r="K203" s="3" t="s">
        <v>727</v>
      </c>
      <c r="L203">
        <v>165</v>
      </c>
      <c r="M203" s="1" t="s">
        <v>61</v>
      </c>
      <c r="N203" s="29" t="str">
        <f>LEFT(Table17[[#This Row],[ns1:time2]],10)</f>
        <v>2022-09-14</v>
      </c>
    </row>
    <row r="204" spans="1:14" x14ac:dyDescent="0.35">
      <c r="A204">
        <f t="shared" si="7"/>
        <v>203</v>
      </c>
      <c r="B204">
        <f t="shared" si="6"/>
        <v>50</v>
      </c>
      <c r="C204" s="1" t="s">
        <v>11</v>
      </c>
      <c r="D204">
        <v>1.1000000000000001</v>
      </c>
      <c r="E204" s="2" t="s">
        <v>12</v>
      </c>
      <c r="F204" s="1" t="s">
        <v>13</v>
      </c>
      <c r="G204" s="3" t="s">
        <v>679</v>
      </c>
      <c r="H204">
        <v>33.989795999999998</v>
      </c>
      <c r="I204">
        <v>71.456885999999997</v>
      </c>
      <c r="J204">
        <v>389.432526</v>
      </c>
      <c r="K204" s="3" t="s">
        <v>728</v>
      </c>
      <c r="L204">
        <v>166</v>
      </c>
      <c r="M204" s="1" t="s">
        <v>61</v>
      </c>
      <c r="N204" s="29" t="str">
        <f>LEFT(Table17[[#This Row],[ns1:time2]],10)</f>
        <v>2022-09-14</v>
      </c>
    </row>
    <row r="205" spans="1:14" x14ac:dyDescent="0.35">
      <c r="A205">
        <f t="shared" si="7"/>
        <v>204</v>
      </c>
      <c r="B205">
        <f t="shared" si="6"/>
        <v>51</v>
      </c>
      <c r="C205" s="1" t="s">
        <v>11</v>
      </c>
      <c r="D205">
        <v>1.1000000000000001</v>
      </c>
      <c r="E205" s="2" t="s">
        <v>12</v>
      </c>
      <c r="F205" s="1" t="s">
        <v>13</v>
      </c>
      <c r="G205" s="3" t="s">
        <v>679</v>
      </c>
      <c r="H205">
        <v>33.989792000000001</v>
      </c>
      <c r="I205">
        <v>71.456881999999993</v>
      </c>
      <c r="J205">
        <v>389.428406</v>
      </c>
      <c r="K205" s="3" t="s">
        <v>729</v>
      </c>
      <c r="L205">
        <v>167</v>
      </c>
      <c r="M205" s="1" t="s">
        <v>61</v>
      </c>
      <c r="N205" s="29" t="str">
        <f>LEFT(Table17[[#This Row],[ns1:time2]],10)</f>
        <v>2022-09-14</v>
      </c>
    </row>
    <row r="206" spans="1:14" x14ac:dyDescent="0.35">
      <c r="A206">
        <f t="shared" si="7"/>
        <v>205</v>
      </c>
      <c r="B206">
        <f t="shared" si="6"/>
        <v>52</v>
      </c>
      <c r="C206" s="1" t="s">
        <v>11</v>
      </c>
      <c r="D206">
        <v>1.1000000000000001</v>
      </c>
      <c r="E206" s="2" t="s">
        <v>12</v>
      </c>
      <c r="F206" s="1" t="s">
        <v>13</v>
      </c>
      <c r="G206" s="3" t="s">
        <v>679</v>
      </c>
      <c r="H206">
        <v>33.989998999999997</v>
      </c>
      <c r="I206">
        <v>71.456509999999994</v>
      </c>
      <c r="J206">
        <v>392.10055499999999</v>
      </c>
      <c r="K206" s="3" t="s">
        <v>730</v>
      </c>
      <c r="L206">
        <v>168</v>
      </c>
      <c r="M206" s="1" t="s">
        <v>61</v>
      </c>
      <c r="N206" s="29" t="str">
        <f>LEFT(Table17[[#This Row],[ns1:time2]],10)</f>
        <v>2022-09-14</v>
      </c>
    </row>
    <row r="207" spans="1:14" x14ac:dyDescent="0.35">
      <c r="A207">
        <f t="shared" si="7"/>
        <v>206</v>
      </c>
      <c r="B207">
        <f t="shared" si="6"/>
        <v>53</v>
      </c>
      <c r="C207" s="1" t="s">
        <v>11</v>
      </c>
      <c r="D207">
        <v>1.1000000000000001</v>
      </c>
      <c r="E207" s="2" t="s">
        <v>12</v>
      </c>
      <c r="F207" s="1" t="s">
        <v>13</v>
      </c>
      <c r="G207" s="3" t="s">
        <v>679</v>
      </c>
      <c r="H207">
        <v>33.990172000000001</v>
      </c>
      <c r="I207">
        <v>71.456062000000003</v>
      </c>
      <c r="J207">
        <v>391.36874399999999</v>
      </c>
      <c r="K207" s="3" t="s">
        <v>731</v>
      </c>
      <c r="L207">
        <v>169</v>
      </c>
      <c r="M207" s="1" t="s">
        <v>61</v>
      </c>
      <c r="N207" s="29" t="str">
        <f>LEFT(Table17[[#This Row],[ns1:time2]],10)</f>
        <v>2022-09-14</v>
      </c>
    </row>
    <row r="208" spans="1:14" x14ac:dyDescent="0.35">
      <c r="A208">
        <f t="shared" si="7"/>
        <v>207</v>
      </c>
      <c r="B208">
        <f t="shared" si="6"/>
        <v>54</v>
      </c>
      <c r="C208" s="1" t="s">
        <v>11</v>
      </c>
      <c r="D208">
        <v>1.1000000000000001</v>
      </c>
      <c r="E208" s="2" t="s">
        <v>12</v>
      </c>
      <c r="F208" s="1" t="s">
        <v>13</v>
      </c>
      <c r="G208" s="3" t="s">
        <v>679</v>
      </c>
      <c r="H208">
        <v>33.990350999999997</v>
      </c>
      <c r="I208">
        <v>71.455684000000005</v>
      </c>
      <c r="J208">
        <v>391.58108499999997</v>
      </c>
      <c r="K208" s="3" t="s">
        <v>732</v>
      </c>
      <c r="L208">
        <v>170</v>
      </c>
      <c r="M208" s="1" t="s">
        <v>61</v>
      </c>
      <c r="N208" s="29" t="str">
        <f>LEFT(Table17[[#This Row],[ns1:time2]],10)</f>
        <v>2022-09-14</v>
      </c>
    </row>
    <row r="209" spans="1:14" x14ac:dyDescent="0.35">
      <c r="A209">
        <f t="shared" si="7"/>
        <v>208</v>
      </c>
      <c r="B209">
        <f t="shared" si="6"/>
        <v>55</v>
      </c>
      <c r="C209" s="1" t="s">
        <v>11</v>
      </c>
      <c r="D209">
        <v>1.1000000000000001</v>
      </c>
      <c r="E209" s="2" t="s">
        <v>12</v>
      </c>
      <c r="F209" s="1" t="s">
        <v>13</v>
      </c>
      <c r="G209" s="3" t="s">
        <v>679</v>
      </c>
      <c r="H209">
        <v>33.989393</v>
      </c>
      <c r="I209">
        <v>71.456697000000005</v>
      </c>
      <c r="J209">
        <v>391.51351899999997</v>
      </c>
      <c r="K209" s="3" t="s">
        <v>733</v>
      </c>
      <c r="L209">
        <v>171</v>
      </c>
      <c r="M209" s="1" t="s">
        <v>61</v>
      </c>
      <c r="N209" s="29" t="str">
        <f>LEFT(Table17[[#This Row],[ns1:time2]],10)</f>
        <v>2022-09-14</v>
      </c>
    </row>
    <row r="210" spans="1:14" x14ac:dyDescent="0.35">
      <c r="A210">
        <f t="shared" si="7"/>
        <v>209</v>
      </c>
      <c r="B210">
        <f t="shared" si="6"/>
        <v>56</v>
      </c>
      <c r="C210" s="1" t="s">
        <v>11</v>
      </c>
      <c r="D210">
        <v>1.1000000000000001</v>
      </c>
      <c r="E210" s="2" t="s">
        <v>12</v>
      </c>
      <c r="F210" s="1" t="s">
        <v>13</v>
      </c>
      <c r="G210" s="3" t="s">
        <v>679</v>
      </c>
      <c r="H210">
        <v>33.989046999999999</v>
      </c>
      <c r="I210">
        <v>71.456494000000006</v>
      </c>
      <c r="J210">
        <v>393.875946</v>
      </c>
      <c r="K210" s="3" t="s">
        <v>734</v>
      </c>
      <c r="L210">
        <v>172</v>
      </c>
      <c r="M210" s="1" t="s">
        <v>61</v>
      </c>
      <c r="N210" s="29" t="str">
        <f>LEFT(Table17[[#This Row],[ns1:time2]],10)</f>
        <v>2022-09-14</v>
      </c>
    </row>
    <row r="211" spans="1:14" x14ac:dyDescent="0.35">
      <c r="A211">
        <f t="shared" si="7"/>
        <v>210</v>
      </c>
      <c r="B211">
        <f t="shared" si="6"/>
        <v>57</v>
      </c>
      <c r="C211" s="1" t="s">
        <v>11</v>
      </c>
      <c r="D211">
        <v>1.1000000000000001</v>
      </c>
      <c r="E211" s="2" t="s">
        <v>12</v>
      </c>
      <c r="F211" s="1" t="s">
        <v>13</v>
      </c>
      <c r="G211" s="3" t="s">
        <v>679</v>
      </c>
      <c r="H211">
        <v>33.989032999999999</v>
      </c>
      <c r="I211">
        <v>71.456436999999994</v>
      </c>
      <c r="J211">
        <v>393.590485</v>
      </c>
      <c r="K211" s="3" t="s">
        <v>735</v>
      </c>
      <c r="L211">
        <v>173</v>
      </c>
      <c r="M211" s="1" t="s">
        <v>61</v>
      </c>
      <c r="N211" s="29" t="str">
        <f>LEFT(Table17[[#This Row],[ns1:time2]],10)</f>
        <v>2022-09-14</v>
      </c>
    </row>
    <row r="212" spans="1:14" x14ac:dyDescent="0.35">
      <c r="A212">
        <f t="shared" si="7"/>
        <v>211</v>
      </c>
      <c r="B212">
        <f t="shared" si="6"/>
        <v>58</v>
      </c>
      <c r="C212" s="1" t="s">
        <v>11</v>
      </c>
      <c r="D212">
        <v>1.1000000000000001</v>
      </c>
      <c r="E212" s="2" t="s">
        <v>12</v>
      </c>
      <c r="F212" s="1" t="s">
        <v>13</v>
      </c>
      <c r="G212" s="3" t="s">
        <v>679</v>
      </c>
      <c r="H212">
        <v>33.989044999999997</v>
      </c>
      <c r="I212">
        <v>71.456449000000006</v>
      </c>
      <c r="J212">
        <v>393.58706699999999</v>
      </c>
      <c r="K212" s="3" t="s">
        <v>736</v>
      </c>
      <c r="L212">
        <v>174</v>
      </c>
      <c r="M212" s="1" t="s">
        <v>61</v>
      </c>
      <c r="N212" s="29" t="str">
        <f>LEFT(Table17[[#This Row],[ns1:time2]],10)</f>
        <v>2022-09-14</v>
      </c>
    </row>
    <row r="213" spans="1:14" x14ac:dyDescent="0.35">
      <c r="A213">
        <f t="shared" si="7"/>
        <v>212</v>
      </c>
      <c r="B213">
        <f t="shared" si="6"/>
        <v>59</v>
      </c>
      <c r="C213" s="1" t="s">
        <v>11</v>
      </c>
      <c r="D213">
        <v>1.1000000000000001</v>
      </c>
      <c r="E213" s="2" t="s">
        <v>12</v>
      </c>
      <c r="F213" s="1" t="s">
        <v>13</v>
      </c>
      <c r="G213" s="3" t="s">
        <v>679</v>
      </c>
      <c r="H213">
        <v>33.989269999999998</v>
      </c>
      <c r="I213">
        <v>71.456007999999997</v>
      </c>
      <c r="J213">
        <v>391.545502</v>
      </c>
      <c r="K213" s="3" t="s">
        <v>737</v>
      </c>
      <c r="L213">
        <v>175</v>
      </c>
      <c r="M213" s="1" t="s">
        <v>61</v>
      </c>
      <c r="N213" s="29" t="str">
        <f>LEFT(Table17[[#This Row],[ns1:time2]],10)</f>
        <v>2022-09-14</v>
      </c>
    </row>
    <row r="214" spans="1:14" x14ac:dyDescent="0.35">
      <c r="A214">
        <f t="shared" si="7"/>
        <v>213</v>
      </c>
      <c r="B214">
        <f t="shared" si="6"/>
        <v>60</v>
      </c>
      <c r="C214" s="1" t="s">
        <v>11</v>
      </c>
      <c r="D214">
        <v>1.1000000000000001</v>
      </c>
      <c r="E214" s="2" t="s">
        <v>12</v>
      </c>
      <c r="F214" s="1" t="s">
        <v>13</v>
      </c>
      <c r="G214" s="3" t="s">
        <v>679</v>
      </c>
      <c r="H214">
        <v>33.989462000000003</v>
      </c>
      <c r="I214">
        <v>71.455622000000005</v>
      </c>
      <c r="J214">
        <v>392.19567899999998</v>
      </c>
      <c r="K214" s="3" t="s">
        <v>738</v>
      </c>
      <c r="L214">
        <v>176</v>
      </c>
      <c r="M214" s="1" t="s">
        <v>61</v>
      </c>
      <c r="N214" s="29" t="str">
        <f>LEFT(Table17[[#This Row],[ns1:time2]],10)</f>
        <v>2022-09-14</v>
      </c>
    </row>
    <row r="215" spans="1:14" x14ac:dyDescent="0.35">
      <c r="A215">
        <f t="shared" si="7"/>
        <v>214</v>
      </c>
      <c r="B215">
        <f t="shared" si="6"/>
        <v>61</v>
      </c>
      <c r="C215" s="1" t="s">
        <v>11</v>
      </c>
      <c r="D215">
        <v>1.1000000000000001</v>
      </c>
      <c r="E215" s="2" t="s">
        <v>12</v>
      </c>
      <c r="F215" s="1" t="s">
        <v>13</v>
      </c>
      <c r="G215" s="3" t="s">
        <v>679</v>
      </c>
      <c r="H215">
        <v>33.989693000000003</v>
      </c>
      <c r="I215">
        <v>71.455315999999996</v>
      </c>
      <c r="J215">
        <v>392.70697000000001</v>
      </c>
      <c r="K215" s="3" t="s">
        <v>739</v>
      </c>
      <c r="L215">
        <v>177</v>
      </c>
      <c r="M215" s="1" t="s">
        <v>61</v>
      </c>
      <c r="N215" s="29" t="str">
        <f>LEFT(Table17[[#This Row],[ns1:time2]],10)</f>
        <v>2022-09-14</v>
      </c>
    </row>
    <row r="216" spans="1:14" x14ac:dyDescent="0.35">
      <c r="A216">
        <f t="shared" si="7"/>
        <v>215</v>
      </c>
      <c r="B216">
        <f t="shared" si="6"/>
        <v>62</v>
      </c>
      <c r="C216" s="1" t="s">
        <v>11</v>
      </c>
      <c r="D216">
        <v>1.1000000000000001</v>
      </c>
      <c r="E216" s="2" t="s">
        <v>12</v>
      </c>
      <c r="F216" s="1" t="s">
        <v>13</v>
      </c>
      <c r="G216" s="3" t="s">
        <v>679</v>
      </c>
      <c r="H216">
        <v>33.989642000000003</v>
      </c>
      <c r="I216">
        <v>71.456281000000004</v>
      </c>
      <c r="J216">
        <v>389.27862499999998</v>
      </c>
      <c r="K216" s="3" t="s">
        <v>740</v>
      </c>
      <c r="L216">
        <v>178</v>
      </c>
      <c r="M216" s="1" t="s">
        <v>61</v>
      </c>
      <c r="N216" s="29" t="str">
        <f>LEFT(Table17[[#This Row],[ns1:time2]],10)</f>
        <v>2022-09-14</v>
      </c>
    </row>
    <row r="217" spans="1:14" x14ac:dyDescent="0.35">
      <c r="A217">
        <f t="shared" si="7"/>
        <v>216</v>
      </c>
      <c r="B217">
        <f t="shared" si="6"/>
        <v>63</v>
      </c>
      <c r="C217" s="1" t="s">
        <v>11</v>
      </c>
      <c r="D217">
        <v>1.1000000000000001</v>
      </c>
      <c r="E217" s="2" t="s">
        <v>12</v>
      </c>
      <c r="F217" s="1" t="s">
        <v>13</v>
      </c>
      <c r="G217" s="3" t="s">
        <v>679</v>
      </c>
      <c r="H217">
        <v>33.989024000000001</v>
      </c>
      <c r="I217">
        <v>71.456591000000003</v>
      </c>
      <c r="J217">
        <v>378.52023300000002</v>
      </c>
      <c r="K217" s="3" t="s">
        <v>741</v>
      </c>
      <c r="L217">
        <v>179</v>
      </c>
      <c r="M217" s="1" t="s">
        <v>61</v>
      </c>
      <c r="N217" s="29" t="str">
        <f>LEFT(Table17[[#This Row],[ns1:time2]],10)</f>
        <v>2022-09-14</v>
      </c>
    </row>
    <row r="218" spans="1:14" x14ac:dyDescent="0.35">
      <c r="A218">
        <f t="shared" si="7"/>
        <v>217</v>
      </c>
      <c r="B218">
        <f t="shared" si="6"/>
        <v>64</v>
      </c>
      <c r="C218" s="1" t="s">
        <v>11</v>
      </c>
      <c r="D218">
        <v>1.1000000000000001</v>
      </c>
      <c r="E218" s="2" t="s">
        <v>12</v>
      </c>
      <c r="F218" s="1" t="s">
        <v>13</v>
      </c>
      <c r="G218" s="3" t="s">
        <v>679</v>
      </c>
      <c r="H218">
        <v>33.989044999999997</v>
      </c>
      <c r="I218">
        <v>71.456592999999998</v>
      </c>
      <c r="J218">
        <v>379.63799999999998</v>
      </c>
      <c r="K218" s="3" t="s">
        <v>742</v>
      </c>
      <c r="L218">
        <v>180</v>
      </c>
      <c r="M218" s="1" t="s">
        <v>61</v>
      </c>
      <c r="N218" s="29" t="str">
        <f>LEFT(Table17[[#This Row],[ns1:time2]],10)</f>
        <v>2022-09-14</v>
      </c>
    </row>
    <row r="219" spans="1:14" x14ac:dyDescent="0.35">
      <c r="A219">
        <f t="shared" si="7"/>
        <v>218</v>
      </c>
      <c r="B219">
        <f t="shared" si="6"/>
        <v>65</v>
      </c>
      <c r="C219" s="1" t="s">
        <v>11</v>
      </c>
      <c r="D219">
        <v>1.1000000000000001</v>
      </c>
      <c r="E219" s="2" t="s">
        <v>12</v>
      </c>
      <c r="F219" s="1" t="s">
        <v>13</v>
      </c>
      <c r="G219" s="3" t="s">
        <v>679</v>
      </c>
      <c r="H219">
        <v>33.989044999999997</v>
      </c>
      <c r="I219">
        <v>71.456596000000005</v>
      </c>
      <c r="J219">
        <v>379.63455199999999</v>
      </c>
      <c r="K219" s="3" t="s">
        <v>743</v>
      </c>
      <c r="L219">
        <v>181</v>
      </c>
      <c r="M219" s="1" t="s">
        <v>61</v>
      </c>
      <c r="N219" s="29" t="str">
        <f>LEFT(Table17[[#This Row],[ns1:time2]],10)</f>
        <v>2022-09-14</v>
      </c>
    </row>
    <row r="220" spans="1:14" x14ac:dyDescent="0.35">
      <c r="A220">
        <f t="shared" si="7"/>
        <v>219</v>
      </c>
      <c r="B220">
        <f t="shared" si="6"/>
        <v>66</v>
      </c>
      <c r="C220" s="1" t="s">
        <v>11</v>
      </c>
      <c r="D220">
        <v>1.1000000000000001</v>
      </c>
      <c r="E220" s="2" t="s">
        <v>12</v>
      </c>
      <c r="F220" s="1" t="s">
        <v>13</v>
      </c>
      <c r="G220" s="3" t="s">
        <v>679</v>
      </c>
      <c r="H220">
        <v>33.988841999999998</v>
      </c>
      <c r="I220">
        <v>71.457059999999998</v>
      </c>
      <c r="J220">
        <v>380.37014799999997</v>
      </c>
      <c r="K220" s="3" t="s">
        <v>744</v>
      </c>
      <c r="L220">
        <v>182</v>
      </c>
      <c r="M220" s="1" t="s">
        <v>61</v>
      </c>
      <c r="N220" s="29" t="str">
        <f>LEFT(Table17[[#This Row],[ns1:time2]],10)</f>
        <v>2022-09-14</v>
      </c>
    </row>
    <row r="221" spans="1:14" x14ac:dyDescent="0.35">
      <c r="A221">
        <f t="shared" si="7"/>
        <v>220</v>
      </c>
      <c r="B221">
        <f t="shared" si="7"/>
        <v>67</v>
      </c>
      <c r="C221" s="1" t="s">
        <v>11</v>
      </c>
      <c r="D221">
        <v>1.1000000000000001</v>
      </c>
      <c r="E221" s="2" t="s">
        <v>12</v>
      </c>
      <c r="F221" s="1" t="s">
        <v>13</v>
      </c>
      <c r="G221" s="3" t="s">
        <v>679</v>
      </c>
      <c r="H221">
        <v>33.988844</v>
      </c>
      <c r="I221">
        <v>71.457077999999996</v>
      </c>
      <c r="J221">
        <v>381.61184700000001</v>
      </c>
      <c r="K221" s="3" t="s">
        <v>745</v>
      </c>
      <c r="L221">
        <v>183</v>
      </c>
      <c r="M221" s="1" t="s">
        <v>61</v>
      </c>
      <c r="N221" s="29" t="str">
        <f>LEFT(Table17[[#This Row],[ns1:time2]],10)</f>
        <v>2022-09-14</v>
      </c>
    </row>
    <row r="222" spans="1:14" x14ac:dyDescent="0.35">
      <c r="A222">
        <f t="shared" si="7"/>
        <v>221</v>
      </c>
      <c r="B222">
        <f t="shared" si="7"/>
        <v>68</v>
      </c>
      <c r="C222" s="1" t="s">
        <v>11</v>
      </c>
      <c r="D222">
        <v>1.1000000000000001</v>
      </c>
      <c r="E222" s="2" t="s">
        <v>12</v>
      </c>
      <c r="F222" s="1" t="s">
        <v>13</v>
      </c>
      <c r="G222" s="3" t="s">
        <v>679</v>
      </c>
      <c r="H222">
        <v>33.988849000000002</v>
      </c>
      <c r="I222">
        <v>71.457063000000005</v>
      </c>
      <c r="J222">
        <v>381.60528599999998</v>
      </c>
      <c r="K222" s="3" t="s">
        <v>746</v>
      </c>
      <c r="L222">
        <v>184</v>
      </c>
      <c r="M222" s="1" t="s">
        <v>61</v>
      </c>
      <c r="N222" s="29" t="str">
        <f>LEFT(Table17[[#This Row],[ns1:time2]],10)</f>
        <v>2022-09-14</v>
      </c>
    </row>
    <row r="223" spans="1:14" x14ac:dyDescent="0.35">
      <c r="A223" s="19">
        <f t="shared" si="7"/>
        <v>222</v>
      </c>
      <c r="B223" s="19">
        <v>1</v>
      </c>
      <c r="C223" s="18" t="s">
        <v>604</v>
      </c>
      <c r="D223" s="19">
        <v>1.1000000000000001</v>
      </c>
      <c r="E223" s="20" t="s">
        <v>12</v>
      </c>
      <c r="F223" s="18" t="s">
        <v>13</v>
      </c>
      <c r="G223" s="21" t="s">
        <v>642</v>
      </c>
      <c r="H223" s="19">
        <v>33.969639999999998</v>
      </c>
      <c r="I223" s="19">
        <v>71.473400999999996</v>
      </c>
      <c r="J223" s="19">
        <v>393.32226600000001</v>
      </c>
      <c r="K223" s="21" t="s">
        <v>643</v>
      </c>
      <c r="L223" s="19">
        <v>38</v>
      </c>
      <c r="M223" s="18" t="s">
        <v>61</v>
      </c>
      <c r="N223" s="29" t="str">
        <f>LEFT(Table17[[#This Row],[ns1:time2]],10)</f>
        <v>2022-09-14</v>
      </c>
    </row>
    <row r="224" spans="1:14" x14ac:dyDescent="0.35">
      <c r="A224">
        <f t="shared" si="7"/>
        <v>223</v>
      </c>
      <c r="B224">
        <f>B223+1</f>
        <v>2</v>
      </c>
      <c r="C224" s="1" t="s">
        <v>604</v>
      </c>
      <c r="D224">
        <v>1.1000000000000001</v>
      </c>
      <c r="E224" s="2" t="s">
        <v>12</v>
      </c>
      <c r="F224" s="1" t="s">
        <v>13</v>
      </c>
      <c r="G224" s="3" t="s">
        <v>642</v>
      </c>
      <c r="H224">
        <v>33.969600999999997</v>
      </c>
      <c r="I224">
        <v>71.473372999999995</v>
      </c>
      <c r="J224">
        <v>394.941711</v>
      </c>
      <c r="K224" s="3" t="s">
        <v>644</v>
      </c>
      <c r="L224">
        <v>39</v>
      </c>
      <c r="M224" s="1" t="s">
        <v>61</v>
      </c>
      <c r="N224" s="29" t="str">
        <f>LEFT(Table17[[#This Row],[ns1:time2]],10)</f>
        <v>2022-09-14</v>
      </c>
    </row>
    <row r="225" spans="1:14" x14ac:dyDescent="0.35">
      <c r="A225">
        <f t="shared" si="7"/>
        <v>224</v>
      </c>
      <c r="B225">
        <f t="shared" ref="B225:B258" si="8">B224+1</f>
        <v>3</v>
      </c>
      <c r="C225" s="1" t="s">
        <v>604</v>
      </c>
      <c r="D225">
        <v>1.1000000000000001</v>
      </c>
      <c r="E225" s="2" t="s">
        <v>12</v>
      </c>
      <c r="F225" s="1" t="s">
        <v>13</v>
      </c>
      <c r="G225" s="3" t="s">
        <v>642</v>
      </c>
      <c r="H225">
        <v>33.969704</v>
      </c>
      <c r="I225">
        <v>71.473616000000007</v>
      </c>
      <c r="J225">
        <v>392.00451700000002</v>
      </c>
      <c r="K225" s="3" t="s">
        <v>645</v>
      </c>
      <c r="L225">
        <v>40</v>
      </c>
      <c r="M225" s="1" t="s">
        <v>61</v>
      </c>
      <c r="N225" s="29" t="str">
        <f>LEFT(Table17[[#This Row],[ns1:time2]],10)</f>
        <v>2022-09-14</v>
      </c>
    </row>
    <row r="226" spans="1:14" x14ac:dyDescent="0.35">
      <c r="A226">
        <f t="shared" si="7"/>
        <v>225</v>
      </c>
      <c r="B226">
        <f t="shared" si="8"/>
        <v>4</v>
      </c>
      <c r="C226" s="1" t="s">
        <v>604</v>
      </c>
      <c r="D226">
        <v>1.1000000000000001</v>
      </c>
      <c r="E226" s="2" t="s">
        <v>12</v>
      </c>
      <c r="F226" s="1" t="s">
        <v>13</v>
      </c>
      <c r="G226" s="3" t="s">
        <v>642</v>
      </c>
      <c r="H226">
        <v>33.969565000000003</v>
      </c>
      <c r="I226">
        <v>71.473921000000004</v>
      </c>
      <c r="J226">
        <v>394.54986600000001</v>
      </c>
      <c r="K226" s="3" t="s">
        <v>646</v>
      </c>
      <c r="L226">
        <v>41</v>
      </c>
      <c r="M226" s="1" t="s">
        <v>61</v>
      </c>
      <c r="N226" s="29" t="str">
        <f>LEFT(Table17[[#This Row],[ns1:time2]],10)</f>
        <v>2022-09-14</v>
      </c>
    </row>
    <row r="227" spans="1:14" x14ac:dyDescent="0.35">
      <c r="A227">
        <f t="shared" si="7"/>
        <v>226</v>
      </c>
      <c r="B227">
        <f t="shared" si="8"/>
        <v>5</v>
      </c>
      <c r="C227" s="1" t="s">
        <v>604</v>
      </c>
      <c r="D227">
        <v>1.1000000000000001</v>
      </c>
      <c r="E227" s="2" t="s">
        <v>12</v>
      </c>
      <c r="F227" s="1" t="s">
        <v>13</v>
      </c>
      <c r="G227" s="3" t="s">
        <v>642</v>
      </c>
      <c r="H227">
        <v>33.969479999999997</v>
      </c>
      <c r="I227">
        <v>71.473068999999995</v>
      </c>
      <c r="J227">
        <v>395.74893200000002</v>
      </c>
      <c r="K227" s="3" t="s">
        <v>647</v>
      </c>
      <c r="L227">
        <v>42</v>
      </c>
      <c r="M227" s="1" t="s">
        <v>61</v>
      </c>
      <c r="N227" s="29" t="str">
        <f>LEFT(Table17[[#This Row],[ns1:time2]],10)</f>
        <v>2022-09-14</v>
      </c>
    </row>
    <row r="228" spans="1:14" x14ac:dyDescent="0.35">
      <c r="A228">
        <f t="shared" si="7"/>
        <v>227</v>
      </c>
      <c r="B228">
        <f t="shared" si="8"/>
        <v>6</v>
      </c>
      <c r="C228" s="1" t="s">
        <v>604</v>
      </c>
      <c r="D228">
        <v>1.1000000000000001</v>
      </c>
      <c r="E228" s="2" t="s">
        <v>12</v>
      </c>
      <c r="F228" s="1" t="s">
        <v>13</v>
      </c>
      <c r="G228" s="3" t="s">
        <v>642</v>
      </c>
      <c r="H228">
        <v>33.969456999999998</v>
      </c>
      <c r="I228">
        <v>71.472457000000006</v>
      </c>
      <c r="J228">
        <v>397.10760499999998</v>
      </c>
      <c r="K228" s="3" t="s">
        <v>648</v>
      </c>
      <c r="L228">
        <v>43</v>
      </c>
      <c r="M228" s="1" t="s">
        <v>61</v>
      </c>
      <c r="N228" s="29" t="str">
        <f>LEFT(Table17[[#This Row],[ns1:time2]],10)</f>
        <v>2022-09-14</v>
      </c>
    </row>
    <row r="229" spans="1:14" x14ac:dyDescent="0.35">
      <c r="A229">
        <f t="shared" si="7"/>
        <v>228</v>
      </c>
      <c r="B229">
        <f t="shared" si="8"/>
        <v>7</v>
      </c>
      <c r="C229" s="1" t="s">
        <v>604</v>
      </c>
      <c r="D229">
        <v>1.1000000000000001</v>
      </c>
      <c r="E229" s="2" t="s">
        <v>12</v>
      </c>
      <c r="F229" s="1" t="s">
        <v>13</v>
      </c>
      <c r="G229" s="3" t="s">
        <v>642</v>
      </c>
      <c r="H229">
        <v>33.9694</v>
      </c>
      <c r="I229">
        <v>71.472121000000001</v>
      </c>
      <c r="J229">
        <v>390.81591800000001</v>
      </c>
      <c r="K229" s="3" t="s">
        <v>649</v>
      </c>
      <c r="L229">
        <v>44</v>
      </c>
      <c r="M229" s="1" t="s">
        <v>61</v>
      </c>
      <c r="N229" s="29" t="str">
        <f>LEFT(Table17[[#This Row],[ns1:time2]],10)</f>
        <v>2022-09-14</v>
      </c>
    </row>
    <row r="230" spans="1:14" x14ac:dyDescent="0.35">
      <c r="A230">
        <f t="shared" si="7"/>
        <v>229</v>
      </c>
      <c r="B230">
        <f t="shared" si="8"/>
        <v>8</v>
      </c>
      <c r="C230" s="1" t="s">
        <v>604</v>
      </c>
      <c r="D230">
        <v>1.1000000000000001</v>
      </c>
      <c r="E230" s="2" t="s">
        <v>12</v>
      </c>
      <c r="F230" s="1" t="s">
        <v>13</v>
      </c>
      <c r="G230" s="3" t="s">
        <v>642</v>
      </c>
      <c r="H230">
        <v>33.9694</v>
      </c>
      <c r="I230">
        <v>71.472099</v>
      </c>
      <c r="J230">
        <v>391.80096400000002</v>
      </c>
      <c r="K230" s="3" t="s">
        <v>650</v>
      </c>
      <c r="L230">
        <v>45</v>
      </c>
      <c r="M230" s="1" t="s">
        <v>61</v>
      </c>
      <c r="N230" s="29" t="str">
        <f>LEFT(Table17[[#This Row],[ns1:time2]],10)</f>
        <v>2022-09-14</v>
      </c>
    </row>
    <row r="231" spans="1:14" x14ac:dyDescent="0.35">
      <c r="A231">
        <f t="shared" si="7"/>
        <v>230</v>
      </c>
      <c r="B231">
        <f t="shared" si="8"/>
        <v>9</v>
      </c>
      <c r="C231" s="1" t="s">
        <v>604</v>
      </c>
      <c r="D231">
        <v>1.1000000000000001</v>
      </c>
      <c r="E231" s="2" t="s">
        <v>12</v>
      </c>
      <c r="F231" s="1" t="s">
        <v>13</v>
      </c>
      <c r="G231" s="3" t="s">
        <v>642</v>
      </c>
      <c r="H231">
        <v>33.969403</v>
      </c>
      <c r="I231">
        <v>71.472083999999995</v>
      </c>
      <c r="J231">
        <v>392.88867199999999</v>
      </c>
      <c r="K231" s="3" t="s">
        <v>651</v>
      </c>
      <c r="L231">
        <v>46</v>
      </c>
      <c r="M231" s="1" t="s">
        <v>61</v>
      </c>
      <c r="N231" s="29" t="str">
        <f>LEFT(Table17[[#This Row],[ns1:time2]],10)</f>
        <v>2022-09-14</v>
      </c>
    </row>
    <row r="232" spans="1:14" x14ac:dyDescent="0.35">
      <c r="A232">
        <f t="shared" si="7"/>
        <v>231</v>
      </c>
      <c r="B232">
        <f t="shared" si="8"/>
        <v>10</v>
      </c>
      <c r="C232" s="1" t="s">
        <v>604</v>
      </c>
      <c r="D232">
        <v>1.1000000000000001</v>
      </c>
      <c r="E232" s="2" t="s">
        <v>12</v>
      </c>
      <c r="F232" s="1" t="s">
        <v>13</v>
      </c>
      <c r="G232" s="3" t="s">
        <v>642</v>
      </c>
      <c r="H232">
        <v>33.969399000000003</v>
      </c>
      <c r="I232">
        <v>71.471838000000005</v>
      </c>
      <c r="J232">
        <v>392.47094700000002</v>
      </c>
      <c r="K232" s="3" t="s">
        <v>652</v>
      </c>
      <c r="L232">
        <v>47</v>
      </c>
      <c r="M232" s="1" t="s">
        <v>61</v>
      </c>
      <c r="N232" s="29" t="str">
        <f>LEFT(Table17[[#This Row],[ns1:time2]],10)</f>
        <v>2022-09-14</v>
      </c>
    </row>
    <row r="233" spans="1:14" x14ac:dyDescent="0.35">
      <c r="A233">
        <f t="shared" si="7"/>
        <v>232</v>
      </c>
      <c r="B233">
        <f t="shared" si="8"/>
        <v>11</v>
      </c>
      <c r="C233" s="1" t="s">
        <v>604</v>
      </c>
      <c r="D233">
        <v>1.1000000000000001</v>
      </c>
      <c r="E233" s="2" t="s">
        <v>12</v>
      </c>
      <c r="F233" s="1" t="s">
        <v>13</v>
      </c>
      <c r="G233" s="3" t="s">
        <v>642</v>
      </c>
      <c r="H233">
        <v>33.969138000000001</v>
      </c>
      <c r="I233">
        <v>71.471316000000002</v>
      </c>
      <c r="J233">
        <v>395.666718</v>
      </c>
      <c r="K233" s="3" t="s">
        <v>653</v>
      </c>
      <c r="L233">
        <v>48</v>
      </c>
      <c r="M233" s="1" t="s">
        <v>61</v>
      </c>
      <c r="N233" s="29" t="str">
        <f>LEFT(Table17[[#This Row],[ns1:time2]],10)</f>
        <v>2022-09-14</v>
      </c>
    </row>
    <row r="234" spans="1:14" x14ac:dyDescent="0.35">
      <c r="A234">
        <f t="shared" si="7"/>
        <v>233</v>
      </c>
      <c r="B234">
        <f t="shared" si="8"/>
        <v>12</v>
      </c>
      <c r="C234" s="1" t="s">
        <v>604</v>
      </c>
      <c r="D234">
        <v>1.1000000000000001</v>
      </c>
      <c r="E234" s="2" t="s">
        <v>12</v>
      </c>
      <c r="F234" s="1" t="s">
        <v>13</v>
      </c>
      <c r="G234" s="3" t="s">
        <v>642</v>
      </c>
      <c r="H234">
        <v>33.968846999999997</v>
      </c>
      <c r="I234">
        <v>71.470866000000001</v>
      </c>
      <c r="J234">
        <v>392.16751099999999</v>
      </c>
      <c r="K234" s="3" t="s">
        <v>654</v>
      </c>
      <c r="L234">
        <v>49</v>
      </c>
      <c r="M234" s="1" t="s">
        <v>61</v>
      </c>
      <c r="N234" s="29" t="str">
        <f>LEFT(Table17[[#This Row],[ns1:time2]],10)</f>
        <v>2022-09-14</v>
      </c>
    </row>
    <row r="235" spans="1:14" x14ac:dyDescent="0.35">
      <c r="A235">
        <f t="shared" si="7"/>
        <v>234</v>
      </c>
      <c r="B235">
        <f t="shared" si="8"/>
        <v>13</v>
      </c>
      <c r="C235" s="1" t="s">
        <v>604</v>
      </c>
      <c r="D235">
        <v>1.1000000000000001</v>
      </c>
      <c r="E235" s="2" t="s">
        <v>12</v>
      </c>
      <c r="F235" s="1" t="s">
        <v>13</v>
      </c>
      <c r="G235" s="3" t="s">
        <v>642</v>
      </c>
      <c r="H235">
        <v>33.968617999999999</v>
      </c>
      <c r="I235">
        <v>71.470505000000003</v>
      </c>
      <c r="J235">
        <v>396.21463</v>
      </c>
      <c r="K235" s="3" t="s">
        <v>655</v>
      </c>
      <c r="L235">
        <v>50</v>
      </c>
      <c r="M235" s="1" t="s">
        <v>61</v>
      </c>
      <c r="N235" s="29" t="str">
        <f>LEFT(Table17[[#This Row],[ns1:time2]],10)</f>
        <v>2022-09-14</v>
      </c>
    </row>
    <row r="236" spans="1:14" x14ac:dyDescent="0.35">
      <c r="A236">
        <f t="shared" si="7"/>
        <v>235</v>
      </c>
      <c r="B236">
        <f t="shared" si="8"/>
        <v>14</v>
      </c>
      <c r="C236" s="1" t="s">
        <v>604</v>
      </c>
      <c r="D236">
        <v>1.1000000000000001</v>
      </c>
      <c r="E236" s="2" t="s">
        <v>12</v>
      </c>
      <c r="F236" s="1" t="s">
        <v>13</v>
      </c>
      <c r="G236" s="3" t="s">
        <v>642</v>
      </c>
      <c r="H236">
        <v>33.968592000000001</v>
      </c>
      <c r="I236">
        <v>71.470236</v>
      </c>
      <c r="J236">
        <v>398.317993</v>
      </c>
      <c r="K236" s="3" t="s">
        <v>656</v>
      </c>
      <c r="L236">
        <v>51</v>
      </c>
      <c r="M236" s="1" t="s">
        <v>61</v>
      </c>
      <c r="N236" s="29" t="str">
        <f>LEFT(Table17[[#This Row],[ns1:time2]],10)</f>
        <v>2022-09-14</v>
      </c>
    </row>
    <row r="237" spans="1:14" x14ac:dyDescent="0.35">
      <c r="A237">
        <f t="shared" si="7"/>
        <v>236</v>
      </c>
      <c r="B237">
        <f t="shared" si="8"/>
        <v>15</v>
      </c>
      <c r="C237" s="1" t="s">
        <v>604</v>
      </c>
      <c r="D237">
        <v>1.1000000000000001</v>
      </c>
      <c r="E237" s="2" t="s">
        <v>12</v>
      </c>
      <c r="F237" s="1" t="s">
        <v>13</v>
      </c>
      <c r="G237" s="3" t="s">
        <v>642</v>
      </c>
      <c r="H237">
        <v>33.968319999999999</v>
      </c>
      <c r="I237">
        <v>71.469914000000003</v>
      </c>
      <c r="J237">
        <v>403.90310699999998</v>
      </c>
      <c r="K237" s="3" t="s">
        <v>657</v>
      </c>
      <c r="L237">
        <v>52</v>
      </c>
      <c r="M237" s="1" t="s">
        <v>61</v>
      </c>
      <c r="N237" s="29" t="str">
        <f>LEFT(Table17[[#This Row],[ns1:time2]],10)</f>
        <v>2022-09-14</v>
      </c>
    </row>
    <row r="238" spans="1:14" x14ac:dyDescent="0.35">
      <c r="A238">
        <f t="shared" si="7"/>
        <v>237</v>
      </c>
      <c r="B238">
        <f t="shared" si="8"/>
        <v>16</v>
      </c>
      <c r="C238" s="1" t="s">
        <v>604</v>
      </c>
      <c r="D238">
        <v>1.1000000000000001</v>
      </c>
      <c r="E238" s="2" t="s">
        <v>12</v>
      </c>
      <c r="F238" s="1" t="s">
        <v>13</v>
      </c>
      <c r="G238" s="3" t="s">
        <v>642</v>
      </c>
      <c r="H238">
        <v>33.966670999999998</v>
      </c>
      <c r="I238">
        <v>71.466740000000001</v>
      </c>
      <c r="J238">
        <v>403.10385100000002</v>
      </c>
      <c r="K238" s="3" t="s">
        <v>658</v>
      </c>
      <c r="L238">
        <v>53</v>
      </c>
      <c r="M238" s="1" t="s">
        <v>61</v>
      </c>
      <c r="N238" s="29" t="str">
        <f>LEFT(Table17[[#This Row],[ns1:time2]],10)</f>
        <v>2022-09-14</v>
      </c>
    </row>
    <row r="239" spans="1:14" x14ac:dyDescent="0.35">
      <c r="A239">
        <f t="shared" si="7"/>
        <v>238</v>
      </c>
      <c r="B239">
        <f t="shared" si="8"/>
        <v>17</v>
      </c>
      <c r="C239" s="1" t="s">
        <v>604</v>
      </c>
      <c r="D239">
        <v>1.1000000000000001</v>
      </c>
      <c r="E239" s="2" t="s">
        <v>12</v>
      </c>
      <c r="F239" s="1" t="s">
        <v>13</v>
      </c>
      <c r="G239" s="3" t="s">
        <v>642</v>
      </c>
      <c r="H239">
        <v>33.968843</v>
      </c>
      <c r="I239">
        <v>71.464806999999993</v>
      </c>
      <c r="J239">
        <v>397.28582799999998</v>
      </c>
      <c r="K239" s="3" t="s">
        <v>659</v>
      </c>
      <c r="L239">
        <v>54</v>
      </c>
      <c r="M239" s="1" t="s">
        <v>61</v>
      </c>
      <c r="N239" s="29" t="str">
        <f>LEFT(Table17[[#This Row],[ns1:time2]],10)</f>
        <v>2022-09-14</v>
      </c>
    </row>
    <row r="240" spans="1:14" x14ac:dyDescent="0.35">
      <c r="A240">
        <f t="shared" si="7"/>
        <v>239</v>
      </c>
      <c r="B240">
        <f t="shared" si="8"/>
        <v>18</v>
      </c>
      <c r="C240" s="1" t="s">
        <v>604</v>
      </c>
      <c r="D240">
        <v>1.1000000000000001</v>
      </c>
      <c r="E240" s="2" t="s">
        <v>12</v>
      </c>
      <c r="F240" s="1" t="s">
        <v>13</v>
      </c>
      <c r="G240" s="3" t="s">
        <v>642</v>
      </c>
      <c r="H240">
        <v>33.968871999999998</v>
      </c>
      <c r="I240">
        <v>71.465269000000006</v>
      </c>
      <c r="J240">
        <v>397.63516199999998</v>
      </c>
      <c r="K240" s="3" t="s">
        <v>660</v>
      </c>
      <c r="L240">
        <v>55</v>
      </c>
      <c r="M240" s="1" t="s">
        <v>61</v>
      </c>
      <c r="N240" s="29" t="str">
        <f>LEFT(Table17[[#This Row],[ns1:time2]],10)</f>
        <v>2022-09-14</v>
      </c>
    </row>
    <row r="241" spans="1:14" x14ac:dyDescent="0.35">
      <c r="A241">
        <f t="shared" si="7"/>
        <v>240</v>
      </c>
      <c r="B241">
        <f t="shared" si="8"/>
        <v>19</v>
      </c>
      <c r="C241" s="1" t="s">
        <v>604</v>
      </c>
      <c r="D241">
        <v>1.1000000000000001</v>
      </c>
      <c r="E241" s="2" t="s">
        <v>12</v>
      </c>
      <c r="F241" s="1" t="s">
        <v>13</v>
      </c>
      <c r="G241" s="3" t="s">
        <v>642</v>
      </c>
      <c r="H241">
        <v>33.968867000000003</v>
      </c>
      <c r="I241">
        <v>71.465342000000007</v>
      </c>
      <c r="J241">
        <v>401.536743</v>
      </c>
      <c r="K241" s="3" t="s">
        <v>661</v>
      </c>
      <c r="L241">
        <v>56</v>
      </c>
      <c r="M241" s="1" t="s">
        <v>61</v>
      </c>
      <c r="N241" s="29" t="str">
        <f>LEFT(Table17[[#This Row],[ns1:time2]],10)</f>
        <v>2022-09-14</v>
      </c>
    </row>
    <row r="242" spans="1:14" x14ac:dyDescent="0.35">
      <c r="A242">
        <f t="shared" si="7"/>
        <v>241</v>
      </c>
      <c r="B242">
        <f t="shared" si="8"/>
        <v>20</v>
      </c>
      <c r="C242" s="1" t="s">
        <v>604</v>
      </c>
      <c r="D242">
        <v>1.1000000000000001</v>
      </c>
      <c r="E242" s="2" t="s">
        <v>12</v>
      </c>
      <c r="F242" s="1" t="s">
        <v>13</v>
      </c>
      <c r="G242" s="3" t="s">
        <v>642</v>
      </c>
      <c r="H242">
        <v>33.968845000000002</v>
      </c>
      <c r="I242">
        <v>71.465368999999995</v>
      </c>
      <c r="J242">
        <v>401.246399</v>
      </c>
      <c r="K242" s="3" t="s">
        <v>662</v>
      </c>
      <c r="L242">
        <v>57</v>
      </c>
      <c r="M242" s="1" t="s">
        <v>61</v>
      </c>
      <c r="N242" s="29" t="str">
        <f>LEFT(Table17[[#This Row],[ns1:time2]],10)</f>
        <v>2022-09-14</v>
      </c>
    </row>
    <row r="243" spans="1:14" x14ac:dyDescent="0.35">
      <c r="A243">
        <f t="shared" si="7"/>
        <v>242</v>
      </c>
      <c r="B243">
        <f t="shared" si="8"/>
        <v>21</v>
      </c>
      <c r="C243" s="1" t="s">
        <v>604</v>
      </c>
      <c r="D243">
        <v>1.1000000000000001</v>
      </c>
      <c r="E243" s="2" t="s">
        <v>12</v>
      </c>
      <c r="F243" s="1" t="s">
        <v>13</v>
      </c>
      <c r="G243" s="3" t="s">
        <v>642</v>
      </c>
      <c r="H243">
        <v>33.968836000000003</v>
      </c>
      <c r="I243">
        <v>71.465380999999994</v>
      </c>
      <c r="J243">
        <v>399.48825099999999</v>
      </c>
      <c r="K243" s="3" t="s">
        <v>663</v>
      </c>
      <c r="L243">
        <v>58</v>
      </c>
      <c r="M243" s="1" t="s">
        <v>61</v>
      </c>
      <c r="N243" s="29" t="str">
        <f>LEFT(Table17[[#This Row],[ns1:time2]],10)</f>
        <v>2022-09-14</v>
      </c>
    </row>
    <row r="244" spans="1:14" x14ac:dyDescent="0.35">
      <c r="A244">
        <f t="shared" si="7"/>
        <v>243</v>
      </c>
      <c r="B244">
        <f t="shared" si="8"/>
        <v>22</v>
      </c>
      <c r="C244" s="1" t="s">
        <v>604</v>
      </c>
      <c r="D244">
        <v>1.1000000000000001</v>
      </c>
      <c r="E244" s="2" t="s">
        <v>12</v>
      </c>
      <c r="F244" s="1" t="s">
        <v>13</v>
      </c>
      <c r="G244" s="3" t="s">
        <v>642</v>
      </c>
      <c r="H244">
        <v>33.969186000000001</v>
      </c>
      <c r="I244">
        <v>71.465294999999998</v>
      </c>
      <c r="J244">
        <v>402.42843599999998</v>
      </c>
      <c r="K244" s="3" t="s">
        <v>664</v>
      </c>
      <c r="L244">
        <v>59</v>
      </c>
      <c r="M244" s="1" t="s">
        <v>61</v>
      </c>
      <c r="N244" s="29" t="str">
        <f>LEFT(Table17[[#This Row],[ns1:time2]],10)</f>
        <v>2022-09-14</v>
      </c>
    </row>
    <row r="245" spans="1:14" x14ac:dyDescent="0.35">
      <c r="A245">
        <f t="shared" si="7"/>
        <v>244</v>
      </c>
      <c r="B245">
        <f t="shared" si="8"/>
        <v>23</v>
      </c>
      <c r="C245" s="1" t="s">
        <v>604</v>
      </c>
      <c r="D245">
        <v>1.1000000000000001</v>
      </c>
      <c r="E245" s="2" t="s">
        <v>12</v>
      </c>
      <c r="F245" s="1" t="s">
        <v>13</v>
      </c>
      <c r="G245" s="3" t="s">
        <v>642</v>
      </c>
      <c r="H245">
        <v>33.969363999999999</v>
      </c>
      <c r="I245">
        <v>71.465214000000003</v>
      </c>
      <c r="J245">
        <v>400.06320199999999</v>
      </c>
      <c r="K245" s="3" t="s">
        <v>665</v>
      </c>
      <c r="L245">
        <v>60</v>
      </c>
      <c r="M245" s="1" t="s">
        <v>61</v>
      </c>
      <c r="N245" s="29" t="str">
        <f>LEFT(Table17[[#This Row],[ns1:time2]],10)</f>
        <v>2022-09-14</v>
      </c>
    </row>
    <row r="246" spans="1:14" x14ac:dyDescent="0.35">
      <c r="A246">
        <f t="shared" si="7"/>
        <v>245</v>
      </c>
      <c r="B246">
        <f t="shared" si="8"/>
        <v>24</v>
      </c>
      <c r="C246" s="1" t="s">
        <v>604</v>
      </c>
      <c r="D246">
        <v>1.1000000000000001</v>
      </c>
      <c r="E246" s="2" t="s">
        <v>12</v>
      </c>
      <c r="F246" s="1" t="s">
        <v>13</v>
      </c>
      <c r="G246" s="3" t="s">
        <v>642</v>
      </c>
      <c r="H246">
        <v>33.969430000000003</v>
      </c>
      <c r="I246">
        <v>71.465647000000004</v>
      </c>
      <c r="J246">
        <v>395.14798000000002</v>
      </c>
      <c r="K246" s="3" t="s">
        <v>666</v>
      </c>
      <c r="L246">
        <v>61</v>
      </c>
      <c r="M246" s="1" t="s">
        <v>61</v>
      </c>
      <c r="N246" s="29" t="str">
        <f>LEFT(Table17[[#This Row],[ns1:time2]],10)</f>
        <v>2022-09-14</v>
      </c>
    </row>
    <row r="247" spans="1:14" x14ac:dyDescent="0.35">
      <c r="A247">
        <f t="shared" si="7"/>
        <v>246</v>
      </c>
      <c r="B247">
        <f t="shared" si="8"/>
        <v>25</v>
      </c>
      <c r="C247" s="1" t="s">
        <v>604</v>
      </c>
      <c r="D247">
        <v>1.1000000000000001</v>
      </c>
      <c r="E247" s="2" t="s">
        <v>12</v>
      </c>
      <c r="F247" s="1" t="s">
        <v>13</v>
      </c>
      <c r="G247" s="3" t="s">
        <v>642</v>
      </c>
      <c r="H247">
        <v>33.969707999999997</v>
      </c>
      <c r="I247">
        <v>71.465642000000003</v>
      </c>
      <c r="J247">
        <v>401.06585699999999</v>
      </c>
      <c r="K247" s="3" t="s">
        <v>667</v>
      </c>
      <c r="L247">
        <v>62</v>
      </c>
      <c r="M247" s="1" t="s">
        <v>61</v>
      </c>
      <c r="N247" s="29" t="str">
        <f>LEFT(Table17[[#This Row],[ns1:time2]],10)</f>
        <v>2022-09-14</v>
      </c>
    </row>
    <row r="248" spans="1:14" x14ac:dyDescent="0.35">
      <c r="A248">
        <f t="shared" si="7"/>
        <v>247</v>
      </c>
      <c r="B248">
        <f t="shared" si="8"/>
        <v>26</v>
      </c>
      <c r="C248" s="1" t="s">
        <v>604</v>
      </c>
      <c r="D248">
        <v>1.1000000000000001</v>
      </c>
      <c r="E248" s="2" t="s">
        <v>12</v>
      </c>
      <c r="F248" s="1" t="s">
        <v>13</v>
      </c>
      <c r="G248" s="3" t="s">
        <v>642</v>
      </c>
      <c r="H248">
        <v>33.969765000000002</v>
      </c>
      <c r="I248">
        <v>71.465480999999997</v>
      </c>
      <c r="J248">
        <v>398.11956800000002</v>
      </c>
      <c r="K248" s="3" t="s">
        <v>668</v>
      </c>
      <c r="L248">
        <v>63</v>
      </c>
      <c r="M248" s="1" t="s">
        <v>61</v>
      </c>
      <c r="N248" s="29" t="str">
        <f>LEFT(Table17[[#This Row],[ns1:time2]],10)</f>
        <v>2022-09-14</v>
      </c>
    </row>
    <row r="249" spans="1:14" x14ac:dyDescent="0.35">
      <c r="A249">
        <f t="shared" si="7"/>
        <v>248</v>
      </c>
      <c r="B249">
        <f t="shared" si="8"/>
        <v>27</v>
      </c>
      <c r="C249" s="1" t="s">
        <v>604</v>
      </c>
      <c r="D249">
        <v>1.1000000000000001</v>
      </c>
      <c r="E249" s="2" t="s">
        <v>12</v>
      </c>
      <c r="F249" s="1" t="s">
        <v>13</v>
      </c>
      <c r="G249" s="3" t="s">
        <v>642</v>
      </c>
      <c r="H249">
        <v>33.969876999999997</v>
      </c>
      <c r="I249">
        <v>71.465463</v>
      </c>
      <c r="J249">
        <v>393.69671599999998</v>
      </c>
      <c r="K249" s="3" t="s">
        <v>669</v>
      </c>
      <c r="L249">
        <v>64</v>
      </c>
      <c r="M249" s="1" t="s">
        <v>61</v>
      </c>
      <c r="N249" s="29" t="str">
        <f>LEFT(Table17[[#This Row],[ns1:time2]],10)</f>
        <v>2022-09-14</v>
      </c>
    </row>
    <row r="250" spans="1:14" x14ac:dyDescent="0.35">
      <c r="A250">
        <f t="shared" si="7"/>
        <v>249</v>
      </c>
      <c r="B250">
        <f t="shared" si="8"/>
        <v>28</v>
      </c>
      <c r="C250" s="1" t="s">
        <v>604</v>
      </c>
      <c r="D250">
        <v>1.1000000000000001</v>
      </c>
      <c r="E250" s="2" t="s">
        <v>12</v>
      </c>
      <c r="F250" s="1" t="s">
        <v>13</v>
      </c>
      <c r="G250" s="3" t="s">
        <v>642</v>
      </c>
      <c r="H250">
        <v>33.970196000000001</v>
      </c>
      <c r="I250">
        <v>71.465342000000007</v>
      </c>
      <c r="J250">
        <v>389.32409699999999</v>
      </c>
      <c r="K250" s="3" t="s">
        <v>670</v>
      </c>
      <c r="L250">
        <v>65</v>
      </c>
      <c r="M250" s="1" t="s">
        <v>61</v>
      </c>
      <c r="N250" s="29" t="str">
        <f>LEFT(Table17[[#This Row],[ns1:time2]],10)</f>
        <v>2022-09-14</v>
      </c>
    </row>
    <row r="251" spans="1:14" x14ac:dyDescent="0.35">
      <c r="A251">
        <f t="shared" si="7"/>
        <v>250</v>
      </c>
      <c r="B251">
        <f t="shared" si="8"/>
        <v>29</v>
      </c>
      <c r="C251" s="1" t="s">
        <v>604</v>
      </c>
      <c r="D251">
        <v>1.1000000000000001</v>
      </c>
      <c r="E251" s="2" t="s">
        <v>12</v>
      </c>
      <c r="F251" s="1" t="s">
        <v>13</v>
      </c>
      <c r="G251" s="3" t="s">
        <v>642</v>
      </c>
      <c r="H251">
        <v>33.970413999999998</v>
      </c>
      <c r="I251">
        <v>71.465306999999996</v>
      </c>
      <c r="J251">
        <v>398.28924599999999</v>
      </c>
      <c r="K251" s="3" t="s">
        <v>671</v>
      </c>
      <c r="L251">
        <v>66</v>
      </c>
      <c r="M251" s="1" t="s">
        <v>61</v>
      </c>
      <c r="N251" s="29" t="str">
        <f>LEFT(Table17[[#This Row],[ns1:time2]],10)</f>
        <v>2022-09-14</v>
      </c>
    </row>
    <row r="252" spans="1:14" x14ac:dyDescent="0.35">
      <c r="A252">
        <f t="shared" si="7"/>
        <v>251</v>
      </c>
      <c r="B252">
        <f t="shared" si="8"/>
        <v>30</v>
      </c>
      <c r="C252" s="1" t="s">
        <v>604</v>
      </c>
      <c r="D252">
        <v>1.1000000000000001</v>
      </c>
      <c r="E252" s="2" t="s">
        <v>12</v>
      </c>
      <c r="F252" s="1" t="s">
        <v>13</v>
      </c>
      <c r="G252" s="3" t="s">
        <v>642</v>
      </c>
      <c r="H252">
        <v>33.970585999999997</v>
      </c>
      <c r="I252">
        <v>71.465188999999995</v>
      </c>
      <c r="J252">
        <v>397.88711499999999</v>
      </c>
      <c r="K252" s="3" t="s">
        <v>672</v>
      </c>
      <c r="L252">
        <v>67</v>
      </c>
      <c r="M252" s="1" t="s">
        <v>61</v>
      </c>
      <c r="N252" s="29" t="str">
        <f>LEFT(Table17[[#This Row],[ns1:time2]],10)</f>
        <v>2022-09-14</v>
      </c>
    </row>
    <row r="253" spans="1:14" x14ac:dyDescent="0.35">
      <c r="A253">
        <f t="shared" si="7"/>
        <v>252</v>
      </c>
      <c r="B253">
        <f t="shared" si="8"/>
        <v>31</v>
      </c>
      <c r="C253" s="1" t="s">
        <v>604</v>
      </c>
      <c r="D253">
        <v>1.1000000000000001</v>
      </c>
      <c r="E253" s="2" t="s">
        <v>12</v>
      </c>
      <c r="F253" s="1" t="s">
        <v>13</v>
      </c>
      <c r="G253" s="3" t="s">
        <v>642</v>
      </c>
      <c r="H253">
        <v>33.969259999999998</v>
      </c>
      <c r="I253">
        <v>71.464939999999999</v>
      </c>
      <c r="J253">
        <v>403.28140300000001</v>
      </c>
      <c r="K253" s="3" t="s">
        <v>673</v>
      </c>
      <c r="L253">
        <v>68</v>
      </c>
      <c r="M253" s="1" t="s">
        <v>61</v>
      </c>
      <c r="N253" s="29" t="str">
        <f>LEFT(Table17[[#This Row],[ns1:time2]],10)</f>
        <v>2022-09-14</v>
      </c>
    </row>
    <row r="254" spans="1:14" x14ac:dyDescent="0.35">
      <c r="A254">
        <f t="shared" si="7"/>
        <v>253</v>
      </c>
      <c r="B254">
        <f t="shared" si="8"/>
        <v>32</v>
      </c>
      <c r="C254" s="1" t="s">
        <v>604</v>
      </c>
      <c r="D254">
        <v>1.1000000000000001</v>
      </c>
      <c r="E254" s="2" t="s">
        <v>12</v>
      </c>
      <c r="F254" s="1" t="s">
        <v>13</v>
      </c>
      <c r="G254" s="3" t="s">
        <v>642</v>
      </c>
      <c r="H254">
        <v>33.969456000000001</v>
      </c>
      <c r="I254">
        <v>71.464825000000005</v>
      </c>
      <c r="J254">
        <v>402.08734099999998</v>
      </c>
      <c r="K254" s="3" t="s">
        <v>674</v>
      </c>
      <c r="L254">
        <v>69</v>
      </c>
      <c r="M254" s="1" t="s">
        <v>61</v>
      </c>
      <c r="N254" s="29" t="str">
        <f>LEFT(Table17[[#This Row],[ns1:time2]],10)</f>
        <v>2022-09-14</v>
      </c>
    </row>
    <row r="255" spans="1:14" x14ac:dyDescent="0.35">
      <c r="A255">
        <f t="shared" si="7"/>
        <v>254</v>
      </c>
      <c r="B255">
        <f t="shared" si="8"/>
        <v>33</v>
      </c>
      <c r="C255" s="1" t="s">
        <v>604</v>
      </c>
      <c r="D255">
        <v>1.1000000000000001</v>
      </c>
      <c r="E255" s="2" t="s">
        <v>12</v>
      </c>
      <c r="F255" s="1" t="s">
        <v>13</v>
      </c>
      <c r="G255" s="3" t="s">
        <v>642</v>
      </c>
      <c r="H255">
        <v>33.969363999999999</v>
      </c>
      <c r="I255">
        <v>71.464473999999996</v>
      </c>
      <c r="J255">
        <v>401.99615499999999</v>
      </c>
      <c r="K255" s="3" t="s">
        <v>675</v>
      </c>
      <c r="L255">
        <v>70</v>
      </c>
      <c r="M255" s="1" t="s">
        <v>61</v>
      </c>
      <c r="N255" s="29" t="str">
        <f>LEFT(Table17[[#This Row],[ns1:time2]],10)</f>
        <v>2022-09-14</v>
      </c>
    </row>
    <row r="256" spans="1:14" x14ac:dyDescent="0.35">
      <c r="A256">
        <f t="shared" si="7"/>
        <v>255</v>
      </c>
      <c r="B256">
        <f t="shared" si="8"/>
        <v>34</v>
      </c>
      <c r="C256" s="1" t="s">
        <v>604</v>
      </c>
      <c r="D256">
        <v>1.1000000000000001</v>
      </c>
      <c r="E256" s="2" t="s">
        <v>12</v>
      </c>
      <c r="F256" s="1" t="s">
        <v>13</v>
      </c>
      <c r="G256" s="3" t="s">
        <v>642</v>
      </c>
      <c r="H256">
        <v>33.969903000000002</v>
      </c>
      <c r="I256">
        <v>71.464788999999996</v>
      </c>
      <c r="J256">
        <v>410.05581699999999</v>
      </c>
      <c r="K256" s="3" t="s">
        <v>676</v>
      </c>
      <c r="L256">
        <v>71</v>
      </c>
      <c r="M256" s="1" t="s">
        <v>61</v>
      </c>
      <c r="N256" s="29" t="str">
        <f>LEFT(Table17[[#This Row],[ns1:time2]],10)</f>
        <v>2022-09-14</v>
      </c>
    </row>
    <row r="257" spans="1:14" x14ac:dyDescent="0.35">
      <c r="A257">
        <f t="shared" si="7"/>
        <v>256</v>
      </c>
      <c r="B257">
        <f t="shared" si="8"/>
        <v>35</v>
      </c>
      <c r="C257" s="1" t="s">
        <v>604</v>
      </c>
      <c r="D257">
        <v>1.1000000000000001</v>
      </c>
      <c r="E257" s="2" t="s">
        <v>12</v>
      </c>
      <c r="F257" s="1" t="s">
        <v>13</v>
      </c>
      <c r="G257" s="3" t="s">
        <v>642</v>
      </c>
      <c r="H257">
        <v>33.970305000000003</v>
      </c>
      <c r="I257">
        <v>71.46463</v>
      </c>
      <c r="J257">
        <v>405.86593599999998</v>
      </c>
      <c r="K257" s="3" t="s">
        <v>677</v>
      </c>
      <c r="L257">
        <v>72</v>
      </c>
      <c r="M257" s="1" t="s">
        <v>61</v>
      </c>
      <c r="N257" s="29" t="str">
        <f>LEFT(Table17[[#This Row],[ns1:time2]],10)</f>
        <v>2022-09-14</v>
      </c>
    </row>
    <row r="258" spans="1:14" x14ac:dyDescent="0.35">
      <c r="A258">
        <f t="shared" si="7"/>
        <v>257</v>
      </c>
      <c r="B258">
        <f t="shared" si="8"/>
        <v>36</v>
      </c>
      <c r="C258" s="1" t="s">
        <v>604</v>
      </c>
      <c r="D258">
        <v>1.1000000000000001</v>
      </c>
      <c r="E258" s="2" t="s">
        <v>12</v>
      </c>
      <c r="F258" s="1" t="s">
        <v>13</v>
      </c>
      <c r="G258" s="3" t="s">
        <v>642</v>
      </c>
      <c r="H258">
        <v>33.970633999999997</v>
      </c>
      <c r="I258">
        <v>71.464546999999996</v>
      </c>
      <c r="J258">
        <v>398.36615</v>
      </c>
      <c r="K258" s="3" t="s">
        <v>678</v>
      </c>
      <c r="L258">
        <v>73</v>
      </c>
      <c r="M258" s="1" t="s">
        <v>61</v>
      </c>
      <c r="N258" s="29" t="str">
        <f>LEFT(Table17[[#This Row],[ns1:time2]],10)</f>
        <v>2022-09-14</v>
      </c>
    </row>
    <row r="259" spans="1:14" x14ac:dyDescent="0.35">
      <c r="A259" s="19">
        <f t="shared" si="7"/>
        <v>258</v>
      </c>
      <c r="B259" s="19">
        <v>1</v>
      </c>
      <c r="C259" s="18" t="s">
        <v>11</v>
      </c>
      <c r="D259" s="19">
        <v>1.1000000000000001</v>
      </c>
      <c r="E259" s="20" t="s">
        <v>12</v>
      </c>
      <c r="F259" s="18" t="s">
        <v>13</v>
      </c>
      <c r="G259" s="21" t="s">
        <v>417</v>
      </c>
      <c r="H259" s="19">
        <v>33.988632000000003</v>
      </c>
      <c r="I259" s="19">
        <v>71.456193999999996</v>
      </c>
      <c r="J259" s="19">
        <v>405.00646999999998</v>
      </c>
      <c r="K259" s="21" t="s">
        <v>417</v>
      </c>
      <c r="L259" s="19">
        <v>185</v>
      </c>
      <c r="M259" s="18" t="s">
        <v>61</v>
      </c>
      <c r="N259" s="29" t="str">
        <f>LEFT(Table17[[#This Row],[ns1:time2]],10)</f>
        <v>2022-09-15</v>
      </c>
    </row>
    <row r="260" spans="1:14" x14ac:dyDescent="0.35">
      <c r="A260">
        <f t="shared" ref="A260:A323" si="9">A259+1</f>
        <v>259</v>
      </c>
      <c r="B260">
        <f>B259+1</f>
        <v>2</v>
      </c>
      <c r="C260" s="1" t="s">
        <v>11</v>
      </c>
      <c r="D260">
        <v>1.1000000000000001</v>
      </c>
      <c r="E260" s="2" t="s">
        <v>12</v>
      </c>
      <c r="F260" s="1" t="s">
        <v>13</v>
      </c>
      <c r="G260" s="3" t="s">
        <v>417</v>
      </c>
      <c r="H260">
        <v>33.988619</v>
      </c>
      <c r="I260">
        <v>71.456198999999998</v>
      </c>
      <c r="J260">
        <v>404.83767699999999</v>
      </c>
      <c r="K260" s="3" t="s">
        <v>418</v>
      </c>
      <c r="L260">
        <v>186</v>
      </c>
      <c r="M260" s="1" t="s">
        <v>61</v>
      </c>
      <c r="N260" s="29" t="str">
        <f>LEFT(Table17[[#This Row],[ns1:time2]],10)</f>
        <v>2022-09-15</v>
      </c>
    </row>
    <row r="261" spans="1:14" x14ac:dyDescent="0.35">
      <c r="A261">
        <f t="shared" si="9"/>
        <v>260</v>
      </c>
      <c r="B261">
        <f t="shared" ref="B261:B320" si="10">B260+1</f>
        <v>3</v>
      </c>
      <c r="C261" s="1" t="s">
        <v>11</v>
      </c>
      <c r="D261">
        <v>1.1000000000000001</v>
      </c>
      <c r="E261" s="2" t="s">
        <v>12</v>
      </c>
      <c r="F261" s="1" t="s">
        <v>13</v>
      </c>
      <c r="G261" s="3" t="s">
        <v>417</v>
      </c>
      <c r="H261">
        <v>33.988605</v>
      </c>
      <c r="I261">
        <v>71.456185000000005</v>
      </c>
      <c r="J261">
        <v>404.80590799999999</v>
      </c>
      <c r="K261" s="3" t="s">
        <v>419</v>
      </c>
      <c r="L261">
        <v>187</v>
      </c>
      <c r="M261" s="1" t="s">
        <v>61</v>
      </c>
      <c r="N261" s="29" t="str">
        <f>LEFT(Table17[[#This Row],[ns1:time2]],10)</f>
        <v>2022-09-15</v>
      </c>
    </row>
    <row r="262" spans="1:14" x14ac:dyDescent="0.35">
      <c r="A262">
        <f t="shared" si="9"/>
        <v>261</v>
      </c>
      <c r="B262">
        <f t="shared" si="10"/>
        <v>4</v>
      </c>
      <c r="C262" s="1" t="s">
        <v>11</v>
      </c>
      <c r="D262">
        <v>1.1000000000000001</v>
      </c>
      <c r="E262" s="2" t="s">
        <v>12</v>
      </c>
      <c r="F262" s="1" t="s">
        <v>13</v>
      </c>
      <c r="G262" s="3" t="s">
        <v>417</v>
      </c>
      <c r="H262">
        <v>33.988785999999998</v>
      </c>
      <c r="I262">
        <v>71.455781000000002</v>
      </c>
      <c r="J262">
        <v>399.7276</v>
      </c>
      <c r="K262" s="3" t="s">
        <v>420</v>
      </c>
      <c r="L262">
        <v>188</v>
      </c>
      <c r="M262" s="1" t="s">
        <v>61</v>
      </c>
      <c r="N262" s="29" t="str">
        <f>LEFT(Table17[[#This Row],[ns1:time2]],10)</f>
        <v>2022-09-15</v>
      </c>
    </row>
    <row r="263" spans="1:14" x14ac:dyDescent="0.35">
      <c r="A263">
        <f t="shared" si="9"/>
        <v>262</v>
      </c>
      <c r="B263">
        <f t="shared" si="10"/>
        <v>5</v>
      </c>
      <c r="C263" s="1" t="s">
        <v>11</v>
      </c>
      <c r="D263">
        <v>1.1000000000000001</v>
      </c>
      <c r="E263" s="2" t="s">
        <v>12</v>
      </c>
      <c r="F263" s="1" t="s">
        <v>13</v>
      </c>
      <c r="G263" s="3" t="s">
        <v>417</v>
      </c>
      <c r="H263">
        <v>33.988973999999999</v>
      </c>
      <c r="I263">
        <v>71.455438000000001</v>
      </c>
      <c r="J263">
        <v>400.40655500000003</v>
      </c>
      <c r="K263" s="3" t="s">
        <v>421</v>
      </c>
      <c r="L263">
        <v>189</v>
      </c>
      <c r="M263" s="1" t="s">
        <v>61</v>
      </c>
      <c r="N263" s="29" t="str">
        <f>LEFT(Table17[[#This Row],[ns1:time2]],10)</f>
        <v>2022-09-15</v>
      </c>
    </row>
    <row r="264" spans="1:14" x14ac:dyDescent="0.35">
      <c r="A264">
        <f t="shared" si="9"/>
        <v>263</v>
      </c>
      <c r="B264">
        <f t="shared" si="10"/>
        <v>6</v>
      </c>
      <c r="C264" s="1" t="s">
        <v>11</v>
      </c>
      <c r="D264">
        <v>1.1000000000000001</v>
      </c>
      <c r="E264" s="2" t="s">
        <v>12</v>
      </c>
      <c r="F264" s="1" t="s">
        <v>13</v>
      </c>
      <c r="G264" s="3" t="s">
        <v>417</v>
      </c>
      <c r="H264">
        <v>33.989248000000003</v>
      </c>
      <c r="I264">
        <v>71.455006999999995</v>
      </c>
      <c r="J264">
        <v>398.49856599999998</v>
      </c>
      <c r="K264" s="3" t="s">
        <v>422</v>
      </c>
      <c r="L264">
        <v>190</v>
      </c>
      <c r="M264" s="1" t="s">
        <v>61</v>
      </c>
      <c r="N264" s="29" t="str">
        <f>LEFT(Table17[[#This Row],[ns1:time2]],10)</f>
        <v>2022-09-15</v>
      </c>
    </row>
    <row r="265" spans="1:14" x14ac:dyDescent="0.35">
      <c r="A265">
        <f t="shared" si="9"/>
        <v>264</v>
      </c>
      <c r="B265">
        <f t="shared" si="10"/>
        <v>7</v>
      </c>
      <c r="C265" s="1" t="s">
        <v>11</v>
      </c>
      <c r="D265">
        <v>1.1000000000000001</v>
      </c>
      <c r="E265" s="2" t="s">
        <v>12</v>
      </c>
      <c r="F265" s="1" t="s">
        <v>13</v>
      </c>
      <c r="G265" s="3" t="s">
        <v>417</v>
      </c>
      <c r="H265">
        <v>33.989569000000003</v>
      </c>
      <c r="I265">
        <v>71.454511999999994</v>
      </c>
      <c r="J265">
        <v>398.12265000000002</v>
      </c>
      <c r="K265" s="3" t="s">
        <v>423</v>
      </c>
      <c r="L265">
        <v>191</v>
      </c>
      <c r="M265" s="1" t="s">
        <v>61</v>
      </c>
      <c r="N265" s="29" t="str">
        <f>LEFT(Table17[[#This Row],[ns1:time2]],10)</f>
        <v>2022-09-15</v>
      </c>
    </row>
    <row r="266" spans="1:14" x14ac:dyDescent="0.35">
      <c r="A266">
        <f t="shared" si="9"/>
        <v>265</v>
      </c>
      <c r="B266">
        <f t="shared" si="10"/>
        <v>8</v>
      </c>
      <c r="C266" s="1" t="s">
        <v>11</v>
      </c>
      <c r="D266">
        <v>1.1000000000000001</v>
      </c>
      <c r="E266" s="2" t="s">
        <v>12</v>
      </c>
      <c r="F266" s="1" t="s">
        <v>13</v>
      </c>
      <c r="G266" s="3" t="s">
        <v>417</v>
      </c>
      <c r="H266">
        <v>33.988339000000003</v>
      </c>
      <c r="I266">
        <v>71.456061000000005</v>
      </c>
      <c r="J266">
        <v>399.93218999999999</v>
      </c>
      <c r="K266" s="3" t="s">
        <v>424</v>
      </c>
      <c r="L266">
        <v>192</v>
      </c>
      <c r="M266" s="1" t="s">
        <v>61</v>
      </c>
      <c r="N266" s="29" t="str">
        <f>LEFT(Table17[[#This Row],[ns1:time2]],10)</f>
        <v>2022-09-15</v>
      </c>
    </row>
    <row r="267" spans="1:14" x14ac:dyDescent="0.35">
      <c r="A267">
        <f t="shared" si="9"/>
        <v>266</v>
      </c>
      <c r="B267">
        <f t="shared" si="10"/>
        <v>9</v>
      </c>
      <c r="C267" s="1" t="s">
        <v>11</v>
      </c>
      <c r="D267">
        <v>1.1000000000000001</v>
      </c>
      <c r="E267" s="2" t="s">
        <v>12</v>
      </c>
      <c r="F267" s="1" t="s">
        <v>13</v>
      </c>
      <c r="G267" s="3" t="s">
        <v>417</v>
      </c>
      <c r="H267">
        <v>33.988323000000001</v>
      </c>
      <c r="I267">
        <v>71.456063999999998</v>
      </c>
      <c r="J267">
        <v>402.52084400000001</v>
      </c>
      <c r="K267" s="3" t="s">
        <v>425</v>
      </c>
      <c r="L267">
        <v>193</v>
      </c>
      <c r="M267" s="1" t="s">
        <v>61</v>
      </c>
      <c r="N267" s="29" t="str">
        <f>LEFT(Table17[[#This Row],[ns1:time2]],10)</f>
        <v>2022-09-15</v>
      </c>
    </row>
    <row r="268" spans="1:14" x14ac:dyDescent="0.35">
      <c r="A268">
        <f t="shared" si="9"/>
        <v>267</v>
      </c>
      <c r="B268">
        <f t="shared" si="10"/>
        <v>10</v>
      </c>
      <c r="C268" s="1" t="s">
        <v>11</v>
      </c>
      <c r="D268">
        <v>1.1000000000000001</v>
      </c>
      <c r="E268" s="2" t="s">
        <v>12</v>
      </c>
      <c r="F268" s="1" t="s">
        <v>13</v>
      </c>
      <c r="G268" s="3" t="s">
        <v>417</v>
      </c>
      <c r="H268">
        <v>33.988314000000003</v>
      </c>
      <c r="I268">
        <v>71.456039000000004</v>
      </c>
      <c r="J268">
        <v>402.50476099999997</v>
      </c>
      <c r="K268" s="3" t="s">
        <v>426</v>
      </c>
      <c r="L268">
        <v>194</v>
      </c>
      <c r="M268" s="1" t="s">
        <v>61</v>
      </c>
      <c r="N268" s="29" t="str">
        <f>LEFT(Table17[[#This Row],[ns1:time2]],10)</f>
        <v>2022-09-15</v>
      </c>
    </row>
    <row r="269" spans="1:14" x14ac:dyDescent="0.35">
      <c r="A269">
        <f t="shared" si="9"/>
        <v>268</v>
      </c>
      <c r="B269">
        <f t="shared" si="10"/>
        <v>11</v>
      </c>
      <c r="C269" s="1" t="s">
        <v>11</v>
      </c>
      <c r="D269">
        <v>1.1000000000000001</v>
      </c>
      <c r="E269" s="2" t="s">
        <v>12</v>
      </c>
      <c r="F269" s="1" t="s">
        <v>13</v>
      </c>
      <c r="G269" s="3" t="s">
        <v>417</v>
      </c>
      <c r="H269">
        <v>33.98818</v>
      </c>
      <c r="I269">
        <v>71.455945</v>
      </c>
      <c r="J269">
        <v>401.543091</v>
      </c>
      <c r="K269" s="3" t="s">
        <v>427</v>
      </c>
      <c r="L269">
        <v>195</v>
      </c>
      <c r="M269" s="1" t="s">
        <v>61</v>
      </c>
      <c r="N269" s="29" t="str">
        <f>LEFT(Table17[[#This Row],[ns1:time2]],10)</f>
        <v>2022-09-15</v>
      </c>
    </row>
    <row r="270" spans="1:14" x14ac:dyDescent="0.35">
      <c r="A270">
        <f t="shared" si="9"/>
        <v>269</v>
      </c>
      <c r="B270">
        <f t="shared" si="10"/>
        <v>12</v>
      </c>
      <c r="C270" s="1" t="s">
        <v>11</v>
      </c>
      <c r="D270">
        <v>1.1000000000000001</v>
      </c>
      <c r="E270" s="2" t="s">
        <v>12</v>
      </c>
      <c r="F270" s="1" t="s">
        <v>13</v>
      </c>
      <c r="G270" s="3" t="s">
        <v>417</v>
      </c>
      <c r="H270">
        <v>33.988007000000003</v>
      </c>
      <c r="I270">
        <v>71.456401</v>
      </c>
      <c r="J270">
        <v>398.61090100000001</v>
      </c>
      <c r="K270" s="3" t="s">
        <v>428</v>
      </c>
      <c r="L270">
        <v>196</v>
      </c>
      <c r="M270" s="1" t="s">
        <v>61</v>
      </c>
      <c r="N270" s="29" t="str">
        <f>LEFT(Table17[[#This Row],[ns1:time2]],10)</f>
        <v>2022-09-15</v>
      </c>
    </row>
    <row r="271" spans="1:14" x14ac:dyDescent="0.35">
      <c r="A271">
        <f t="shared" si="9"/>
        <v>270</v>
      </c>
      <c r="B271">
        <f t="shared" si="10"/>
        <v>13</v>
      </c>
      <c r="C271" s="1" t="s">
        <v>11</v>
      </c>
      <c r="D271">
        <v>1.1000000000000001</v>
      </c>
      <c r="E271" s="2" t="s">
        <v>12</v>
      </c>
      <c r="F271" s="1" t="s">
        <v>13</v>
      </c>
      <c r="G271" s="3" t="s">
        <v>417</v>
      </c>
      <c r="H271">
        <v>33.987825000000001</v>
      </c>
      <c r="I271">
        <v>71.456824999999995</v>
      </c>
      <c r="J271">
        <v>396.90093999999999</v>
      </c>
      <c r="K271" s="3" t="s">
        <v>429</v>
      </c>
      <c r="L271">
        <v>197</v>
      </c>
      <c r="M271" s="1" t="s">
        <v>61</v>
      </c>
      <c r="N271" s="29" t="str">
        <f>LEFT(Table17[[#This Row],[ns1:time2]],10)</f>
        <v>2022-09-15</v>
      </c>
    </row>
    <row r="272" spans="1:14" x14ac:dyDescent="0.35">
      <c r="A272">
        <f t="shared" si="9"/>
        <v>271</v>
      </c>
      <c r="B272">
        <f t="shared" si="10"/>
        <v>14</v>
      </c>
      <c r="C272" s="1" t="s">
        <v>11</v>
      </c>
      <c r="D272">
        <v>1.1000000000000001</v>
      </c>
      <c r="E272" s="2" t="s">
        <v>12</v>
      </c>
      <c r="F272" s="1" t="s">
        <v>13</v>
      </c>
      <c r="G272" s="3" t="s">
        <v>417</v>
      </c>
      <c r="H272">
        <v>33.987740000000002</v>
      </c>
      <c r="I272">
        <v>71.455692999999997</v>
      </c>
      <c r="J272">
        <v>397.98269699999997</v>
      </c>
      <c r="K272" s="3" t="s">
        <v>430</v>
      </c>
      <c r="L272">
        <v>198</v>
      </c>
      <c r="M272" s="1" t="s">
        <v>61</v>
      </c>
      <c r="N272" s="29" t="str">
        <f>LEFT(Table17[[#This Row],[ns1:time2]],10)</f>
        <v>2022-09-15</v>
      </c>
    </row>
    <row r="273" spans="1:14" x14ac:dyDescent="0.35">
      <c r="A273">
        <f t="shared" si="9"/>
        <v>272</v>
      </c>
      <c r="B273">
        <f t="shared" si="10"/>
        <v>15</v>
      </c>
      <c r="C273" s="1" t="s">
        <v>11</v>
      </c>
      <c r="D273">
        <v>1.1000000000000001</v>
      </c>
      <c r="E273" s="2" t="s">
        <v>12</v>
      </c>
      <c r="F273" s="1" t="s">
        <v>13</v>
      </c>
      <c r="G273" s="3" t="s">
        <v>417</v>
      </c>
      <c r="H273">
        <v>33.987841000000003</v>
      </c>
      <c r="I273">
        <v>71.455618999999999</v>
      </c>
      <c r="J273">
        <v>395.87881499999997</v>
      </c>
      <c r="K273" s="3" t="s">
        <v>431</v>
      </c>
      <c r="L273">
        <v>199</v>
      </c>
      <c r="M273" s="1" t="s">
        <v>61</v>
      </c>
      <c r="N273" s="29" t="str">
        <f>LEFT(Table17[[#This Row],[ns1:time2]],10)</f>
        <v>2022-09-15</v>
      </c>
    </row>
    <row r="274" spans="1:14" x14ac:dyDescent="0.35">
      <c r="A274">
        <f t="shared" si="9"/>
        <v>273</v>
      </c>
      <c r="B274">
        <f t="shared" si="10"/>
        <v>16</v>
      </c>
      <c r="C274" s="1" t="s">
        <v>11</v>
      </c>
      <c r="D274">
        <v>1.1000000000000001</v>
      </c>
      <c r="E274" s="2" t="s">
        <v>12</v>
      </c>
      <c r="F274" s="1" t="s">
        <v>13</v>
      </c>
      <c r="G274" s="3" t="s">
        <v>417</v>
      </c>
      <c r="H274">
        <v>33.987836999999999</v>
      </c>
      <c r="I274">
        <v>71.455609999999993</v>
      </c>
      <c r="J274">
        <v>395.896545</v>
      </c>
      <c r="K274" s="3" t="s">
        <v>432</v>
      </c>
      <c r="L274">
        <v>200</v>
      </c>
      <c r="M274" s="1" t="s">
        <v>61</v>
      </c>
      <c r="N274" s="29" t="str">
        <f>LEFT(Table17[[#This Row],[ns1:time2]],10)</f>
        <v>2022-09-15</v>
      </c>
    </row>
    <row r="275" spans="1:14" x14ac:dyDescent="0.35">
      <c r="A275">
        <f t="shared" si="9"/>
        <v>274</v>
      </c>
      <c r="B275">
        <f t="shared" si="10"/>
        <v>17</v>
      </c>
      <c r="C275" s="1" t="s">
        <v>11</v>
      </c>
      <c r="D275">
        <v>1.1000000000000001</v>
      </c>
      <c r="E275" s="2" t="s">
        <v>12</v>
      </c>
      <c r="F275" s="1" t="s">
        <v>13</v>
      </c>
      <c r="G275" s="3" t="s">
        <v>417</v>
      </c>
      <c r="H275">
        <v>33.988352999999996</v>
      </c>
      <c r="I275">
        <v>71.455532000000005</v>
      </c>
      <c r="J275">
        <v>396.68633999999997</v>
      </c>
      <c r="K275" s="3" t="s">
        <v>433</v>
      </c>
      <c r="L275">
        <v>201</v>
      </c>
      <c r="M275" s="1" t="s">
        <v>61</v>
      </c>
      <c r="N275" s="29" t="str">
        <f>LEFT(Table17[[#This Row],[ns1:time2]],10)</f>
        <v>2022-09-15</v>
      </c>
    </row>
    <row r="276" spans="1:14" x14ac:dyDescent="0.35">
      <c r="A276">
        <f t="shared" si="9"/>
        <v>275</v>
      </c>
      <c r="B276">
        <f t="shared" si="10"/>
        <v>18</v>
      </c>
      <c r="C276" s="1" t="s">
        <v>11</v>
      </c>
      <c r="D276">
        <v>1.1000000000000001</v>
      </c>
      <c r="E276" s="2" t="s">
        <v>12</v>
      </c>
      <c r="F276" s="1" t="s">
        <v>13</v>
      </c>
      <c r="G276" s="3" t="s">
        <v>417</v>
      </c>
      <c r="H276">
        <v>33.988557</v>
      </c>
      <c r="I276">
        <v>71.455123</v>
      </c>
      <c r="J276">
        <v>396.24374399999999</v>
      </c>
      <c r="K276" s="3" t="s">
        <v>434</v>
      </c>
      <c r="L276">
        <v>202</v>
      </c>
      <c r="M276" s="1" t="s">
        <v>61</v>
      </c>
      <c r="N276" s="29" t="str">
        <f>LEFT(Table17[[#This Row],[ns1:time2]],10)</f>
        <v>2022-09-15</v>
      </c>
    </row>
    <row r="277" spans="1:14" x14ac:dyDescent="0.35">
      <c r="A277">
        <f t="shared" si="9"/>
        <v>276</v>
      </c>
      <c r="B277">
        <f t="shared" si="10"/>
        <v>19</v>
      </c>
      <c r="C277" s="1" t="s">
        <v>11</v>
      </c>
      <c r="D277">
        <v>1.1000000000000001</v>
      </c>
      <c r="E277" s="2" t="s">
        <v>12</v>
      </c>
      <c r="F277" s="1" t="s">
        <v>13</v>
      </c>
      <c r="G277" s="3" t="s">
        <v>417</v>
      </c>
      <c r="H277">
        <v>33.988805999999997</v>
      </c>
      <c r="I277">
        <v>71.454669999999993</v>
      </c>
      <c r="J277">
        <v>399.25482199999999</v>
      </c>
      <c r="K277" s="3" t="s">
        <v>435</v>
      </c>
      <c r="L277">
        <v>203</v>
      </c>
      <c r="M277" s="1" t="s">
        <v>61</v>
      </c>
      <c r="N277" s="29" t="str">
        <f>LEFT(Table17[[#This Row],[ns1:time2]],10)</f>
        <v>2022-09-15</v>
      </c>
    </row>
    <row r="278" spans="1:14" x14ac:dyDescent="0.35">
      <c r="A278">
        <f t="shared" si="9"/>
        <v>277</v>
      </c>
      <c r="B278">
        <f t="shared" si="10"/>
        <v>20</v>
      </c>
      <c r="C278" s="1" t="s">
        <v>11</v>
      </c>
      <c r="D278">
        <v>1.1000000000000001</v>
      </c>
      <c r="E278" s="2" t="s">
        <v>12</v>
      </c>
      <c r="F278" s="1" t="s">
        <v>13</v>
      </c>
      <c r="G278" s="3" t="s">
        <v>417</v>
      </c>
      <c r="H278">
        <v>33.9876</v>
      </c>
      <c r="I278">
        <v>71.456146000000004</v>
      </c>
      <c r="J278">
        <v>394.61910999999998</v>
      </c>
      <c r="K278" s="3" t="s">
        <v>436</v>
      </c>
      <c r="L278">
        <v>204</v>
      </c>
      <c r="M278" s="1" t="s">
        <v>61</v>
      </c>
      <c r="N278" s="29" t="str">
        <f>LEFT(Table17[[#This Row],[ns1:time2]],10)</f>
        <v>2022-09-15</v>
      </c>
    </row>
    <row r="279" spans="1:14" x14ac:dyDescent="0.35">
      <c r="A279">
        <f t="shared" si="9"/>
        <v>278</v>
      </c>
      <c r="B279">
        <f t="shared" si="10"/>
        <v>21</v>
      </c>
      <c r="C279" s="1" t="s">
        <v>11</v>
      </c>
      <c r="D279">
        <v>1.1000000000000001</v>
      </c>
      <c r="E279" s="2" t="s">
        <v>12</v>
      </c>
      <c r="F279" s="1" t="s">
        <v>13</v>
      </c>
      <c r="G279" s="3" t="s">
        <v>417</v>
      </c>
      <c r="H279">
        <v>33.987428999999999</v>
      </c>
      <c r="I279">
        <v>71.456592999999998</v>
      </c>
      <c r="J279">
        <v>396.27276599999999</v>
      </c>
      <c r="K279" s="3" t="s">
        <v>437</v>
      </c>
      <c r="L279">
        <v>205</v>
      </c>
      <c r="M279" s="1" t="s">
        <v>61</v>
      </c>
      <c r="N279" s="29" t="str">
        <f>LEFT(Table17[[#This Row],[ns1:time2]],10)</f>
        <v>2022-09-15</v>
      </c>
    </row>
    <row r="280" spans="1:14" x14ac:dyDescent="0.35">
      <c r="A280">
        <f t="shared" si="9"/>
        <v>279</v>
      </c>
      <c r="B280">
        <f t="shared" si="10"/>
        <v>22</v>
      </c>
      <c r="C280" s="1" t="s">
        <v>11</v>
      </c>
      <c r="D280">
        <v>1.1000000000000001</v>
      </c>
      <c r="E280" s="2" t="s">
        <v>12</v>
      </c>
      <c r="F280" s="1" t="s">
        <v>13</v>
      </c>
      <c r="G280" s="3" t="s">
        <v>417</v>
      </c>
      <c r="H280">
        <v>33.987228999999999</v>
      </c>
      <c r="I280">
        <v>71.457065</v>
      </c>
      <c r="J280">
        <v>394.73242199999999</v>
      </c>
      <c r="K280" s="3" t="s">
        <v>438</v>
      </c>
      <c r="L280">
        <v>206</v>
      </c>
      <c r="M280" s="1" t="s">
        <v>61</v>
      </c>
      <c r="N280" s="29" t="str">
        <f>LEFT(Table17[[#This Row],[ns1:time2]],10)</f>
        <v>2022-09-15</v>
      </c>
    </row>
    <row r="281" spans="1:14" x14ac:dyDescent="0.35">
      <c r="A281">
        <f t="shared" si="9"/>
        <v>280</v>
      </c>
      <c r="B281">
        <f t="shared" si="10"/>
        <v>23</v>
      </c>
      <c r="C281" s="1" t="s">
        <v>11</v>
      </c>
      <c r="D281">
        <v>1.1000000000000001</v>
      </c>
      <c r="E281" s="2" t="s">
        <v>12</v>
      </c>
      <c r="F281" s="1" t="s">
        <v>13</v>
      </c>
      <c r="G281" s="3" t="s">
        <v>417</v>
      </c>
      <c r="H281">
        <v>33.987946000000001</v>
      </c>
      <c r="I281">
        <v>71.455253999999996</v>
      </c>
      <c r="J281">
        <v>392.36114500000002</v>
      </c>
      <c r="K281" s="3" t="s">
        <v>439</v>
      </c>
      <c r="L281">
        <v>207</v>
      </c>
      <c r="M281" s="1" t="s">
        <v>61</v>
      </c>
      <c r="N281" s="29" t="str">
        <f>LEFT(Table17[[#This Row],[ns1:time2]],10)</f>
        <v>2022-09-15</v>
      </c>
    </row>
    <row r="282" spans="1:14" x14ac:dyDescent="0.35">
      <c r="A282">
        <f t="shared" si="9"/>
        <v>281</v>
      </c>
      <c r="B282">
        <f t="shared" si="10"/>
        <v>24</v>
      </c>
      <c r="C282" s="1" t="s">
        <v>11</v>
      </c>
      <c r="D282">
        <v>1.1000000000000001</v>
      </c>
      <c r="E282" s="2" t="s">
        <v>12</v>
      </c>
      <c r="F282" s="1" t="s">
        <v>13</v>
      </c>
      <c r="G282" s="3" t="s">
        <v>417</v>
      </c>
      <c r="H282">
        <v>33.988154999999999</v>
      </c>
      <c r="I282">
        <v>71.454745000000003</v>
      </c>
      <c r="J282">
        <v>395.59878500000002</v>
      </c>
      <c r="K282" s="3" t="s">
        <v>440</v>
      </c>
      <c r="L282">
        <v>208</v>
      </c>
      <c r="M282" s="1" t="s">
        <v>61</v>
      </c>
      <c r="N282" s="29" t="str">
        <f>LEFT(Table17[[#This Row],[ns1:time2]],10)</f>
        <v>2022-09-15</v>
      </c>
    </row>
    <row r="283" spans="1:14" x14ac:dyDescent="0.35">
      <c r="A283">
        <f t="shared" si="9"/>
        <v>282</v>
      </c>
      <c r="B283">
        <f t="shared" si="10"/>
        <v>25</v>
      </c>
      <c r="C283" s="1" t="s">
        <v>11</v>
      </c>
      <c r="D283">
        <v>1.1000000000000001</v>
      </c>
      <c r="E283" s="2" t="s">
        <v>12</v>
      </c>
      <c r="F283" s="1" t="s">
        <v>13</v>
      </c>
      <c r="G283" s="3" t="s">
        <v>417</v>
      </c>
      <c r="H283">
        <v>33.988548999999999</v>
      </c>
      <c r="I283">
        <v>71.454260000000005</v>
      </c>
      <c r="J283">
        <v>395.67013500000002</v>
      </c>
      <c r="K283" s="3" t="s">
        <v>441</v>
      </c>
      <c r="L283">
        <v>209</v>
      </c>
      <c r="M283" s="1" t="s">
        <v>61</v>
      </c>
      <c r="N283" s="29" t="str">
        <f>LEFT(Table17[[#This Row],[ns1:time2]],10)</f>
        <v>2022-09-15</v>
      </c>
    </row>
    <row r="284" spans="1:14" x14ac:dyDescent="0.35">
      <c r="A284">
        <f t="shared" si="9"/>
        <v>283</v>
      </c>
      <c r="B284">
        <f t="shared" si="10"/>
        <v>26</v>
      </c>
      <c r="C284" s="1" t="s">
        <v>11</v>
      </c>
      <c r="D284">
        <v>1.1000000000000001</v>
      </c>
      <c r="E284" s="2" t="s">
        <v>12</v>
      </c>
      <c r="F284" s="1" t="s">
        <v>13</v>
      </c>
      <c r="G284" s="3" t="s">
        <v>417</v>
      </c>
      <c r="H284">
        <v>33.988728999999999</v>
      </c>
      <c r="I284">
        <v>71.454019000000002</v>
      </c>
      <c r="J284">
        <v>395.921356</v>
      </c>
      <c r="K284" s="3" t="s">
        <v>442</v>
      </c>
      <c r="L284">
        <v>210</v>
      </c>
      <c r="M284" s="1" t="s">
        <v>61</v>
      </c>
      <c r="N284" s="29" t="str">
        <f>LEFT(Table17[[#This Row],[ns1:time2]],10)</f>
        <v>2022-09-15</v>
      </c>
    </row>
    <row r="285" spans="1:14" x14ac:dyDescent="0.35">
      <c r="A285">
        <f t="shared" si="9"/>
        <v>284</v>
      </c>
      <c r="B285">
        <f t="shared" si="10"/>
        <v>27</v>
      </c>
      <c r="C285" s="1" t="s">
        <v>11</v>
      </c>
      <c r="D285">
        <v>1.1000000000000001</v>
      </c>
      <c r="E285" s="2" t="s">
        <v>12</v>
      </c>
      <c r="F285" s="1" t="s">
        <v>13</v>
      </c>
      <c r="G285" s="3" t="s">
        <v>417</v>
      </c>
      <c r="H285">
        <v>33.988900000000001</v>
      </c>
      <c r="I285">
        <v>71.453849000000005</v>
      </c>
      <c r="J285">
        <v>395.01409899999999</v>
      </c>
      <c r="K285" s="3" t="s">
        <v>443</v>
      </c>
      <c r="L285">
        <v>211</v>
      </c>
      <c r="M285" s="1" t="s">
        <v>61</v>
      </c>
      <c r="N285" s="29" t="str">
        <f>LEFT(Table17[[#This Row],[ns1:time2]],10)</f>
        <v>2022-09-15</v>
      </c>
    </row>
    <row r="286" spans="1:14" x14ac:dyDescent="0.35">
      <c r="A286">
        <f t="shared" si="9"/>
        <v>285</v>
      </c>
      <c r="B286">
        <f t="shared" si="10"/>
        <v>28</v>
      </c>
      <c r="C286" s="1" t="s">
        <v>11</v>
      </c>
      <c r="D286">
        <v>1.1000000000000001</v>
      </c>
      <c r="E286" s="2" t="s">
        <v>12</v>
      </c>
      <c r="F286" s="1" t="s">
        <v>13</v>
      </c>
      <c r="G286" s="3" t="s">
        <v>417</v>
      </c>
      <c r="H286">
        <v>33.989105000000002</v>
      </c>
      <c r="I286">
        <v>71.454363999999998</v>
      </c>
      <c r="J286">
        <v>391.62661700000001</v>
      </c>
      <c r="K286" s="3" t="s">
        <v>444</v>
      </c>
      <c r="L286">
        <v>212</v>
      </c>
      <c r="M286" s="1" t="s">
        <v>61</v>
      </c>
      <c r="N286" s="29" t="str">
        <f>LEFT(Table17[[#This Row],[ns1:time2]],10)</f>
        <v>2022-09-15</v>
      </c>
    </row>
    <row r="287" spans="1:14" x14ac:dyDescent="0.35">
      <c r="A287">
        <f t="shared" si="9"/>
        <v>286</v>
      </c>
      <c r="B287">
        <f t="shared" si="10"/>
        <v>29</v>
      </c>
      <c r="C287" s="1" t="s">
        <v>11</v>
      </c>
      <c r="D287">
        <v>1.1000000000000001</v>
      </c>
      <c r="E287" s="2" t="s">
        <v>12</v>
      </c>
      <c r="F287" s="1" t="s">
        <v>13</v>
      </c>
      <c r="G287" s="3" t="s">
        <v>417</v>
      </c>
      <c r="H287">
        <v>33.988903999999998</v>
      </c>
      <c r="I287">
        <v>71.454643000000004</v>
      </c>
      <c r="J287">
        <v>392.87408399999998</v>
      </c>
      <c r="K287" s="3" t="s">
        <v>445</v>
      </c>
      <c r="L287">
        <v>213</v>
      </c>
      <c r="M287" s="1" t="s">
        <v>61</v>
      </c>
      <c r="N287" s="29" t="str">
        <f>LEFT(Table17[[#This Row],[ns1:time2]],10)</f>
        <v>2022-09-15</v>
      </c>
    </row>
    <row r="288" spans="1:14" x14ac:dyDescent="0.35">
      <c r="A288">
        <f t="shared" si="9"/>
        <v>287</v>
      </c>
      <c r="B288">
        <f t="shared" si="10"/>
        <v>30</v>
      </c>
      <c r="C288" s="1" t="s">
        <v>11</v>
      </c>
      <c r="D288">
        <v>1.1000000000000001</v>
      </c>
      <c r="E288" s="2" t="s">
        <v>12</v>
      </c>
      <c r="F288" s="1" t="s">
        <v>13</v>
      </c>
      <c r="G288" s="3" t="s">
        <v>417</v>
      </c>
      <c r="H288">
        <v>33.988925000000002</v>
      </c>
      <c r="I288">
        <v>71.454650000000001</v>
      </c>
      <c r="J288">
        <v>394.22494499999999</v>
      </c>
      <c r="K288" s="3" t="s">
        <v>446</v>
      </c>
      <c r="L288">
        <v>214</v>
      </c>
      <c r="M288" s="1" t="s">
        <v>61</v>
      </c>
      <c r="N288" s="29" t="str">
        <f>LEFT(Table17[[#This Row],[ns1:time2]],10)</f>
        <v>2022-09-15</v>
      </c>
    </row>
    <row r="289" spans="1:14" x14ac:dyDescent="0.35">
      <c r="A289">
        <f t="shared" si="9"/>
        <v>288</v>
      </c>
      <c r="B289">
        <f t="shared" si="10"/>
        <v>31</v>
      </c>
      <c r="C289" s="1" t="s">
        <v>11</v>
      </c>
      <c r="D289">
        <v>1.1000000000000001</v>
      </c>
      <c r="E289" s="2" t="s">
        <v>12</v>
      </c>
      <c r="F289" s="1" t="s">
        <v>13</v>
      </c>
      <c r="G289" s="3" t="s">
        <v>417</v>
      </c>
      <c r="H289">
        <v>33.987324999999998</v>
      </c>
      <c r="I289">
        <v>71.455464000000006</v>
      </c>
      <c r="J289">
        <v>398.081299</v>
      </c>
      <c r="K289" s="3" t="s">
        <v>447</v>
      </c>
      <c r="L289">
        <v>215</v>
      </c>
      <c r="M289" s="1" t="s">
        <v>61</v>
      </c>
      <c r="N289" s="29" t="str">
        <f>LEFT(Table17[[#This Row],[ns1:time2]],10)</f>
        <v>2022-09-15</v>
      </c>
    </row>
    <row r="290" spans="1:14" x14ac:dyDescent="0.35">
      <c r="A290">
        <f t="shared" si="9"/>
        <v>289</v>
      </c>
      <c r="B290">
        <f t="shared" si="10"/>
        <v>32</v>
      </c>
      <c r="C290" s="1" t="s">
        <v>11</v>
      </c>
      <c r="D290">
        <v>1.1000000000000001</v>
      </c>
      <c r="E290" s="2" t="s">
        <v>12</v>
      </c>
      <c r="F290" s="1" t="s">
        <v>13</v>
      </c>
      <c r="G290" s="3" t="s">
        <v>417</v>
      </c>
      <c r="H290">
        <v>33.987282999999998</v>
      </c>
      <c r="I290">
        <v>71.455444</v>
      </c>
      <c r="J290">
        <v>399.54836999999998</v>
      </c>
      <c r="K290" s="3" t="s">
        <v>448</v>
      </c>
      <c r="L290">
        <v>216</v>
      </c>
      <c r="M290" s="1" t="s">
        <v>61</v>
      </c>
      <c r="N290" s="29" t="str">
        <f>LEFT(Table17[[#This Row],[ns1:time2]],10)</f>
        <v>2022-09-15</v>
      </c>
    </row>
    <row r="291" spans="1:14" x14ac:dyDescent="0.35">
      <c r="A291">
        <f t="shared" si="9"/>
        <v>290</v>
      </c>
      <c r="B291">
        <f t="shared" si="10"/>
        <v>33</v>
      </c>
      <c r="C291" s="1" t="s">
        <v>11</v>
      </c>
      <c r="D291">
        <v>1.1000000000000001</v>
      </c>
      <c r="E291" s="2" t="s">
        <v>12</v>
      </c>
      <c r="F291" s="1" t="s">
        <v>13</v>
      </c>
      <c r="G291" s="3" t="s">
        <v>417</v>
      </c>
      <c r="H291">
        <v>33.987284000000002</v>
      </c>
      <c r="I291">
        <v>71.455430000000007</v>
      </c>
      <c r="J291">
        <v>399.52954099999999</v>
      </c>
      <c r="K291" s="3" t="s">
        <v>449</v>
      </c>
      <c r="L291">
        <v>217</v>
      </c>
      <c r="M291" s="1" t="s">
        <v>61</v>
      </c>
      <c r="N291" s="29" t="str">
        <f>LEFT(Table17[[#This Row],[ns1:time2]],10)</f>
        <v>2022-09-15</v>
      </c>
    </row>
    <row r="292" spans="1:14" x14ac:dyDescent="0.35">
      <c r="A292">
        <f t="shared" si="9"/>
        <v>291</v>
      </c>
      <c r="B292">
        <f t="shared" si="10"/>
        <v>34</v>
      </c>
      <c r="C292" s="1" t="s">
        <v>11</v>
      </c>
      <c r="D292">
        <v>1.1000000000000001</v>
      </c>
      <c r="E292" s="2" t="s">
        <v>12</v>
      </c>
      <c r="F292" s="1" t="s">
        <v>13</v>
      </c>
      <c r="G292" s="3" t="s">
        <v>417</v>
      </c>
      <c r="H292">
        <v>33.987141999999999</v>
      </c>
      <c r="I292">
        <v>71.455910000000003</v>
      </c>
      <c r="J292">
        <v>396.57095299999997</v>
      </c>
      <c r="K292" s="3" t="s">
        <v>450</v>
      </c>
      <c r="L292">
        <v>218</v>
      </c>
      <c r="M292" s="1" t="s">
        <v>61</v>
      </c>
      <c r="N292" s="29" t="str">
        <f>LEFT(Table17[[#This Row],[ns1:time2]],10)</f>
        <v>2022-09-15</v>
      </c>
    </row>
    <row r="293" spans="1:14" x14ac:dyDescent="0.35">
      <c r="A293">
        <f t="shared" si="9"/>
        <v>292</v>
      </c>
      <c r="B293">
        <f t="shared" si="10"/>
        <v>35</v>
      </c>
      <c r="C293" s="1" t="s">
        <v>11</v>
      </c>
      <c r="D293">
        <v>1.1000000000000001</v>
      </c>
      <c r="E293" s="2" t="s">
        <v>12</v>
      </c>
      <c r="F293" s="1" t="s">
        <v>13</v>
      </c>
      <c r="G293" s="3" t="s">
        <v>417</v>
      </c>
      <c r="H293">
        <v>33.987056000000003</v>
      </c>
      <c r="I293">
        <v>71.456349000000003</v>
      </c>
      <c r="J293">
        <v>398.59292599999998</v>
      </c>
      <c r="K293" s="3" t="s">
        <v>451</v>
      </c>
      <c r="L293">
        <v>219</v>
      </c>
      <c r="M293" s="1" t="s">
        <v>61</v>
      </c>
      <c r="N293" s="29" t="str">
        <f>LEFT(Table17[[#This Row],[ns1:time2]],10)</f>
        <v>2022-09-15</v>
      </c>
    </row>
    <row r="294" spans="1:14" x14ac:dyDescent="0.35">
      <c r="A294">
        <f t="shared" si="9"/>
        <v>293</v>
      </c>
      <c r="B294">
        <f t="shared" si="10"/>
        <v>36</v>
      </c>
      <c r="C294" s="1" t="s">
        <v>11</v>
      </c>
      <c r="D294">
        <v>1.1000000000000001</v>
      </c>
      <c r="E294" s="2" t="s">
        <v>12</v>
      </c>
      <c r="F294" s="1" t="s">
        <v>13</v>
      </c>
      <c r="G294" s="3" t="s">
        <v>417</v>
      </c>
      <c r="H294">
        <v>33.986815</v>
      </c>
      <c r="I294">
        <v>71.456790999999996</v>
      </c>
      <c r="J294">
        <v>400.14785799999999</v>
      </c>
      <c r="K294" s="3" t="s">
        <v>452</v>
      </c>
      <c r="L294">
        <v>220</v>
      </c>
      <c r="M294" s="1" t="s">
        <v>61</v>
      </c>
      <c r="N294" s="29" t="str">
        <f>LEFT(Table17[[#This Row],[ns1:time2]],10)</f>
        <v>2022-09-15</v>
      </c>
    </row>
    <row r="295" spans="1:14" x14ac:dyDescent="0.35">
      <c r="A295">
        <f t="shared" si="9"/>
        <v>294</v>
      </c>
      <c r="B295">
        <f t="shared" si="10"/>
        <v>37</v>
      </c>
      <c r="C295" s="1" t="s">
        <v>11</v>
      </c>
      <c r="D295">
        <v>1.1000000000000001</v>
      </c>
      <c r="E295" s="2" t="s">
        <v>12</v>
      </c>
      <c r="F295" s="1" t="s">
        <v>13</v>
      </c>
      <c r="G295" s="3" t="s">
        <v>417</v>
      </c>
      <c r="H295">
        <v>33.986851000000001</v>
      </c>
      <c r="I295">
        <v>71.455184000000003</v>
      </c>
      <c r="J295">
        <v>398.26901199999998</v>
      </c>
      <c r="K295" s="3" t="s">
        <v>453</v>
      </c>
      <c r="L295">
        <v>221</v>
      </c>
      <c r="M295" s="1" t="s">
        <v>61</v>
      </c>
      <c r="N295" s="29" t="str">
        <f>LEFT(Table17[[#This Row],[ns1:time2]],10)</f>
        <v>2022-09-15</v>
      </c>
    </row>
    <row r="296" spans="1:14" x14ac:dyDescent="0.35">
      <c r="A296">
        <f t="shared" si="9"/>
        <v>295</v>
      </c>
      <c r="B296">
        <f t="shared" si="10"/>
        <v>38</v>
      </c>
      <c r="C296" s="1" t="s">
        <v>11</v>
      </c>
      <c r="D296">
        <v>1.1000000000000001</v>
      </c>
      <c r="E296" s="2" t="s">
        <v>12</v>
      </c>
      <c r="F296" s="1" t="s">
        <v>13</v>
      </c>
      <c r="G296" s="3" t="s">
        <v>417</v>
      </c>
      <c r="H296">
        <v>33.986840999999998</v>
      </c>
      <c r="I296">
        <v>71.455151000000001</v>
      </c>
      <c r="J296">
        <v>399.54312099999999</v>
      </c>
      <c r="K296" s="3" t="s">
        <v>454</v>
      </c>
      <c r="L296">
        <v>222</v>
      </c>
      <c r="M296" s="1" t="s">
        <v>61</v>
      </c>
      <c r="N296" s="29" t="str">
        <f>LEFT(Table17[[#This Row],[ns1:time2]],10)</f>
        <v>2022-09-15</v>
      </c>
    </row>
    <row r="297" spans="1:14" x14ac:dyDescent="0.35">
      <c r="A297">
        <f t="shared" si="9"/>
        <v>296</v>
      </c>
      <c r="B297">
        <f t="shared" si="10"/>
        <v>39</v>
      </c>
      <c r="C297" s="1" t="s">
        <v>11</v>
      </c>
      <c r="D297">
        <v>1.1000000000000001</v>
      </c>
      <c r="E297" s="2" t="s">
        <v>12</v>
      </c>
      <c r="F297" s="1" t="s">
        <v>13</v>
      </c>
      <c r="G297" s="3" t="s">
        <v>417</v>
      </c>
      <c r="H297">
        <v>33.986832999999997</v>
      </c>
      <c r="I297">
        <v>71.455145000000002</v>
      </c>
      <c r="J297">
        <v>399.53308099999998</v>
      </c>
      <c r="K297" s="3" t="s">
        <v>455</v>
      </c>
      <c r="L297">
        <v>223</v>
      </c>
      <c r="M297" s="1" t="s">
        <v>61</v>
      </c>
      <c r="N297" s="29" t="str">
        <f>LEFT(Table17[[#This Row],[ns1:time2]],10)</f>
        <v>2022-09-15</v>
      </c>
    </row>
    <row r="298" spans="1:14" x14ac:dyDescent="0.35">
      <c r="A298">
        <f t="shared" si="9"/>
        <v>297</v>
      </c>
      <c r="B298">
        <f t="shared" si="10"/>
        <v>40</v>
      </c>
      <c r="C298" s="1" t="s">
        <v>11</v>
      </c>
      <c r="D298">
        <v>1.1000000000000001</v>
      </c>
      <c r="E298" s="2" t="s">
        <v>12</v>
      </c>
      <c r="F298" s="1" t="s">
        <v>13</v>
      </c>
      <c r="G298" s="3" t="s">
        <v>417</v>
      </c>
      <c r="H298">
        <v>33.986688000000001</v>
      </c>
      <c r="I298">
        <v>71.455601000000001</v>
      </c>
      <c r="J298">
        <v>395.35131799999999</v>
      </c>
      <c r="K298" s="3" t="s">
        <v>456</v>
      </c>
      <c r="L298">
        <v>224</v>
      </c>
      <c r="M298" s="1" t="s">
        <v>61</v>
      </c>
      <c r="N298" s="29" t="str">
        <f>LEFT(Table17[[#This Row],[ns1:time2]],10)</f>
        <v>2022-09-15</v>
      </c>
    </row>
    <row r="299" spans="1:14" x14ac:dyDescent="0.35">
      <c r="A299">
        <f t="shared" si="9"/>
        <v>298</v>
      </c>
      <c r="B299">
        <f t="shared" si="10"/>
        <v>41</v>
      </c>
      <c r="C299" s="1" t="s">
        <v>11</v>
      </c>
      <c r="D299">
        <v>1.1000000000000001</v>
      </c>
      <c r="E299" s="2" t="s">
        <v>12</v>
      </c>
      <c r="F299" s="1" t="s">
        <v>13</v>
      </c>
      <c r="G299" s="3" t="s">
        <v>417</v>
      </c>
      <c r="H299">
        <v>33.986539999999998</v>
      </c>
      <c r="I299">
        <v>71.456048999999993</v>
      </c>
      <c r="J299">
        <v>397.38317899999998</v>
      </c>
      <c r="K299" s="3" t="s">
        <v>457</v>
      </c>
      <c r="L299">
        <v>225</v>
      </c>
      <c r="M299" s="1" t="s">
        <v>61</v>
      </c>
      <c r="N299" s="29" t="str">
        <f>LEFT(Table17[[#This Row],[ns1:time2]],10)</f>
        <v>2022-09-15</v>
      </c>
    </row>
    <row r="300" spans="1:14" x14ac:dyDescent="0.35">
      <c r="A300">
        <f t="shared" si="9"/>
        <v>299</v>
      </c>
      <c r="B300">
        <f t="shared" si="10"/>
        <v>42</v>
      </c>
      <c r="C300" s="1" t="s">
        <v>11</v>
      </c>
      <c r="D300">
        <v>1.1000000000000001</v>
      </c>
      <c r="E300" s="2" t="s">
        <v>12</v>
      </c>
      <c r="F300" s="1" t="s">
        <v>13</v>
      </c>
      <c r="G300" s="3" t="s">
        <v>417</v>
      </c>
      <c r="H300">
        <v>33.986338000000003</v>
      </c>
      <c r="I300">
        <v>71.456483000000006</v>
      </c>
      <c r="J300">
        <v>397.34530599999999</v>
      </c>
      <c r="K300" s="3" t="s">
        <v>458</v>
      </c>
      <c r="L300">
        <v>226</v>
      </c>
      <c r="M300" s="1" t="s">
        <v>61</v>
      </c>
      <c r="N300" s="29" t="str">
        <f>LEFT(Table17[[#This Row],[ns1:time2]],10)</f>
        <v>2022-09-15</v>
      </c>
    </row>
    <row r="301" spans="1:14" x14ac:dyDescent="0.35">
      <c r="A301">
        <f t="shared" si="9"/>
        <v>300</v>
      </c>
      <c r="B301">
        <f t="shared" si="10"/>
        <v>43</v>
      </c>
      <c r="C301" s="1" t="s">
        <v>11</v>
      </c>
      <c r="D301">
        <v>1.1000000000000001</v>
      </c>
      <c r="E301" s="2" t="s">
        <v>12</v>
      </c>
      <c r="F301" s="1" t="s">
        <v>13</v>
      </c>
      <c r="G301" s="3" t="s">
        <v>417</v>
      </c>
      <c r="H301">
        <v>33.987043</v>
      </c>
      <c r="I301">
        <v>71.454785999999999</v>
      </c>
      <c r="J301">
        <v>397.89325000000002</v>
      </c>
      <c r="K301" s="3" t="s">
        <v>459</v>
      </c>
      <c r="L301">
        <v>227</v>
      </c>
      <c r="M301" s="1" t="s">
        <v>61</v>
      </c>
      <c r="N301" s="29" t="str">
        <f>LEFT(Table17[[#This Row],[ns1:time2]],10)</f>
        <v>2022-09-15</v>
      </c>
    </row>
    <row r="302" spans="1:14" x14ac:dyDescent="0.35">
      <c r="A302">
        <f t="shared" si="9"/>
        <v>301</v>
      </c>
      <c r="B302">
        <f t="shared" si="10"/>
        <v>44</v>
      </c>
      <c r="C302" s="1" t="s">
        <v>11</v>
      </c>
      <c r="D302">
        <v>1.1000000000000001</v>
      </c>
      <c r="E302" s="2" t="s">
        <v>12</v>
      </c>
      <c r="F302" s="1" t="s">
        <v>13</v>
      </c>
      <c r="G302" s="3" t="s">
        <v>417</v>
      </c>
      <c r="H302">
        <v>33.987057999999998</v>
      </c>
      <c r="I302">
        <v>71.454755000000006</v>
      </c>
      <c r="J302">
        <v>398.46517899999998</v>
      </c>
      <c r="K302" s="3" t="s">
        <v>460</v>
      </c>
      <c r="L302">
        <v>228</v>
      </c>
      <c r="M302" s="1" t="s">
        <v>61</v>
      </c>
      <c r="N302" s="29" t="str">
        <f>LEFT(Table17[[#This Row],[ns1:time2]],10)</f>
        <v>2022-09-15</v>
      </c>
    </row>
    <row r="303" spans="1:14" x14ac:dyDescent="0.35">
      <c r="A303">
        <f t="shared" si="9"/>
        <v>302</v>
      </c>
      <c r="B303">
        <f t="shared" si="10"/>
        <v>45</v>
      </c>
      <c r="C303" s="1" t="s">
        <v>11</v>
      </c>
      <c r="D303">
        <v>1.1000000000000001</v>
      </c>
      <c r="E303" s="2" t="s">
        <v>12</v>
      </c>
      <c r="F303" s="1" t="s">
        <v>13</v>
      </c>
      <c r="G303" s="3" t="s">
        <v>417</v>
      </c>
      <c r="H303">
        <v>33.987046999999997</v>
      </c>
      <c r="I303">
        <v>71.454774</v>
      </c>
      <c r="J303">
        <v>398.44680799999998</v>
      </c>
      <c r="K303" s="3" t="s">
        <v>461</v>
      </c>
      <c r="L303">
        <v>229</v>
      </c>
      <c r="M303" s="1" t="s">
        <v>61</v>
      </c>
      <c r="N303" s="29" t="str">
        <f>LEFT(Table17[[#This Row],[ns1:time2]],10)</f>
        <v>2022-09-15</v>
      </c>
    </row>
    <row r="304" spans="1:14" x14ac:dyDescent="0.35">
      <c r="A304">
        <f t="shared" si="9"/>
        <v>303</v>
      </c>
      <c r="B304">
        <f t="shared" si="10"/>
        <v>46</v>
      </c>
      <c r="C304" s="1" t="s">
        <v>11</v>
      </c>
      <c r="D304">
        <v>1.1000000000000001</v>
      </c>
      <c r="E304" s="2" t="s">
        <v>12</v>
      </c>
      <c r="F304" s="1" t="s">
        <v>13</v>
      </c>
      <c r="G304" s="3" t="s">
        <v>417</v>
      </c>
      <c r="H304">
        <v>33.987285999999997</v>
      </c>
      <c r="I304">
        <v>71.454238000000004</v>
      </c>
      <c r="J304">
        <v>397.06646699999999</v>
      </c>
      <c r="K304" s="3" t="s">
        <v>462</v>
      </c>
      <c r="L304">
        <v>230</v>
      </c>
      <c r="M304" s="1" t="s">
        <v>61</v>
      </c>
      <c r="N304" s="29" t="str">
        <f>LEFT(Table17[[#This Row],[ns1:time2]],10)</f>
        <v>2022-09-15</v>
      </c>
    </row>
    <row r="305" spans="1:14" x14ac:dyDescent="0.35">
      <c r="A305">
        <f t="shared" si="9"/>
        <v>304</v>
      </c>
      <c r="B305">
        <f t="shared" si="10"/>
        <v>47</v>
      </c>
      <c r="C305" s="1" t="s">
        <v>11</v>
      </c>
      <c r="D305">
        <v>1.1000000000000001</v>
      </c>
      <c r="E305" s="2" t="s">
        <v>12</v>
      </c>
      <c r="F305" s="1" t="s">
        <v>13</v>
      </c>
      <c r="G305" s="3" t="s">
        <v>417</v>
      </c>
      <c r="H305">
        <v>33.987499999999997</v>
      </c>
      <c r="I305">
        <v>71.453857999999997</v>
      </c>
      <c r="J305">
        <v>398.11132800000001</v>
      </c>
      <c r="K305" s="3" t="s">
        <v>463</v>
      </c>
      <c r="L305">
        <v>231</v>
      </c>
      <c r="M305" s="1" t="s">
        <v>61</v>
      </c>
      <c r="N305" s="29" t="str">
        <f>LEFT(Table17[[#This Row],[ns1:time2]],10)</f>
        <v>2022-09-15</v>
      </c>
    </row>
    <row r="306" spans="1:14" x14ac:dyDescent="0.35">
      <c r="A306">
        <f t="shared" si="9"/>
        <v>305</v>
      </c>
      <c r="B306">
        <f t="shared" si="10"/>
        <v>48</v>
      </c>
      <c r="C306" s="1" t="s">
        <v>11</v>
      </c>
      <c r="D306">
        <v>1.1000000000000001</v>
      </c>
      <c r="E306" s="2" t="s">
        <v>12</v>
      </c>
      <c r="F306" s="1" t="s">
        <v>13</v>
      </c>
      <c r="G306" s="3" t="s">
        <v>417</v>
      </c>
      <c r="H306">
        <v>33.987791999999999</v>
      </c>
      <c r="I306">
        <v>71.453423999999998</v>
      </c>
      <c r="J306">
        <v>397.03997800000002</v>
      </c>
      <c r="K306" s="3" t="s">
        <v>464</v>
      </c>
      <c r="L306">
        <v>232</v>
      </c>
      <c r="M306" s="1" t="s">
        <v>61</v>
      </c>
      <c r="N306" s="29" t="str">
        <f>LEFT(Table17[[#This Row],[ns1:time2]],10)</f>
        <v>2022-09-15</v>
      </c>
    </row>
    <row r="307" spans="1:14" x14ac:dyDescent="0.35">
      <c r="A307">
        <f t="shared" si="9"/>
        <v>306</v>
      </c>
      <c r="B307">
        <f t="shared" si="10"/>
        <v>49</v>
      </c>
      <c r="C307" s="1" t="s">
        <v>11</v>
      </c>
      <c r="D307">
        <v>1.1000000000000001</v>
      </c>
      <c r="E307" s="2" t="s">
        <v>12</v>
      </c>
      <c r="F307" s="1" t="s">
        <v>13</v>
      </c>
      <c r="G307" s="3" t="s">
        <v>417</v>
      </c>
      <c r="H307">
        <v>33.986514</v>
      </c>
      <c r="I307">
        <v>71.454902000000004</v>
      </c>
      <c r="J307">
        <v>396.82916299999999</v>
      </c>
      <c r="K307" s="3" t="s">
        <v>465</v>
      </c>
      <c r="L307">
        <v>233</v>
      </c>
      <c r="M307" s="1" t="s">
        <v>61</v>
      </c>
      <c r="N307" s="29" t="str">
        <f>LEFT(Table17[[#This Row],[ns1:time2]],10)</f>
        <v>2022-09-15</v>
      </c>
    </row>
    <row r="308" spans="1:14" x14ac:dyDescent="0.35">
      <c r="A308">
        <f t="shared" si="9"/>
        <v>307</v>
      </c>
      <c r="B308">
        <f t="shared" si="10"/>
        <v>50</v>
      </c>
      <c r="C308" s="1" t="s">
        <v>11</v>
      </c>
      <c r="D308">
        <v>1.1000000000000001</v>
      </c>
      <c r="E308" s="2" t="s">
        <v>12</v>
      </c>
      <c r="F308" s="1" t="s">
        <v>13</v>
      </c>
      <c r="G308" s="3" t="s">
        <v>417</v>
      </c>
      <c r="H308">
        <v>33.986369000000003</v>
      </c>
      <c r="I308">
        <v>71.454873000000006</v>
      </c>
      <c r="J308">
        <v>397.26763899999997</v>
      </c>
      <c r="K308" s="3" t="s">
        <v>466</v>
      </c>
      <c r="L308">
        <v>234</v>
      </c>
      <c r="M308" s="1" t="s">
        <v>61</v>
      </c>
      <c r="N308" s="29" t="str">
        <f>LEFT(Table17[[#This Row],[ns1:time2]],10)</f>
        <v>2022-09-15</v>
      </c>
    </row>
    <row r="309" spans="1:14" x14ac:dyDescent="0.35">
      <c r="A309">
        <f t="shared" si="9"/>
        <v>308</v>
      </c>
      <c r="B309">
        <f t="shared" si="10"/>
        <v>51</v>
      </c>
      <c r="C309" s="1" t="s">
        <v>11</v>
      </c>
      <c r="D309">
        <v>1.1000000000000001</v>
      </c>
      <c r="E309" s="2" t="s">
        <v>12</v>
      </c>
      <c r="F309" s="1" t="s">
        <v>13</v>
      </c>
      <c r="G309" s="3" t="s">
        <v>417</v>
      </c>
      <c r="H309">
        <v>33.986519999999999</v>
      </c>
      <c r="I309">
        <v>71.454468000000006</v>
      </c>
      <c r="J309">
        <v>399.19305400000002</v>
      </c>
      <c r="K309" s="3" t="s">
        <v>467</v>
      </c>
      <c r="L309">
        <v>235</v>
      </c>
      <c r="M309" s="1" t="s">
        <v>61</v>
      </c>
      <c r="N309" s="29" t="str">
        <f>LEFT(Table17[[#This Row],[ns1:time2]],10)</f>
        <v>2022-09-15</v>
      </c>
    </row>
    <row r="310" spans="1:14" x14ac:dyDescent="0.35">
      <c r="A310">
        <f t="shared" si="9"/>
        <v>309</v>
      </c>
      <c r="B310">
        <f t="shared" si="10"/>
        <v>52</v>
      </c>
      <c r="C310" s="1" t="s">
        <v>11</v>
      </c>
      <c r="D310">
        <v>1.1000000000000001</v>
      </c>
      <c r="E310" s="2" t="s">
        <v>12</v>
      </c>
      <c r="F310" s="1" t="s">
        <v>13</v>
      </c>
      <c r="G310" s="3" t="s">
        <v>417</v>
      </c>
      <c r="H310">
        <v>33.986530000000002</v>
      </c>
      <c r="I310">
        <v>71.454465999999996</v>
      </c>
      <c r="J310">
        <v>399.18356299999999</v>
      </c>
      <c r="K310" s="3" t="s">
        <v>468</v>
      </c>
      <c r="L310">
        <v>236</v>
      </c>
      <c r="M310" s="1" t="s">
        <v>61</v>
      </c>
      <c r="N310" s="29" t="str">
        <f>LEFT(Table17[[#This Row],[ns1:time2]],10)</f>
        <v>2022-09-15</v>
      </c>
    </row>
    <row r="311" spans="1:14" x14ac:dyDescent="0.35">
      <c r="A311">
        <f t="shared" si="9"/>
        <v>310</v>
      </c>
      <c r="B311">
        <f t="shared" si="10"/>
        <v>53</v>
      </c>
      <c r="C311" s="1" t="s">
        <v>11</v>
      </c>
      <c r="D311">
        <v>1.1000000000000001</v>
      </c>
      <c r="E311" s="2" t="s">
        <v>12</v>
      </c>
      <c r="F311" s="1" t="s">
        <v>13</v>
      </c>
      <c r="G311" s="3" t="s">
        <v>417</v>
      </c>
      <c r="H311">
        <v>33.986533000000001</v>
      </c>
      <c r="I311">
        <v>71.454453999999998</v>
      </c>
      <c r="J311">
        <v>399.17285199999998</v>
      </c>
      <c r="K311" s="3" t="s">
        <v>469</v>
      </c>
      <c r="L311">
        <v>237</v>
      </c>
      <c r="M311" s="1" t="s">
        <v>61</v>
      </c>
      <c r="N311" s="29" t="str">
        <f>LEFT(Table17[[#This Row],[ns1:time2]],10)</f>
        <v>2022-09-15</v>
      </c>
    </row>
    <row r="312" spans="1:14" x14ac:dyDescent="0.35">
      <c r="A312">
        <f t="shared" si="9"/>
        <v>311</v>
      </c>
      <c r="B312">
        <f t="shared" si="10"/>
        <v>54</v>
      </c>
      <c r="C312" s="1" t="s">
        <v>11</v>
      </c>
      <c r="D312">
        <v>1.1000000000000001</v>
      </c>
      <c r="E312" s="2" t="s">
        <v>12</v>
      </c>
      <c r="F312" s="1" t="s">
        <v>13</v>
      </c>
      <c r="G312" s="3" t="s">
        <v>417</v>
      </c>
      <c r="H312">
        <v>33.986705999999998</v>
      </c>
      <c r="I312">
        <v>71.453985000000003</v>
      </c>
      <c r="J312">
        <v>404.25640900000002</v>
      </c>
      <c r="K312" s="3" t="s">
        <v>470</v>
      </c>
      <c r="L312">
        <v>238</v>
      </c>
      <c r="M312" s="1" t="s">
        <v>61</v>
      </c>
      <c r="N312" s="29" t="str">
        <f>LEFT(Table17[[#This Row],[ns1:time2]],10)</f>
        <v>2022-09-15</v>
      </c>
    </row>
    <row r="313" spans="1:14" x14ac:dyDescent="0.35">
      <c r="A313">
        <f t="shared" si="9"/>
        <v>312</v>
      </c>
      <c r="B313">
        <f t="shared" si="10"/>
        <v>55</v>
      </c>
      <c r="C313" s="1" t="s">
        <v>11</v>
      </c>
      <c r="D313">
        <v>1.1000000000000001</v>
      </c>
      <c r="E313" s="2" t="s">
        <v>12</v>
      </c>
      <c r="F313" s="1" t="s">
        <v>13</v>
      </c>
      <c r="G313" s="3" t="s">
        <v>417</v>
      </c>
      <c r="H313">
        <v>33.986153000000002</v>
      </c>
      <c r="I313">
        <v>71.455364000000003</v>
      </c>
      <c r="J313">
        <v>387.23904399999998</v>
      </c>
      <c r="K313" s="3" t="s">
        <v>471</v>
      </c>
      <c r="L313">
        <v>239</v>
      </c>
      <c r="M313" s="1" t="s">
        <v>61</v>
      </c>
      <c r="N313" s="29" t="str">
        <f>LEFT(Table17[[#This Row],[ns1:time2]],10)</f>
        <v>2022-09-15</v>
      </c>
    </row>
    <row r="314" spans="1:14" x14ac:dyDescent="0.35">
      <c r="A314">
        <f t="shared" si="9"/>
        <v>313</v>
      </c>
      <c r="B314">
        <f t="shared" si="10"/>
        <v>56</v>
      </c>
      <c r="C314" s="1" t="s">
        <v>11</v>
      </c>
      <c r="D314">
        <v>1.1000000000000001</v>
      </c>
      <c r="E314" s="2" t="s">
        <v>12</v>
      </c>
      <c r="F314" s="1" t="s">
        <v>13</v>
      </c>
      <c r="G314" s="3" t="s">
        <v>417</v>
      </c>
      <c r="H314">
        <v>33.986989000000001</v>
      </c>
      <c r="I314">
        <v>71.453440999999998</v>
      </c>
      <c r="J314">
        <v>388.72814899999997</v>
      </c>
      <c r="K314" s="3" t="s">
        <v>472</v>
      </c>
      <c r="L314">
        <v>240</v>
      </c>
      <c r="M314" s="1" t="s">
        <v>61</v>
      </c>
      <c r="N314" s="29" t="str">
        <f>LEFT(Table17[[#This Row],[ns1:time2]],10)</f>
        <v>2022-09-15</v>
      </c>
    </row>
    <row r="315" spans="1:14" x14ac:dyDescent="0.35">
      <c r="A315">
        <f t="shared" si="9"/>
        <v>314</v>
      </c>
      <c r="B315">
        <f t="shared" si="10"/>
        <v>57</v>
      </c>
      <c r="C315" s="1" t="s">
        <v>11</v>
      </c>
      <c r="D315">
        <v>1.1000000000000001</v>
      </c>
      <c r="E315" s="2" t="s">
        <v>12</v>
      </c>
      <c r="F315" s="1" t="s">
        <v>13</v>
      </c>
      <c r="G315" s="3" t="s">
        <v>417</v>
      </c>
      <c r="H315">
        <v>33.986989999999999</v>
      </c>
      <c r="I315">
        <v>71.453435999999996</v>
      </c>
      <c r="J315">
        <v>388.752228</v>
      </c>
      <c r="K315" s="3" t="s">
        <v>473</v>
      </c>
      <c r="L315">
        <v>241</v>
      </c>
      <c r="M315" s="1" t="s">
        <v>61</v>
      </c>
      <c r="N315" s="29" t="str">
        <f>LEFT(Table17[[#This Row],[ns1:time2]],10)</f>
        <v>2022-09-15</v>
      </c>
    </row>
    <row r="316" spans="1:14" x14ac:dyDescent="0.35">
      <c r="A316">
        <f t="shared" si="9"/>
        <v>315</v>
      </c>
      <c r="B316">
        <f t="shared" si="10"/>
        <v>58</v>
      </c>
      <c r="C316" s="1" t="s">
        <v>11</v>
      </c>
      <c r="D316">
        <v>1.1000000000000001</v>
      </c>
      <c r="E316" s="2" t="s">
        <v>12</v>
      </c>
      <c r="F316" s="1" t="s">
        <v>13</v>
      </c>
      <c r="G316" s="3" t="s">
        <v>417</v>
      </c>
      <c r="H316">
        <v>33.987000000000002</v>
      </c>
      <c r="I316">
        <v>71.453427000000005</v>
      </c>
      <c r="J316">
        <v>388.76001000000002</v>
      </c>
      <c r="K316" s="3" t="s">
        <v>474</v>
      </c>
      <c r="L316">
        <v>242</v>
      </c>
      <c r="M316" s="1" t="s">
        <v>61</v>
      </c>
      <c r="N316" s="29" t="str">
        <f>LEFT(Table17[[#This Row],[ns1:time2]],10)</f>
        <v>2022-09-15</v>
      </c>
    </row>
    <row r="317" spans="1:14" x14ac:dyDescent="0.35">
      <c r="A317">
        <f t="shared" si="9"/>
        <v>316</v>
      </c>
      <c r="B317">
        <f t="shared" si="10"/>
        <v>59</v>
      </c>
      <c r="C317" s="1" t="s">
        <v>11</v>
      </c>
      <c r="D317">
        <v>1.1000000000000001</v>
      </c>
      <c r="E317" s="2" t="s">
        <v>12</v>
      </c>
      <c r="F317" s="1" t="s">
        <v>13</v>
      </c>
      <c r="G317" s="3" t="s">
        <v>417</v>
      </c>
      <c r="H317">
        <v>33.987090999999999</v>
      </c>
      <c r="I317">
        <v>71.453079000000002</v>
      </c>
      <c r="J317">
        <v>389.871307</v>
      </c>
      <c r="K317" s="3" t="s">
        <v>475</v>
      </c>
      <c r="L317">
        <v>243</v>
      </c>
      <c r="M317" s="1" t="s">
        <v>61</v>
      </c>
      <c r="N317" s="29" t="str">
        <f>LEFT(Table17[[#This Row],[ns1:time2]],10)</f>
        <v>2022-09-15</v>
      </c>
    </row>
    <row r="318" spans="1:14" x14ac:dyDescent="0.35">
      <c r="A318">
        <f t="shared" si="9"/>
        <v>317</v>
      </c>
      <c r="B318">
        <f t="shared" si="10"/>
        <v>60</v>
      </c>
      <c r="C318" s="1" t="s">
        <v>11</v>
      </c>
      <c r="D318">
        <v>1.1000000000000001</v>
      </c>
      <c r="E318" s="2" t="s">
        <v>12</v>
      </c>
      <c r="F318" s="1" t="s">
        <v>13</v>
      </c>
      <c r="G318" s="3" t="s">
        <v>417</v>
      </c>
      <c r="H318">
        <v>33.98724</v>
      </c>
      <c r="I318">
        <v>71.452744999999993</v>
      </c>
      <c r="J318">
        <v>389.34310900000003</v>
      </c>
      <c r="K318" s="3" t="s">
        <v>476</v>
      </c>
      <c r="L318">
        <v>244</v>
      </c>
      <c r="M318" s="1" t="s">
        <v>61</v>
      </c>
      <c r="N318" s="29" t="str">
        <f>LEFT(Table17[[#This Row],[ns1:time2]],10)</f>
        <v>2022-09-15</v>
      </c>
    </row>
    <row r="319" spans="1:14" x14ac:dyDescent="0.35">
      <c r="A319">
        <f t="shared" si="9"/>
        <v>318</v>
      </c>
      <c r="B319">
        <f t="shared" si="10"/>
        <v>61</v>
      </c>
      <c r="C319" s="1" t="s">
        <v>11</v>
      </c>
      <c r="D319">
        <v>1.1000000000000001</v>
      </c>
      <c r="E319" s="2" t="s">
        <v>12</v>
      </c>
      <c r="F319" s="1" t="s">
        <v>13</v>
      </c>
      <c r="G319" s="3" t="s">
        <v>417</v>
      </c>
      <c r="H319">
        <v>33.987372999999998</v>
      </c>
      <c r="I319">
        <v>71.452410999999998</v>
      </c>
      <c r="J319">
        <v>390.17828400000002</v>
      </c>
      <c r="K319" s="3" t="s">
        <v>477</v>
      </c>
      <c r="L319">
        <v>245</v>
      </c>
      <c r="M319" s="1" t="s">
        <v>61</v>
      </c>
      <c r="N319" s="29" t="str">
        <f>LEFT(Table17[[#This Row],[ns1:time2]],10)</f>
        <v>2022-09-15</v>
      </c>
    </row>
    <row r="320" spans="1:14" x14ac:dyDescent="0.35">
      <c r="A320">
        <f t="shared" si="9"/>
        <v>319</v>
      </c>
      <c r="B320">
        <f t="shared" si="10"/>
        <v>62</v>
      </c>
      <c r="C320" s="1" t="s">
        <v>11</v>
      </c>
      <c r="D320">
        <v>1.1000000000000001</v>
      </c>
      <c r="E320" s="2" t="s">
        <v>12</v>
      </c>
      <c r="F320" s="1" t="s">
        <v>13</v>
      </c>
      <c r="G320" s="3" t="s">
        <v>417</v>
      </c>
      <c r="H320">
        <v>33.987223</v>
      </c>
      <c r="I320">
        <v>71.452188000000007</v>
      </c>
      <c r="J320">
        <v>390.08902</v>
      </c>
      <c r="K320" s="3" t="s">
        <v>478</v>
      </c>
      <c r="L320">
        <v>246</v>
      </c>
      <c r="M320" s="1" t="s">
        <v>61</v>
      </c>
      <c r="N320" s="29" t="str">
        <f>LEFT(Table17[[#This Row],[ns1:time2]],10)</f>
        <v>2022-09-15</v>
      </c>
    </row>
    <row r="321" spans="1:14" x14ac:dyDescent="0.35">
      <c r="A321" s="19">
        <f t="shared" si="9"/>
        <v>320</v>
      </c>
      <c r="B321" s="19">
        <v>1</v>
      </c>
      <c r="C321" s="18" t="s">
        <v>11</v>
      </c>
      <c r="D321" s="19">
        <v>1.1000000000000001</v>
      </c>
      <c r="E321" s="20" t="s">
        <v>12</v>
      </c>
      <c r="F321" s="18" t="s">
        <v>13</v>
      </c>
      <c r="G321" s="21" t="s">
        <v>479</v>
      </c>
      <c r="H321" s="19">
        <v>33.985916000000003</v>
      </c>
      <c r="I321" s="19">
        <v>71.455917999999997</v>
      </c>
      <c r="J321" s="19">
        <v>385.88552900000002</v>
      </c>
      <c r="K321" s="21" t="s">
        <v>479</v>
      </c>
      <c r="L321" s="19">
        <v>247</v>
      </c>
      <c r="M321" s="18" t="s">
        <v>61</v>
      </c>
      <c r="N321" s="29" t="str">
        <f>LEFT(Table17[[#This Row],[ns1:time2]],10)</f>
        <v>2022-09-16</v>
      </c>
    </row>
    <row r="322" spans="1:14" x14ac:dyDescent="0.35">
      <c r="A322">
        <f t="shared" si="9"/>
        <v>321</v>
      </c>
      <c r="B322">
        <f>B321+1</f>
        <v>2</v>
      </c>
      <c r="C322" s="1" t="s">
        <v>11</v>
      </c>
      <c r="D322">
        <v>1.1000000000000001</v>
      </c>
      <c r="E322" s="2" t="s">
        <v>12</v>
      </c>
      <c r="F322" s="1" t="s">
        <v>13</v>
      </c>
      <c r="G322" s="3" t="s">
        <v>479</v>
      </c>
      <c r="H322">
        <v>33.985923999999997</v>
      </c>
      <c r="I322">
        <v>71.455905999999999</v>
      </c>
      <c r="J322">
        <v>385.88110399999999</v>
      </c>
      <c r="K322" s="3" t="s">
        <v>480</v>
      </c>
      <c r="L322">
        <v>248</v>
      </c>
      <c r="M322" s="1" t="s">
        <v>61</v>
      </c>
      <c r="N322" s="29" t="str">
        <f>LEFT(Table17[[#This Row],[ns1:time2]],10)</f>
        <v>2022-09-16</v>
      </c>
    </row>
    <row r="323" spans="1:14" x14ac:dyDescent="0.35">
      <c r="A323">
        <f t="shared" si="9"/>
        <v>322</v>
      </c>
      <c r="B323">
        <f t="shared" ref="B323:B386" si="11">B322+1</f>
        <v>3</v>
      </c>
      <c r="C323" s="1" t="s">
        <v>11</v>
      </c>
      <c r="D323">
        <v>1.1000000000000001</v>
      </c>
      <c r="E323" s="2" t="s">
        <v>12</v>
      </c>
      <c r="F323" s="1" t="s">
        <v>13</v>
      </c>
      <c r="G323" s="3" t="s">
        <v>479</v>
      </c>
      <c r="H323">
        <v>33.985928000000001</v>
      </c>
      <c r="I323">
        <v>71.455889999999997</v>
      </c>
      <c r="J323">
        <v>385.892944</v>
      </c>
      <c r="K323" s="3" t="s">
        <v>481</v>
      </c>
      <c r="L323">
        <v>249</v>
      </c>
      <c r="M323" s="1" t="s">
        <v>61</v>
      </c>
      <c r="N323" s="29" t="str">
        <f>LEFT(Table17[[#This Row],[ns1:time2]],10)</f>
        <v>2022-09-16</v>
      </c>
    </row>
    <row r="324" spans="1:14" x14ac:dyDescent="0.35">
      <c r="A324">
        <f t="shared" ref="A324:A387" si="12">A323+1</f>
        <v>323</v>
      </c>
      <c r="B324">
        <f t="shared" si="11"/>
        <v>4</v>
      </c>
      <c r="C324" s="1" t="s">
        <v>11</v>
      </c>
      <c r="D324">
        <v>1.1000000000000001</v>
      </c>
      <c r="E324" s="2" t="s">
        <v>12</v>
      </c>
      <c r="F324" s="1" t="s">
        <v>13</v>
      </c>
      <c r="G324" s="3" t="s">
        <v>479</v>
      </c>
      <c r="H324">
        <v>33.985926999999997</v>
      </c>
      <c r="I324">
        <v>71.455223000000004</v>
      </c>
      <c r="J324">
        <v>387.58923299999998</v>
      </c>
      <c r="K324" s="3" t="s">
        <v>482</v>
      </c>
      <c r="L324">
        <v>250</v>
      </c>
      <c r="M324" s="1" t="s">
        <v>61</v>
      </c>
      <c r="N324" s="29" t="str">
        <f>LEFT(Table17[[#This Row],[ns1:time2]],10)</f>
        <v>2022-09-16</v>
      </c>
    </row>
    <row r="325" spans="1:14" x14ac:dyDescent="0.35">
      <c r="A325">
        <f t="shared" si="12"/>
        <v>324</v>
      </c>
      <c r="B325">
        <f t="shared" si="11"/>
        <v>5</v>
      </c>
      <c r="C325" s="1" t="s">
        <v>11</v>
      </c>
      <c r="D325">
        <v>1.1000000000000001</v>
      </c>
      <c r="E325" s="2" t="s">
        <v>12</v>
      </c>
      <c r="F325" s="1" t="s">
        <v>13</v>
      </c>
      <c r="G325" s="3" t="s">
        <v>479</v>
      </c>
      <c r="H325">
        <v>33.985487999999997</v>
      </c>
      <c r="I325">
        <v>71.455668000000003</v>
      </c>
      <c r="J325">
        <v>385.94229100000001</v>
      </c>
      <c r="K325" s="3" t="s">
        <v>483</v>
      </c>
      <c r="L325">
        <v>251</v>
      </c>
      <c r="M325" s="1" t="s">
        <v>61</v>
      </c>
      <c r="N325" s="29" t="str">
        <f>LEFT(Table17[[#This Row],[ns1:time2]],10)</f>
        <v>2022-09-16</v>
      </c>
    </row>
    <row r="326" spans="1:14" x14ac:dyDescent="0.35">
      <c r="A326">
        <f t="shared" si="12"/>
        <v>325</v>
      </c>
      <c r="B326">
        <f t="shared" si="11"/>
        <v>6</v>
      </c>
      <c r="C326" s="1" t="s">
        <v>11</v>
      </c>
      <c r="D326">
        <v>1.1000000000000001</v>
      </c>
      <c r="E326" s="2" t="s">
        <v>12</v>
      </c>
      <c r="F326" s="1" t="s">
        <v>13</v>
      </c>
      <c r="G326" s="3" t="s">
        <v>479</v>
      </c>
      <c r="H326">
        <v>33.985250000000001</v>
      </c>
      <c r="I326">
        <v>71.455532000000005</v>
      </c>
      <c r="J326">
        <v>388.911407</v>
      </c>
      <c r="K326" s="3" t="s">
        <v>484</v>
      </c>
      <c r="L326">
        <v>252</v>
      </c>
      <c r="M326" s="1" t="s">
        <v>61</v>
      </c>
      <c r="N326" s="29" t="str">
        <f>LEFT(Table17[[#This Row],[ns1:time2]],10)</f>
        <v>2022-09-16</v>
      </c>
    </row>
    <row r="327" spans="1:14" x14ac:dyDescent="0.35">
      <c r="A327">
        <f t="shared" si="12"/>
        <v>326</v>
      </c>
      <c r="B327">
        <f t="shared" si="11"/>
        <v>7</v>
      </c>
      <c r="C327" s="1" t="s">
        <v>11</v>
      </c>
      <c r="D327">
        <v>1.1000000000000001</v>
      </c>
      <c r="E327" s="2" t="s">
        <v>12</v>
      </c>
      <c r="F327" s="1" t="s">
        <v>13</v>
      </c>
      <c r="G327" s="3" t="s">
        <v>479</v>
      </c>
      <c r="H327">
        <v>33.985858</v>
      </c>
      <c r="I327">
        <v>71.456093999999993</v>
      </c>
      <c r="J327">
        <v>385.945312</v>
      </c>
      <c r="K327" s="3" t="s">
        <v>485</v>
      </c>
      <c r="L327">
        <v>253</v>
      </c>
      <c r="M327" s="1" t="s">
        <v>61</v>
      </c>
      <c r="N327" s="29" t="str">
        <f>LEFT(Table17[[#This Row],[ns1:time2]],10)</f>
        <v>2022-09-16</v>
      </c>
    </row>
    <row r="328" spans="1:14" x14ac:dyDescent="0.35">
      <c r="A328">
        <f t="shared" si="12"/>
        <v>327</v>
      </c>
      <c r="B328">
        <f t="shared" si="11"/>
        <v>8</v>
      </c>
      <c r="C328" s="1" t="s">
        <v>11</v>
      </c>
      <c r="D328">
        <v>1.1000000000000001</v>
      </c>
      <c r="E328" s="2" t="s">
        <v>12</v>
      </c>
      <c r="F328" s="1" t="s">
        <v>13</v>
      </c>
      <c r="G328" s="3" t="s">
        <v>479</v>
      </c>
      <c r="H328">
        <v>33.985729999999997</v>
      </c>
      <c r="I328">
        <v>71.456394000000003</v>
      </c>
      <c r="J328">
        <v>386.348297</v>
      </c>
      <c r="K328" s="3" t="s">
        <v>486</v>
      </c>
      <c r="L328">
        <v>254</v>
      </c>
      <c r="M328" s="1" t="s">
        <v>61</v>
      </c>
      <c r="N328" s="29" t="str">
        <f>LEFT(Table17[[#This Row],[ns1:time2]],10)</f>
        <v>2022-09-16</v>
      </c>
    </row>
    <row r="329" spans="1:14" x14ac:dyDescent="0.35">
      <c r="A329">
        <f t="shared" si="12"/>
        <v>328</v>
      </c>
      <c r="B329">
        <f t="shared" si="11"/>
        <v>9</v>
      </c>
      <c r="C329" s="1" t="s">
        <v>11</v>
      </c>
      <c r="D329">
        <v>1.1000000000000001</v>
      </c>
      <c r="E329" s="2" t="s">
        <v>12</v>
      </c>
      <c r="F329" s="1" t="s">
        <v>13</v>
      </c>
      <c r="G329" s="3" t="s">
        <v>479</v>
      </c>
      <c r="H329">
        <v>33.985588999999997</v>
      </c>
      <c r="I329">
        <v>71.456755999999999</v>
      </c>
      <c r="J329">
        <v>386.58505200000002</v>
      </c>
      <c r="K329" s="3" t="s">
        <v>487</v>
      </c>
      <c r="L329">
        <v>255</v>
      </c>
      <c r="M329" s="1" t="s">
        <v>61</v>
      </c>
      <c r="N329" s="29" t="str">
        <f>LEFT(Table17[[#This Row],[ns1:time2]],10)</f>
        <v>2022-09-16</v>
      </c>
    </row>
    <row r="330" spans="1:14" x14ac:dyDescent="0.35">
      <c r="A330">
        <f t="shared" si="12"/>
        <v>329</v>
      </c>
      <c r="B330">
        <f t="shared" si="11"/>
        <v>10</v>
      </c>
      <c r="C330" s="1" t="s">
        <v>11</v>
      </c>
      <c r="D330">
        <v>1.1000000000000001</v>
      </c>
      <c r="E330" s="2" t="s">
        <v>12</v>
      </c>
      <c r="F330" s="1" t="s">
        <v>13</v>
      </c>
      <c r="G330" s="3" t="s">
        <v>479</v>
      </c>
      <c r="H330">
        <v>33.985591999999997</v>
      </c>
      <c r="I330">
        <v>71.456766999999999</v>
      </c>
      <c r="J330">
        <v>387.31637599999999</v>
      </c>
      <c r="K330" s="3" t="s">
        <v>488</v>
      </c>
      <c r="L330">
        <v>256</v>
      </c>
      <c r="M330" s="1" t="s">
        <v>61</v>
      </c>
      <c r="N330" s="29" t="str">
        <f>LEFT(Table17[[#This Row],[ns1:time2]],10)</f>
        <v>2022-09-16</v>
      </c>
    </row>
    <row r="331" spans="1:14" x14ac:dyDescent="0.35">
      <c r="A331">
        <f t="shared" si="12"/>
        <v>330</v>
      </c>
      <c r="B331">
        <f t="shared" si="11"/>
        <v>11</v>
      </c>
      <c r="C331" s="1" t="s">
        <v>11</v>
      </c>
      <c r="D331">
        <v>1.1000000000000001</v>
      </c>
      <c r="E331" s="2" t="s">
        <v>12</v>
      </c>
      <c r="F331" s="1" t="s">
        <v>13</v>
      </c>
      <c r="G331" s="3" t="s">
        <v>479</v>
      </c>
      <c r="H331">
        <v>33.985588</v>
      </c>
      <c r="I331">
        <v>71.456748000000005</v>
      </c>
      <c r="J331">
        <v>387.31350700000002</v>
      </c>
      <c r="K331" s="3" t="s">
        <v>489</v>
      </c>
      <c r="L331">
        <v>257</v>
      </c>
      <c r="M331" s="1" t="s">
        <v>61</v>
      </c>
      <c r="N331" s="29" t="str">
        <f>LEFT(Table17[[#This Row],[ns1:time2]],10)</f>
        <v>2022-09-16</v>
      </c>
    </row>
    <row r="332" spans="1:14" x14ac:dyDescent="0.35">
      <c r="A332">
        <f t="shared" si="12"/>
        <v>331</v>
      </c>
      <c r="B332">
        <f t="shared" si="11"/>
        <v>12</v>
      </c>
      <c r="C332" s="1" t="s">
        <v>11</v>
      </c>
      <c r="D332">
        <v>1.1000000000000001</v>
      </c>
      <c r="E332" s="2" t="s">
        <v>12</v>
      </c>
      <c r="F332" s="1" t="s">
        <v>13</v>
      </c>
      <c r="G332" s="3" t="s">
        <v>479</v>
      </c>
      <c r="H332">
        <v>33.985321999999996</v>
      </c>
      <c r="I332">
        <v>71.457324</v>
      </c>
      <c r="J332">
        <v>388.90267899999998</v>
      </c>
      <c r="K332" s="3" t="s">
        <v>490</v>
      </c>
      <c r="L332">
        <v>258</v>
      </c>
      <c r="M332" s="1" t="s">
        <v>61</v>
      </c>
      <c r="N332" s="29" t="str">
        <f>LEFT(Table17[[#This Row],[ns1:time2]],10)</f>
        <v>2022-09-16</v>
      </c>
    </row>
    <row r="333" spans="1:14" x14ac:dyDescent="0.35">
      <c r="A333">
        <f t="shared" si="12"/>
        <v>332</v>
      </c>
      <c r="B333">
        <f t="shared" si="11"/>
        <v>13</v>
      </c>
      <c r="C333" s="1" t="s">
        <v>11</v>
      </c>
      <c r="D333">
        <v>1.1000000000000001</v>
      </c>
      <c r="E333" s="2" t="s">
        <v>12</v>
      </c>
      <c r="F333" s="1" t="s">
        <v>13</v>
      </c>
      <c r="G333" s="3" t="s">
        <v>479</v>
      </c>
      <c r="H333">
        <v>33.984921999999997</v>
      </c>
      <c r="I333">
        <v>71.457089999999994</v>
      </c>
      <c r="J333">
        <v>389.97152699999998</v>
      </c>
      <c r="K333" s="3" t="s">
        <v>491</v>
      </c>
      <c r="L333">
        <v>259</v>
      </c>
      <c r="M333" s="1" t="s">
        <v>61</v>
      </c>
      <c r="N333" s="29" t="str">
        <f>LEFT(Table17[[#This Row],[ns1:time2]],10)</f>
        <v>2022-09-16</v>
      </c>
    </row>
    <row r="334" spans="1:14" x14ac:dyDescent="0.35">
      <c r="A334">
        <f t="shared" si="12"/>
        <v>333</v>
      </c>
      <c r="B334">
        <f t="shared" si="11"/>
        <v>14</v>
      </c>
      <c r="C334" s="1" t="s">
        <v>11</v>
      </c>
      <c r="D334">
        <v>1.1000000000000001</v>
      </c>
      <c r="E334" s="2" t="s">
        <v>12</v>
      </c>
      <c r="F334" s="1" t="s">
        <v>13</v>
      </c>
      <c r="G334" s="3" t="s">
        <v>479</v>
      </c>
      <c r="H334">
        <v>33.985084000000001</v>
      </c>
      <c r="I334">
        <v>71.456627999999995</v>
      </c>
      <c r="J334">
        <v>391.83984400000003</v>
      </c>
      <c r="K334" s="3" t="s">
        <v>492</v>
      </c>
      <c r="L334">
        <v>260</v>
      </c>
      <c r="M334" s="1" t="s">
        <v>61</v>
      </c>
      <c r="N334" s="29" t="str">
        <f>LEFT(Table17[[#This Row],[ns1:time2]],10)</f>
        <v>2022-09-16</v>
      </c>
    </row>
    <row r="335" spans="1:14" x14ac:dyDescent="0.35">
      <c r="A335">
        <f t="shared" si="12"/>
        <v>334</v>
      </c>
      <c r="B335">
        <f t="shared" si="11"/>
        <v>15</v>
      </c>
      <c r="C335" s="1" t="s">
        <v>11</v>
      </c>
      <c r="D335">
        <v>1.1000000000000001</v>
      </c>
      <c r="E335" s="2" t="s">
        <v>12</v>
      </c>
      <c r="F335" s="1" t="s">
        <v>13</v>
      </c>
      <c r="G335" s="3" t="s">
        <v>479</v>
      </c>
      <c r="H335">
        <v>33.985156000000003</v>
      </c>
      <c r="I335">
        <v>71.457762000000002</v>
      </c>
      <c r="J335">
        <v>389.563965</v>
      </c>
      <c r="K335" s="3" t="s">
        <v>493</v>
      </c>
      <c r="L335">
        <v>261</v>
      </c>
      <c r="M335" s="1" t="s">
        <v>61</v>
      </c>
      <c r="N335" s="29" t="str">
        <f>LEFT(Table17[[#This Row],[ns1:time2]],10)</f>
        <v>2022-09-16</v>
      </c>
    </row>
    <row r="336" spans="1:14" x14ac:dyDescent="0.35">
      <c r="A336">
        <f t="shared" si="12"/>
        <v>335</v>
      </c>
      <c r="B336">
        <f t="shared" si="11"/>
        <v>16</v>
      </c>
      <c r="C336" s="1" t="s">
        <v>11</v>
      </c>
      <c r="D336">
        <v>1.1000000000000001</v>
      </c>
      <c r="E336" s="2" t="s">
        <v>12</v>
      </c>
      <c r="F336" s="1" t="s">
        <v>13</v>
      </c>
      <c r="G336" s="3" t="s">
        <v>479</v>
      </c>
      <c r="H336">
        <v>33.985154000000001</v>
      </c>
      <c r="I336">
        <v>71.457767000000004</v>
      </c>
      <c r="J336">
        <v>389.55191000000002</v>
      </c>
      <c r="K336" s="3" t="s">
        <v>494</v>
      </c>
      <c r="L336">
        <v>262</v>
      </c>
      <c r="M336" s="1" t="s">
        <v>61</v>
      </c>
      <c r="N336" s="29" t="str">
        <f>LEFT(Table17[[#This Row],[ns1:time2]],10)</f>
        <v>2022-09-16</v>
      </c>
    </row>
    <row r="337" spans="1:14" x14ac:dyDescent="0.35">
      <c r="A337">
        <f t="shared" si="12"/>
        <v>336</v>
      </c>
      <c r="B337">
        <f t="shared" si="11"/>
        <v>17</v>
      </c>
      <c r="C337" s="1" t="s">
        <v>11</v>
      </c>
      <c r="D337">
        <v>1.1000000000000001</v>
      </c>
      <c r="E337" s="2" t="s">
        <v>12</v>
      </c>
      <c r="F337" s="1" t="s">
        <v>13</v>
      </c>
      <c r="G337" s="3" t="s">
        <v>479</v>
      </c>
      <c r="H337">
        <v>33.985160999999998</v>
      </c>
      <c r="I337">
        <v>71.457773000000003</v>
      </c>
      <c r="J337">
        <v>389.54757699999999</v>
      </c>
      <c r="K337" s="3" t="s">
        <v>495</v>
      </c>
      <c r="L337">
        <v>263</v>
      </c>
      <c r="M337" s="1" t="s">
        <v>61</v>
      </c>
      <c r="N337" s="29" t="str">
        <f>LEFT(Table17[[#This Row],[ns1:time2]],10)</f>
        <v>2022-09-16</v>
      </c>
    </row>
    <row r="338" spans="1:14" x14ac:dyDescent="0.35">
      <c r="A338">
        <f t="shared" si="12"/>
        <v>337</v>
      </c>
      <c r="B338">
        <f t="shared" si="11"/>
        <v>18</v>
      </c>
      <c r="C338" s="1" t="s">
        <v>11</v>
      </c>
      <c r="D338">
        <v>1.1000000000000001</v>
      </c>
      <c r="E338" s="2" t="s">
        <v>12</v>
      </c>
      <c r="F338" s="1" t="s">
        <v>13</v>
      </c>
      <c r="G338" s="3" t="s">
        <v>479</v>
      </c>
      <c r="H338">
        <v>33.984982000000002</v>
      </c>
      <c r="I338">
        <v>71.458185</v>
      </c>
      <c r="J338">
        <v>388.37368800000002</v>
      </c>
      <c r="K338" s="3" t="s">
        <v>496</v>
      </c>
      <c r="L338">
        <v>264</v>
      </c>
      <c r="M338" s="1" t="s">
        <v>61</v>
      </c>
      <c r="N338" s="29" t="str">
        <f>LEFT(Table17[[#This Row],[ns1:time2]],10)</f>
        <v>2022-09-16</v>
      </c>
    </row>
    <row r="339" spans="1:14" x14ac:dyDescent="0.35">
      <c r="A339">
        <f t="shared" si="12"/>
        <v>338</v>
      </c>
      <c r="B339">
        <f t="shared" si="11"/>
        <v>19</v>
      </c>
      <c r="C339" s="1" t="s">
        <v>11</v>
      </c>
      <c r="D339">
        <v>1.1000000000000001</v>
      </c>
      <c r="E339" s="2" t="s">
        <v>12</v>
      </c>
      <c r="F339" s="1" t="s">
        <v>13</v>
      </c>
      <c r="G339" s="3" t="s">
        <v>479</v>
      </c>
      <c r="H339">
        <v>33.984980999999998</v>
      </c>
      <c r="I339">
        <v>71.458186999999995</v>
      </c>
      <c r="J339">
        <v>388.688873</v>
      </c>
      <c r="K339" s="3" t="s">
        <v>497</v>
      </c>
      <c r="L339">
        <v>265</v>
      </c>
      <c r="M339" s="1" t="s">
        <v>61</v>
      </c>
      <c r="N339" s="29" t="str">
        <f>LEFT(Table17[[#This Row],[ns1:time2]],10)</f>
        <v>2022-09-16</v>
      </c>
    </row>
    <row r="340" spans="1:14" x14ac:dyDescent="0.35">
      <c r="A340">
        <f t="shared" si="12"/>
        <v>339</v>
      </c>
      <c r="B340">
        <f t="shared" si="11"/>
        <v>20</v>
      </c>
      <c r="C340" s="1" t="s">
        <v>11</v>
      </c>
      <c r="D340">
        <v>1.1000000000000001</v>
      </c>
      <c r="E340" s="2" t="s">
        <v>12</v>
      </c>
      <c r="F340" s="1" t="s">
        <v>13</v>
      </c>
      <c r="G340" s="3" t="s">
        <v>479</v>
      </c>
      <c r="H340">
        <v>33.984990000000003</v>
      </c>
      <c r="I340">
        <v>71.458169999999996</v>
      </c>
      <c r="J340">
        <v>388.691101</v>
      </c>
      <c r="K340" s="3" t="s">
        <v>498</v>
      </c>
      <c r="L340">
        <v>266</v>
      </c>
      <c r="M340" s="1" t="s">
        <v>61</v>
      </c>
      <c r="N340" s="29" t="str">
        <f>LEFT(Table17[[#This Row],[ns1:time2]],10)</f>
        <v>2022-09-16</v>
      </c>
    </row>
    <row r="341" spans="1:14" x14ac:dyDescent="0.35">
      <c r="A341">
        <f t="shared" si="12"/>
        <v>340</v>
      </c>
      <c r="B341">
        <f t="shared" si="11"/>
        <v>21</v>
      </c>
      <c r="C341" s="1" t="s">
        <v>11</v>
      </c>
      <c r="D341">
        <v>1.1000000000000001</v>
      </c>
      <c r="E341" s="2" t="s">
        <v>12</v>
      </c>
      <c r="F341" s="1" t="s">
        <v>13</v>
      </c>
      <c r="G341" s="3" t="s">
        <v>479</v>
      </c>
      <c r="H341">
        <v>33.984771000000002</v>
      </c>
      <c r="I341">
        <v>71.458701000000005</v>
      </c>
      <c r="J341">
        <v>386.38330100000002</v>
      </c>
      <c r="K341" s="3" t="s">
        <v>499</v>
      </c>
      <c r="L341">
        <v>267</v>
      </c>
      <c r="M341" s="1" t="s">
        <v>61</v>
      </c>
      <c r="N341" s="29" t="str">
        <f>LEFT(Table17[[#This Row],[ns1:time2]],10)</f>
        <v>2022-09-16</v>
      </c>
    </row>
    <row r="342" spans="1:14" x14ac:dyDescent="0.35">
      <c r="A342">
        <f t="shared" si="12"/>
        <v>341</v>
      </c>
      <c r="B342">
        <f t="shared" si="11"/>
        <v>22</v>
      </c>
      <c r="C342" s="1" t="s">
        <v>11</v>
      </c>
      <c r="D342">
        <v>1.1000000000000001</v>
      </c>
      <c r="E342" s="2" t="s">
        <v>12</v>
      </c>
      <c r="F342" s="1" t="s">
        <v>13</v>
      </c>
      <c r="G342" s="3" t="s">
        <v>479</v>
      </c>
      <c r="H342">
        <v>33.985207000000003</v>
      </c>
      <c r="I342">
        <v>71.458346000000006</v>
      </c>
      <c r="J342">
        <v>390.13736</v>
      </c>
      <c r="K342" s="3" t="s">
        <v>500</v>
      </c>
      <c r="L342">
        <v>268</v>
      </c>
      <c r="M342" s="1" t="s">
        <v>61</v>
      </c>
      <c r="N342" s="29" t="str">
        <f>LEFT(Table17[[#This Row],[ns1:time2]],10)</f>
        <v>2022-09-16</v>
      </c>
    </row>
    <row r="343" spans="1:14" x14ac:dyDescent="0.35">
      <c r="A343">
        <f t="shared" si="12"/>
        <v>342</v>
      </c>
      <c r="B343">
        <f t="shared" si="11"/>
        <v>23</v>
      </c>
      <c r="C343" s="1" t="s">
        <v>11</v>
      </c>
      <c r="D343">
        <v>1.1000000000000001</v>
      </c>
      <c r="E343" s="2" t="s">
        <v>12</v>
      </c>
      <c r="F343" s="1" t="s">
        <v>13</v>
      </c>
      <c r="G343" s="3" t="s">
        <v>479</v>
      </c>
      <c r="H343">
        <v>33.984634999999997</v>
      </c>
      <c r="I343">
        <v>71.457994999999997</v>
      </c>
      <c r="J343">
        <v>390.58163500000001</v>
      </c>
      <c r="K343" s="3" t="s">
        <v>501</v>
      </c>
      <c r="L343">
        <v>269</v>
      </c>
      <c r="M343" s="1" t="s">
        <v>61</v>
      </c>
      <c r="N343" s="29" t="str">
        <f>LEFT(Table17[[#This Row],[ns1:time2]],10)</f>
        <v>2022-09-16</v>
      </c>
    </row>
    <row r="344" spans="1:14" x14ac:dyDescent="0.35">
      <c r="A344">
        <f t="shared" si="12"/>
        <v>343</v>
      </c>
      <c r="B344">
        <f t="shared" si="11"/>
        <v>24</v>
      </c>
      <c r="C344" s="1" t="s">
        <v>11</v>
      </c>
      <c r="D344">
        <v>1.1000000000000001</v>
      </c>
      <c r="E344" s="2" t="s">
        <v>12</v>
      </c>
      <c r="F344" s="1" t="s">
        <v>13</v>
      </c>
      <c r="G344" s="3" t="s">
        <v>479</v>
      </c>
      <c r="H344">
        <v>33.984634999999997</v>
      </c>
      <c r="I344">
        <v>71.457999000000001</v>
      </c>
      <c r="J344">
        <v>390.574005</v>
      </c>
      <c r="K344" s="3" t="s">
        <v>502</v>
      </c>
      <c r="L344">
        <v>270</v>
      </c>
      <c r="M344" s="1" t="s">
        <v>61</v>
      </c>
      <c r="N344" s="29" t="str">
        <f>LEFT(Table17[[#This Row],[ns1:time2]],10)</f>
        <v>2022-09-16</v>
      </c>
    </row>
    <row r="345" spans="1:14" x14ac:dyDescent="0.35">
      <c r="A345">
        <f t="shared" si="12"/>
        <v>344</v>
      </c>
      <c r="B345">
        <f t="shared" si="11"/>
        <v>25</v>
      </c>
      <c r="C345" s="1" t="s">
        <v>11</v>
      </c>
      <c r="D345">
        <v>1.1000000000000001</v>
      </c>
      <c r="E345" s="2" t="s">
        <v>12</v>
      </c>
      <c r="F345" s="1" t="s">
        <v>13</v>
      </c>
      <c r="G345" s="3" t="s">
        <v>479</v>
      </c>
      <c r="H345">
        <v>33.984641000000003</v>
      </c>
      <c r="I345">
        <v>71.457998000000003</v>
      </c>
      <c r="J345">
        <v>390.57714800000002</v>
      </c>
      <c r="K345" s="3" t="s">
        <v>503</v>
      </c>
      <c r="L345">
        <v>271</v>
      </c>
      <c r="M345" s="1" t="s">
        <v>61</v>
      </c>
      <c r="N345" s="29" t="str">
        <f>LEFT(Table17[[#This Row],[ns1:time2]],10)</f>
        <v>2022-09-16</v>
      </c>
    </row>
    <row r="346" spans="1:14" x14ac:dyDescent="0.35">
      <c r="A346">
        <f t="shared" si="12"/>
        <v>345</v>
      </c>
      <c r="B346">
        <f t="shared" si="11"/>
        <v>26</v>
      </c>
      <c r="C346" s="1" t="s">
        <v>11</v>
      </c>
      <c r="D346">
        <v>1.1000000000000001</v>
      </c>
      <c r="E346" s="2" t="s">
        <v>12</v>
      </c>
      <c r="F346" s="1" t="s">
        <v>13</v>
      </c>
      <c r="G346" s="3" t="s">
        <v>479</v>
      </c>
      <c r="H346">
        <v>33.984471999999997</v>
      </c>
      <c r="I346">
        <v>71.458327999999995</v>
      </c>
      <c r="J346">
        <v>387.50347900000003</v>
      </c>
      <c r="K346" s="3" t="s">
        <v>504</v>
      </c>
      <c r="L346">
        <v>272</v>
      </c>
      <c r="M346" s="1" t="s">
        <v>61</v>
      </c>
      <c r="N346" s="29" t="str">
        <f>LEFT(Table17[[#This Row],[ns1:time2]],10)</f>
        <v>2022-09-16</v>
      </c>
    </row>
    <row r="347" spans="1:14" x14ac:dyDescent="0.35">
      <c r="A347">
        <f t="shared" si="12"/>
        <v>346</v>
      </c>
      <c r="B347">
        <f t="shared" si="11"/>
        <v>27</v>
      </c>
      <c r="C347" s="1" t="s">
        <v>11</v>
      </c>
      <c r="D347">
        <v>1.1000000000000001</v>
      </c>
      <c r="E347" s="2" t="s">
        <v>12</v>
      </c>
      <c r="F347" s="1" t="s">
        <v>13</v>
      </c>
      <c r="G347" s="3" t="s">
        <v>479</v>
      </c>
      <c r="H347">
        <v>33.984341000000001</v>
      </c>
      <c r="I347">
        <v>71.457806000000005</v>
      </c>
      <c r="J347">
        <v>392.12097199999999</v>
      </c>
      <c r="K347" s="3" t="s">
        <v>505</v>
      </c>
      <c r="L347">
        <v>273</v>
      </c>
      <c r="M347" s="1" t="s">
        <v>61</v>
      </c>
      <c r="N347" s="29" t="str">
        <f>LEFT(Table17[[#This Row],[ns1:time2]],10)</f>
        <v>2022-09-16</v>
      </c>
    </row>
    <row r="348" spans="1:14" x14ac:dyDescent="0.35">
      <c r="A348">
        <f t="shared" si="12"/>
        <v>347</v>
      </c>
      <c r="B348">
        <f t="shared" si="11"/>
        <v>28</v>
      </c>
      <c r="C348" s="1" t="s">
        <v>11</v>
      </c>
      <c r="D348">
        <v>1.1000000000000001</v>
      </c>
      <c r="E348" s="2" t="s">
        <v>12</v>
      </c>
      <c r="F348" s="1" t="s">
        <v>13</v>
      </c>
      <c r="G348" s="3" t="s">
        <v>479</v>
      </c>
      <c r="H348">
        <v>33.984319999999997</v>
      </c>
      <c r="I348">
        <v>71.457800000000006</v>
      </c>
      <c r="J348">
        <v>391.84268200000002</v>
      </c>
      <c r="K348" s="3" t="s">
        <v>506</v>
      </c>
      <c r="L348">
        <v>274</v>
      </c>
      <c r="M348" s="1" t="s">
        <v>61</v>
      </c>
      <c r="N348" s="29" t="str">
        <f>LEFT(Table17[[#This Row],[ns1:time2]],10)</f>
        <v>2022-09-16</v>
      </c>
    </row>
    <row r="349" spans="1:14" x14ac:dyDescent="0.35">
      <c r="A349">
        <f t="shared" si="12"/>
        <v>348</v>
      </c>
      <c r="B349">
        <f t="shared" si="11"/>
        <v>29</v>
      </c>
      <c r="C349" s="1" t="s">
        <v>11</v>
      </c>
      <c r="D349">
        <v>1.1000000000000001</v>
      </c>
      <c r="E349" s="2" t="s">
        <v>12</v>
      </c>
      <c r="F349" s="1" t="s">
        <v>13</v>
      </c>
      <c r="G349" s="3" t="s">
        <v>479</v>
      </c>
      <c r="H349">
        <v>33.984336999999996</v>
      </c>
      <c r="I349">
        <v>71.457802999999998</v>
      </c>
      <c r="J349">
        <v>391.84991500000001</v>
      </c>
      <c r="K349" s="3" t="s">
        <v>507</v>
      </c>
      <c r="L349">
        <v>275</v>
      </c>
      <c r="M349" s="1" t="s">
        <v>61</v>
      </c>
      <c r="N349" s="29" t="str">
        <f>LEFT(Table17[[#This Row],[ns1:time2]],10)</f>
        <v>2022-09-16</v>
      </c>
    </row>
    <row r="350" spans="1:14" x14ac:dyDescent="0.35">
      <c r="A350">
        <f t="shared" si="12"/>
        <v>349</v>
      </c>
      <c r="B350">
        <f t="shared" si="11"/>
        <v>30</v>
      </c>
      <c r="C350" s="1" t="s">
        <v>11</v>
      </c>
      <c r="D350">
        <v>1.1000000000000001</v>
      </c>
      <c r="E350" s="2" t="s">
        <v>12</v>
      </c>
      <c r="F350" s="1" t="s">
        <v>13</v>
      </c>
      <c r="G350" s="3" t="s">
        <v>479</v>
      </c>
      <c r="H350">
        <v>33.984485999999997</v>
      </c>
      <c r="I350">
        <v>71.457452000000004</v>
      </c>
      <c r="J350">
        <v>393.01177999999999</v>
      </c>
      <c r="K350" s="3" t="s">
        <v>508</v>
      </c>
      <c r="L350">
        <v>276</v>
      </c>
      <c r="M350" s="1" t="s">
        <v>61</v>
      </c>
      <c r="N350" s="29" t="str">
        <f>LEFT(Table17[[#This Row],[ns1:time2]],10)</f>
        <v>2022-09-16</v>
      </c>
    </row>
    <row r="351" spans="1:14" x14ac:dyDescent="0.35">
      <c r="A351">
        <f t="shared" si="12"/>
        <v>350</v>
      </c>
      <c r="B351">
        <f t="shared" si="11"/>
        <v>31</v>
      </c>
      <c r="C351" s="1" t="s">
        <v>11</v>
      </c>
      <c r="D351">
        <v>1.1000000000000001</v>
      </c>
      <c r="E351" s="2" t="s">
        <v>12</v>
      </c>
      <c r="F351" s="1" t="s">
        <v>13</v>
      </c>
      <c r="G351" s="3" t="s">
        <v>479</v>
      </c>
      <c r="H351">
        <v>33.984223</v>
      </c>
      <c r="I351">
        <v>71.457265000000007</v>
      </c>
      <c r="J351">
        <v>390.82034299999998</v>
      </c>
      <c r="K351" s="3" t="s">
        <v>509</v>
      </c>
      <c r="L351">
        <v>277</v>
      </c>
      <c r="M351" s="1" t="s">
        <v>61</v>
      </c>
      <c r="N351" s="29" t="str">
        <f>LEFT(Table17[[#This Row],[ns1:time2]],10)</f>
        <v>2022-09-16</v>
      </c>
    </row>
    <row r="352" spans="1:14" x14ac:dyDescent="0.35">
      <c r="A352">
        <f t="shared" si="12"/>
        <v>351</v>
      </c>
      <c r="B352">
        <f t="shared" si="11"/>
        <v>32</v>
      </c>
      <c r="C352" s="1" t="s">
        <v>11</v>
      </c>
      <c r="D352">
        <v>1.1000000000000001</v>
      </c>
      <c r="E352" s="2" t="s">
        <v>12</v>
      </c>
      <c r="F352" s="1" t="s">
        <v>13</v>
      </c>
      <c r="G352" s="3" t="s">
        <v>479</v>
      </c>
      <c r="H352">
        <v>33.983986000000002</v>
      </c>
      <c r="I352">
        <v>71.457609000000005</v>
      </c>
      <c r="J352">
        <v>393.00372299999998</v>
      </c>
      <c r="K352" s="3" t="s">
        <v>510</v>
      </c>
      <c r="L352">
        <v>278</v>
      </c>
      <c r="M352" s="1" t="s">
        <v>61</v>
      </c>
      <c r="N352" s="29" t="str">
        <f>LEFT(Table17[[#This Row],[ns1:time2]],10)</f>
        <v>2022-09-16</v>
      </c>
    </row>
    <row r="353" spans="1:14" x14ac:dyDescent="0.35">
      <c r="A353">
        <f t="shared" si="12"/>
        <v>352</v>
      </c>
      <c r="B353">
        <f t="shared" si="11"/>
        <v>33</v>
      </c>
      <c r="C353" s="1" t="s">
        <v>11</v>
      </c>
      <c r="D353">
        <v>1.1000000000000001</v>
      </c>
      <c r="E353" s="2" t="s">
        <v>12</v>
      </c>
      <c r="F353" s="1" t="s">
        <v>13</v>
      </c>
      <c r="G353" s="3" t="s">
        <v>479</v>
      </c>
      <c r="H353">
        <v>33.986103</v>
      </c>
      <c r="I353">
        <v>71.457065999999998</v>
      </c>
      <c r="J353">
        <v>390.00839200000001</v>
      </c>
      <c r="K353" s="3" t="s">
        <v>511</v>
      </c>
      <c r="L353">
        <v>279</v>
      </c>
      <c r="M353" s="1" t="s">
        <v>61</v>
      </c>
      <c r="N353" s="29" t="str">
        <f>LEFT(Table17[[#This Row],[ns1:time2]],10)</f>
        <v>2022-09-16</v>
      </c>
    </row>
    <row r="354" spans="1:14" x14ac:dyDescent="0.35">
      <c r="A354">
        <f t="shared" si="12"/>
        <v>353</v>
      </c>
      <c r="B354">
        <f t="shared" si="11"/>
        <v>34</v>
      </c>
      <c r="C354" s="1" t="s">
        <v>11</v>
      </c>
      <c r="D354">
        <v>1.1000000000000001</v>
      </c>
      <c r="E354" s="2" t="s">
        <v>12</v>
      </c>
      <c r="F354" s="1" t="s">
        <v>13</v>
      </c>
      <c r="G354" s="3" t="s">
        <v>479</v>
      </c>
      <c r="H354">
        <v>33.986375000000002</v>
      </c>
      <c r="I354">
        <v>71.456553</v>
      </c>
      <c r="J354">
        <v>389.32607999999999</v>
      </c>
      <c r="K354" s="3" t="s">
        <v>512</v>
      </c>
      <c r="L354">
        <v>280</v>
      </c>
      <c r="M354" s="1" t="s">
        <v>61</v>
      </c>
      <c r="N354" s="29" t="str">
        <f>LEFT(Table17[[#This Row],[ns1:time2]],10)</f>
        <v>2022-09-16</v>
      </c>
    </row>
    <row r="355" spans="1:14" x14ac:dyDescent="0.35">
      <c r="A355">
        <f t="shared" si="12"/>
        <v>354</v>
      </c>
      <c r="B355">
        <f t="shared" si="11"/>
        <v>35</v>
      </c>
      <c r="C355" s="1" t="s">
        <v>11</v>
      </c>
      <c r="D355">
        <v>1.1000000000000001</v>
      </c>
      <c r="E355" s="2" t="s">
        <v>12</v>
      </c>
      <c r="F355" s="1" t="s">
        <v>13</v>
      </c>
      <c r="G355" s="3" t="s">
        <v>479</v>
      </c>
      <c r="H355">
        <v>33.985880999999999</v>
      </c>
      <c r="I355">
        <v>71.457642000000007</v>
      </c>
      <c r="J355">
        <v>390.65222199999999</v>
      </c>
      <c r="K355" s="3" t="s">
        <v>513</v>
      </c>
      <c r="L355">
        <v>281</v>
      </c>
      <c r="M355" s="1" t="s">
        <v>61</v>
      </c>
      <c r="N355" s="29" t="str">
        <f>LEFT(Table17[[#This Row],[ns1:time2]],10)</f>
        <v>2022-09-16</v>
      </c>
    </row>
    <row r="356" spans="1:14" x14ac:dyDescent="0.35">
      <c r="A356">
        <f t="shared" si="12"/>
        <v>355</v>
      </c>
      <c r="B356">
        <f t="shared" si="11"/>
        <v>36</v>
      </c>
      <c r="C356" s="1" t="s">
        <v>11</v>
      </c>
      <c r="D356">
        <v>1.1000000000000001</v>
      </c>
      <c r="E356" s="2" t="s">
        <v>12</v>
      </c>
      <c r="F356" s="1" t="s">
        <v>13</v>
      </c>
      <c r="G356" s="3" t="s">
        <v>479</v>
      </c>
      <c r="H356">
        <v>33.986198000000002</v>
      </c>
      <c r="I356">
        <v>71.457813000000002</v>
      </c>
      <c r="J356">
        <v>389.424103</v>
      </c>
      <c r="K356" s="3" t="s">
        <v>514</v>
      </c>
      <c r="L356">
        <v>282</v>
      </c>
      <c r="M356" s="1" t="s">
        <v>61</v>
      </c>
      <c r="N356" s="29" t="str">
        <f>LEFT(Table17[[#This Row],[ns1:time2]],10)</f>
        <v>2022-09-16</v>
      </c>
    </row>
    <row r="357" spans="1:14" x14ac:dyDescent="0.35">
      <c r="A357">
        <f t="shared" si="12"/>
        <v>356</v>
      </c>
      <c r="B357">
        <f t="shared" si="11"/>
        <v>37</v>
      </c>
      <c r="C357" s="1" t="s">
        <v>11</v>
      </c>
      <c r="D357">
        <v>1.1000000000000001</v>
      </c>
      <c r="E357" s="2" t="s">
        <v>12</v>
      </c>
      <c r="F357" s="1" t="s">
        <v>13</v>
      </c>
      <c r="G357" s="3" t="s">
        <v>479</v>
      </c>
      <c r="H357">
        <v>33.986199999999997</v>
      </c>
      <c r="I357">
        <v>71.457820999999996</v>
      </c>
      <c r="J357">
        <v>389.408478</v>
      </c>
      <c r="K357" s="3" t="s">
        <v>515</v>
      </c>
      <c r="L357">
        <v>283</v>
      </c>
      <c r="M357" s="1" t="s">
        <v>61</v>
      </c>
      <c r="N357" s="29" t="str">
        <f>LEFT(Table17[[#This Row],[ns1:time2]],10)</f>
        <v>2022-09-16</v>
      </c>
    </row>
    <row r="358" spans="1:14" x14ac:dyDescent="0.35">
      <c r="A358">
        <f t="shared" si="12"/>
        <v>357</v>
      </c>
      <c r="B358">
        <f t="shared" si="11"/>
        <v>38</v>
      </c>
      <c r="C358" s="1" t="s">
        <v>11</v>
      </c>
      <c r="D358">
        <v>1.1000000000000001</v>
      </c>
      <c r="E358" s="2" t="s">
        <v>12</v>
      </c>
      <c r="F358" s="1" t="s">
        <v>13</v>
      </c>
      <c r="G358" s="3" t="s">
        <v>479</v>
      </c>
      <c r="H358">
        <v>33.986212999999999</v>
      </c>
      <c r="I358">
        <v>71.457819999999998</v>
      </c>
      <c r="J358">
        <v>389.42965700000002</v>
      </c>
      <c r="K358" s="3" t="s">
        <v>516</v>
      </c>
      <c r="L358">
        <v>284</v>
      </c>
      <c r="M358" s="1" t="s">
        <v>61</v>
      </c>
      <c r="N358" s="29" t="str">
        <f>LEFT(Table17[[#This Row],[ns1:time2]],10)</f>
        <v>2022-09-16</v>
      </c>
    </row>
    <row r="359" spans="1:14" x14ac:dyDescent="0.35">
      <c r="A359">
        <f t="shared" si="12"/>
        <v>358</v>
      </c>
      <c r="B359">
        <f t="shared" si="11"/>
        <v>39</v>
      </c>
      <c r="C359" s="1" t="s">
        <v>11</v>
      </c>
      <c r="D359">
        <v>1.1000000000000001</v>
      </c>
      <c r="E359" s="2" t="s">
        <v>12</v>
      </c>
      <c r="F359" s="1" t="s">
        <v>13</v>
      </c>
      <c r="G359" s="3" t="s">
        <v>479</v>
      </c>
      <c r="H359">
        <v>33.986581000000001</v>
      </c>
      <c r="I359">
        <v>71.458057999999994</v>
      </c>
      <c r="J359">
        <v>391.46701000000002</v>
      </c>
      <c r="K359" s="3" t="s">
        <v>517</v>
      </c>
      <c r="L359">
        <v>285</v>
      </c>
      <c r="M359" s="1" t="s">
        <v>61</v>
      </c>
      <c r="N359" s="29" t="str">
        <f>LEFT(Table17[[#This Row],[ns1:time2]],10)</f>
        <v>2022-09-16</v>
      </c>
    </row>
    <row r="360" spans="1:14" x14ac:dyDescent="0.35">
      <c r="A360">
        <f t="shared" si="12"/>
        <v>359</v>
      </c>
      <c r="B360">
        <f t="shared" si="11"/>
        <v>40</v>
      </c>
      <c r="C360" s="1" t="s">
        <v>11</v>
      </c>
      <c r="D360">
        <v>1.1000000000000001</v>
      </c>
      <c r="E360" s="2" t="s">
        <v>12</v>
      </c>
      <c r="F360" s="1" t="s">
        <v>13</v>
      </c>
      <c r="G360" s="3" t="s">
        <v>479</v>
      </c>
      <c r="H360">
        <v>33.986953</v>
      </c>
      <c r="I360">
        <v>71.458295000000007</v>
      </c>
      <c r="J360">
        <v>391.01858499999997</v>
      </c>
      <c r="K360" s="3" t="s">
        <v>518</v>
      </c>
      <c r="L360">
        <v>286</v>
      </c>
      <c r="M360" s="1" t="s">
        <v>61</v>
      </c>
      <c r="N360" s="29" t="str">
        <f>LEFT(Table17[[#This Row],[ns1:time2]],10)</f>
        <v>2022-09-16</v>
      </c>
    </row>
    <row r="361" spans="1:14" x14ac:dyDescent="0.35">
      <c r="A361">
        <f t="shared" si="12"/>
        <v>360</v>
      </c>
      <c r="B361">
        <f t="shared" si="11"/>
        <v>41</v>
      </c>
      <c r="C361" s="1" t="s">
        <v>11</v>
      </c>
      <c r="D361">
        <v>1.1000000000000001</v>
      </c>
      <c r="E361" s="2" t="s">
        <v>12</v>
      </c>
      <c r="F361" s="1" t="s">
        <v>13</v>
      </c>
      <c r="G361" s="3" t="s">
        <v>479</v>
      </c>
      <c r="H361">
        <v>33.985684999999997</v>
      </c>
      <c r="I361">
        <v>71.458005999999997</v>
      </c>
      <c r="J361">
        <v>389.66577100000001</v>
      </c>
      <c r="K361" s="3" t="s">
        <v>519</v>
      </c>
      <c r="L361">
        <v>287</v>
      </c>
      <c r="M361" s="1" t="s">
        <v>61</v>
      </c>
      <c r="N361" s="29" t="str">
        <f>LEFT(Table17[[#This Row],[ns1:time2]],10)</f>
        <v>2022-09-16</v>
      </c>
    </row>
    <row r="362" spans="1:14" x14ac:dyDescent="0.35">
      <c r="A362">
        <f t="shared" si="12"/>
        <v>361</v>
      </c>
      <c r="B362">
        <f t="shared" si="11"/>
        <v>42</v>
      </c>
      <c r="C362" s="1" t="s">
        <v>11</v>
      </c>
      <c r="D362">
        <v>1.1000000000000001</v>
      </c>
      <c r="E362" s="2" t="s">
        <v>12</v>
      </c>
      <c r="F362" s="1" t="s">
        <v>13</v>
      </c>
      <c r="G362" s="3" t="s">
        <v>479</v>
      </c>
      <c r="H362">
        <v>33.985636999999997</v>
      </c>
      <c r="I362">
        <v>71.458197999999996</v>
      </c>
      <c r="J362">
        <v>388.28222699999998</v>
      </c>
      <c r="K362" s="3" t="s">
        <v>520</v>
      </c>
      <c r="L362">
        <v>288</v>
      </c>
      <c r="M362" s="1" t="s">
        <v>61</v>
      </c>
      <c r="N362" s="29" t="str">
        <f>LEFT(Table17[[#This Row],[ns1:time2]],10)</f>
        <v>2022-09-16</v>
      </c>
    </row>
    <row r="363" spans="1:14" x14ac:dyDescent="0.35">
      <c r="A363">
        <f t="shared" si="12"/>
        <v>362</v>
      </c>
      <c r="B363">
        <f t="shared" si="11"/>
        <v>43</v>
      </c>
      <c r="C363" s="1" t="s">
        <v>11</v>
      </c>
      <c r="D363">
        <v>1.1000000000000001</v>
      </c>
      <c r="E363" s="2" t="s">
        <v>12</v>
      </c>
      <c r="F363" s="1" t="s">
        <v>13</v>
      </c>
      <c r="G363" s="3" t="s">
        <v>479</v>
      </c>
      <c r="H363">
        <v>33.985599999999998</v>
      </c>
      <c r="I363">
        <v>71.458333999999994</v>
      </c>
      <c r="J363">
        <v>389.30926499999998</v>
      </c>
      <c r="K363" s="3" t="s">
        <v>521</v>
      </c>
      <c r="L363">
        <v>289</v>
      </c>
      <c r="M363" s="1" t="s">
        <v>61</v>
      </c>
      <c r="N363" s="29" t="str">
        <f>LEFT(Table17[[#This Row],[ns1:time2]],10)</f>
        <v>2022-09-16</v>
      </c>
    </row>
    <row r="364" spans="1:14" x14ac:dyDescent="0.35">
      <c r="A364">
        <f t="shared" si="12"/>
        <v>363</v>
      </c>
      <c r="B364">
        <f t="shared" si="11"/>
        <v>44</v>
      </c>
      <c r="C364" s="1" t="s">
        <v>11</v>
      </c>
      <c r="D364">
        <v>1.1000000000000001</v>
      </c>
      <c r="E364" s="2" t="s">
        <v>12</v>
      </c>
      <c r="F364" s="1" t="s">
        <v>13</v>
      </c>
      <c r="G364" s="3" t="s">
        <v>479</v>
      </c>
      <c r="H364">
        <v>33.985615000000003</v>
      </c>
      <c r="I364">
        <v>71.458348000000001</v>
      </c>
      <c r="J364">
        <v>390.218658</v>
      </c>
      <c r="K364" s="3" t="s">
        <v>522</v>
      </c>
      <c r="L364">
        <v>290</v>
      </c>
      <c r="M364" s="1" t="s">
        <v>61</v>
      </c>
      <c r="N364" s="29" t="str">
        <f>LEFT(Table17[[#This Row],[ns1:time2]],10)</f>
        <v>2022-09-16</v>
      </c>
    </row>
    <row r="365" spans="1:14" x14ac:dyDescent="0.35">
      <c r="A365">
        <f t="shared" si="12"/>
        <v>364</v>
      </c>
      <c r="B365">
        <f t="shared" si="11"/>
        <v>45</v>
      </c>
      <c r="C365" s="1" t="s">
        <v>11</v>
      </c>
      <c r="D365">
        <v>1.1000000000000001</v>
      </c>
      <c r="E365" s="2" t="s">
        <v>12</v>
      </c>
      <c r="F365" s="1" t="s">
        <v>13</v>
      </c>
      <c r="G365" s="3" t="s">
        <v>479</v>
      </c>
      <c r="H365">
        <v>33.985613000000001</v>
      </c>
      <c r="I365">
        <v>71.458365000000001</v>
      </c>
      <c r="J365">
        <v>390.21816999999999</v>
      </c>
      <c r="K365" s="3" t="s">
        <v>523</v>
      </c>
      <c r="L365">
        <v>291</v>
      </c>
      <c r="M365" s="1" t="s">
        <v>61</v>
      </c>
      <c r="N365" s="29" t="str">
        <f>LEFT(Table17[[#This Row],[ns1:time2]],10)</f>
        <v>2022-09-16</v>
      </c>
    </row>
    <row r="366" spans="1:14" x14ac:dyDescent="0.35">
      <c r="A366">
        <f t="shared" si="12"/>
        <v>365</v>
      </c>
      <c r="B366">
        <f t="shared" si="11"/>
        <v>46</v>
      </c>
      <c r="C366" s="1" t="s">
        <v>11</v>
      </c>
      <c r="D366">
        <v>1.1000000000000001</v>
      </c>
      <c r="E366" s="2" t="s">
        <v>12</v>
      </c>
      <c r="F366" s="1" t="s">
        <v>13</v>
      </c>
      <c r="G366" s="3" t="s">
        <v>479</v>
      </c>
      <c r="H366">
        <v>33.985615000000003</v>
      </c>
      <c r="I366">
        <v>71.458370000000002</v>
      </c>
      <c r="J366">
        <v>390.21749899999998</v>
      </c>
      <c r="K366" s="3" t="s">
        <v>524</v>
      </c>
      <c r="L366">
        <v>292</v>
      </c>
      <c r="M366" s="1" t="s">
        <v>61</v>
      </c>
      <c r="N366" s="29" t="str">
        <f>LEFT(Table17[[#This Row],[ns1:time2]],10)</f>
        <v>2022-09-16</v>
      </c>
    </row>
    <row r="367" spans="1:14" x14ac:dyDescent="0.35">
      <c r="A367">
        <f t="shared" si="12"/>
        <v>366</v>
      </c>
      <c r="B367">
        <f t="shared" si="11"/>
        <v>47</v>
      </c>
      <c r="C367" s="1" t="s">
        <v>11</v>
      </c>
      <c r="D367">
        <v>1.1000000000000001</v>
      </c>
      <c r="E367" s="2" t="s">
        <v>12</v>
      </c>
      <c r="F367" s="1" t="s">
        <v>13</v>
      </c>
      <c r="G367" s="3" t="s">
        <v>479</v>
      </c>
      <c r="H367">
        <v>33.985607999999999</v>
      </c>
      <c r="I367">
        <v>71.458387000000002</v>
      </c>
      <c r="J367">
        <v>390.21697999999998</v>
      </c>
      <c r="K367" s="3" t="s">
        <v>525</v>
      </c>
      <c r="L367">
        <v>293</v>
      </c>
      <c r="M367" s="1" t="s">
        <v>61</v>
      </c>
      <c r="N367" s="29" t="str">
        <f>LEFT(Table17[[#This Row],[ns1:time2]],10)</f>
        <v>2022-09-16</v>
      </c>
    </row>
    <row r="368" spans="1:14" x14ac:dyDescent="0.35">
      <c r="A368">
        <f t="shared" si="12"/>
        <v>367</v>
      </c>
      <c r="B368">
        <f t="shared" si="11"/>
        <v>48</v>
      </c>
      <c r="C368" s="1" t="s">
        <v>11</v>
      </c>
      <c r="D368">
        <v>1.1000000000000001</v>
      </c>
      <c r="E368" s="2" t="s">
        <v>12</v>
      </c>
      <c r="F368" s="1" t="s">
        <v>13</v>
      </c>
      <c r="G368" s="3" t="s">
        <v>479</v>
      </c>
      <c r="H368">
        <v>33.985587000000002</v>
      </c>
      <c r="I368">
        <v>71.458501999999996</v>
      </c>
      <c r="J368">
        <v>390.635559</v>
      </c>
      <c r="K368" s="3" t="s">
        <v>526</v>
      </c>
      <c r="L368">
        <v>294</v>
      </c>
      <c r="M368" s="1" t="s">
        <v>61</v>
      </c>
      <c r="N368" s="29" t="str">
        <f>LEFT(Table17[[#This Row],[ns1:time2]],10)</f>
        <v>2022-09-16</v>
      </c>
    </row>
    <row r="369" spans="1:14" x14ac:dyDescent="0.35">
      <c r="A369">
        <f t="shared" si="12"/>
        <v>368</v>
      </c>
      <c r="B369">
        <f t="shared" si="11"/>
        <v>49</v>
      </c>
      <c r="C369" s="1" t="s">
        <v>11</v>
      </c>
      <c r="D369">
        <v>1.1000000000000001</v>
      </c>
      <c r="E369" s="2" t="s">
        <v>12</v>
      </c>
      <c r="F369" s="1" t="s">
        <v>13</v>
      </c>
      <c r="G369" s="3" t="s">
        <v>479</v>
      </c>
      <c r="H369">
        <v>33.985711000000002</v>
      </c>
      <c r="I369">
        <v>71.458603999999994</v>
      </c>
      <c r="J369">
        <v>391.05584700000003</v>
      </c>
      <c r="K369" s="3" t="s">
        <v>527</v>
      </c>
      <c r="L369">
        <v>295</v>
      </c>
      <c r="M369" s="1" t="s">
        <v>61</v>
      </c>
      <c r="N369" s="29" t="str">
        <f>LEFT(Table17[[#This Row],[ns1:time2]],10)</f>
        <v>2022-09-16</v>
      </c>
    </row>
    <row r="370" spans="1:14" x14ac:dyDescent="0.35">
      <c r="A370">
        <f t="shared" si="12"/>
        <v>369</v>
      </c>
      <c r="B370">
        <f t="shared" si="11"/>
        <v>50</v>
      </c>
      <c r="C370" s="1" t="s">
        <v>11</v>
      </c>
      <c r="D370">
        <v>1.1000000000000001</v>
      </c>
      <c r="E370" s="2" t="s">
        <v>12</v>
      </c>
      <c r="F370" s="1" t="s">
        <v>13</v>
      </c>
      <c r="G370" s="3" t="s">
        <v>479</v>
      </c>
      <c r="H370">
        <v>33.986054000000003</v>
      </c>
      <c r="I370">
        <v>71.458804000000001</v>
      </c>
      <c r="J370">
        <v>389.60443099999998</v>
      </c>
      <c r="K370" s="3" t="s">
        <v>528</v>
      </c>
      <c r="L370">
        <v>296</v>
      </c>
      <c r="M370" s="1" t="s">
        <v>61</v>
      </c>
      <c r="N370" s="29" t="str">
        <f>LEFT(Table17[[#This Row],[ns1:time2]],10)</f>
        <v>2022-09-16</v>
      </c>
    </row>
    <row r="371" spans="1:14" x14ac:dyDescent="0.35">
      <c r="A371">
        <f t="shared" si="12"/>
        <v>370</v>
      </c>
      <c r="B371">
        <f t="shared" si="11"/>
        <v>51</v>
      </c>
      <c r="C371" s="1" t="s">
        <v>11</v>
      </c>
      <c r="D371">
        <v>1.1000000000000001</v>
      </c>
      <c r="E371" s="2" t="s">
        <v>12</v>
      </c>
      <c r="F371" s="1" t="s">
        <v>13</v>
      </c>
      <c r="G371" s="3" t="s">
        <v>479</v>
      </c>
      <c r="H371">
        <v>33.985889999999998</v>
      </c>
      <c r="I371">
        <v>71.459091999999998</v>
      </c>
      <c r="J371">
        <v>387.40817299999998</v>
      </c>
      <c r="K371" s="3" t="s">
        <v>529</v>
      </c>
      <c r="L371">
        <v>297</v>
      </c>
      <c r="M371" s="1" t="s">
        <v>61</v>
      </c>
      <c r="N371" s="29" t="str">
        <f>LEFT(Table17[[#This Row],[ns1:time2]],10)</f>
        <v>2022-09-16</v>
      </c>
    </row>
    <row r="372" spans="1:14" x14ac:dyDescent="0.35">
      <c r="A372">
        <f t="shared" si="12"/>
        <v>371</v>
      </c>
      <c r="B372">
        <f t="shared" si="11"/>
        <v>52</v>
      </c>
      <c r="C372" s="1" t="s">
        <v>11</v>
      </c>
      <c r="D372">
        <v>1.1000000000000001</v>
      </c>
      <c r="E372" s="2" t="s">
        <v>12</v>
      </c>
      <c r="F372" s="1" t="s">
        <v>13</v>
      </c>
      <c r="G372" s="3" t="s">
        <v>479</v>
      </c>
      <c r="H372">
        <v>33.985408</v>
      </c>
      <c r="I372">
        <v>71.458416</v>
      </c>
      <c r="J372">
        <v>393.001282</v>
      </c>
      <c r="K372" s="3" t="s">
        <v>530</v>
      </c>
      <c r="L372">
        <v>298</v>
      </c>
      <c r="M372" s="1" t="s">
        <v>61</v>
      </c>
      <c r="N372" s="29" t="str">
        <f>LEFT(Table17[[#This Row],[ns1:time2]],10)</f>
        <v>2022-09-16</v>
      </c>
    </row>
    <row r="373" spans="1:14" x14ac:dyDescent="0.35">
      <c r="A373">
        <f t="shared" si="12"/>
        <v>372</v>
      </c>
      <c r="B373">
        <f t="shared" si="11"/>
        <v>53</v>
      </c>
      <c r="C373" s="1" t="s">
        <v>11</v>
      </c>
      <c r="D373">
        <v>1.1000000000000001</v>
      </c>
      <c r="E373" s="2" t="s">
        <v>12</v>
      </c>
      <c r="F373" s="1" t="s">
        <v>13</v>
      </c>
      <c r="G373" s="3" t="s">
        <v>479</v>
      </c>
      <c r="H373">
        <v>33.985337000000001</v>
      </c>
      <c r="I373">
        <v>71.458538000000004</v>
      </c>
      <c r="J373">
        <v>389.19314600000001</v>
      </c>
      <c r="K373" s="3" t="s">
        <v>531</v>
      </c>
      <c r="L373">
        <v>299</v>
      </c>
      <c r="M373" s="1" t="s">
        <v>61</v>
      </c>
      <c r="N373" s="29" t="str">
        <f>LEFT(Table17[[#This Row],[ns1:time2]],10)</f>
        <v>2022-09-16</v>
      </c>
    </row>
    <row r="374" spans="1:14" x14ac:dyDescent="0.35">
      <c r="A374">
        <f t="shared" si="12"/>
        <v>373</v>
      </c>
      <c r="B374">
        <f t="shared" si="11"/>
        <v>54</v>
      </c>
      <c r="C374" s="1" t="s">
        <v>11</v>
      </c>
      <c r="D374">
        <v>1.1000000000000001</v>
      </c>
      <c r="E374" s="2" t="s">
        <v>12</v>
      </c>
      <c r="F374" s="1" t="s">
        <v>13</v>
      </c>
      <c r="G374" s="3" t="s">
        <v>479</v>
      </c>
      <c r="H374">
        <v>33.985197999999997</v>
      </c>
      <c r="I374">
        <v>71.458847000000006</v>
      </c>
      <c r="J374">
        <v>388.23788500000001</v>
      </c>
      <c r="K374" s="3" t="s">
        <v>532</v>
      </c>
      <c r="L374">
        <v>300</v>
      </c>
      <c r="M374" s="1" t="s">
        <v>61</v>
      </c>
      <c r="N374" s="29" t="str">
        <f>LEFT(Table17[[#This Row],[ns1:time2]],10)</f>
        <v>2022-09-16</v>
      </c>
    </row>
    <row r="375" spans="1:14" x14ac:dyDescent="0.35">
      <c r="A375">
        <f t="shared" si="12"/>
        <v>374</v>
      </c>
      <c r="B375">
        <f t="shared" si="11"/>
        <v>55</v>
      </c>
      <c r="C375" s="1" t="s">
        <v>11</v>
      </c>
      <c r="D375">
        <v>1.1000000000000001</v>
      </c>
      <c r="E375" s="2" t="s">
        <v>12</v>
      </c>
      <c r="F375" s="1" t="s">
        <v>13</v>
      </c>
      <c r="G375" s="3" t="s">
        <v>479</v>
      </c>
      <c r="H375">
        <v>33.985883000000001</v>
      </c>
      <c r="I375">
        <v>71.458342000000002</v>
      </c>
      <c r="J375">
        <v>390.12008700000001</v>
      </c>
      <c r="K375" s="3" t="s">
        <v>533</v>
      </c>
      <c r="L375">
        <v>301</v>
      </c>
      <c r="M375" s="1" t="s">
        <v>61</v>
      </c>
      <c r="N375" s="29" t="str">
        <f>LEFT(Table17[[#This Row],[ns1:time2]],10)</f>
        <v>2022-09-16</v>
      </c>
    </row>
    <row r="376" spans="1:14" x14ac:dyDescent="0.35">
      <c r="A376">
        <f t="shared" si="12"/>
        <v>375</v>
      </c>
      <c r="B376">
        <f t="shared" si="11"/>
        <v>56</v>
      </c>
      <c r="C376" s="1" t="s">
        <v>11</v>
      </c>
      <c r="D376">
        <v>1.1000000000000001</v>
      </c>
      <c r="E376" s="2" t="s">
        <v>12</v>
      </c>
      <c r="F376" s="1" t="s">
        <v>13</v>
      </c>
      <c r="G376" s="3" t="s">
        <v>479</v>
      </c>
      <c r="H376">
        <v>33.985899000000003</v>
      </c>
      <c r="I376">
        <v>71.458353000000002</v>
      </c>
      <c r="J376">
        <v>392.85369900000001</v>
      </c>
      <c r="K376" s="3" t="s">
        <v>534</v>
      </c>
      <c r="L376">
        <v>302</v>
      </c>
      <c r="M376" s="1" t="s">
        <v>61</v>
      </c>
      <c r="N376" s="29" t="str">
        <f>LEFT(Table17[[#This Row],[ns1:time2]],10)</f>
        <v>2022-09-16</v>
      </c>
    </row>
    <row r="377" spans="1:14" x14ac:dyDescent="0.35">
      <c r="A377">
        <f t="shared" si="12"/>
        <v>376</v>
      </c>
      <c r="B377">
        <f t="shared" si="11"/>
        <v>57</v>
      </c>
      <c r="C377" s="1" t="s">
        <v>11</v>
      </c>
      <c r="D377">
        <v>1.1000000000000001</v>
      </c>
      <c r="E377" s="2" t="s">
        <v>12</v>
      </c>
      <c r="F377" s="1" t="s">
        <v>13</v>
      </c>
      <c r="G377" s="3" t="s">
        <v>479</v>
      </c>
      <c r="H377">
        <v>33.985886999999998</v>
      </c>
      <c r="I377">
        <v>71.458342999999999</v>
      </c>
      <c r="J377">
        <v>392.848206</v>
      </c>
      <c r="K377" s="3" t="s">
        <v>535</v>
      </c>
      <c r="L377">
        <v>303</v>
      </c>
      <c r="M377" s="1" t="s">
        <v>61</v>
      </c>
      <c r="N377" s="29" t="str">
        <f>LEFT(Table17[[#This Row],[ns1:time2]],10)</f>
        <v>2022-09-16</v>
      </c>
    </row>
    <row r="378" spans="1:14" x14ac:dyDescent="0.35">
      <c r="A378">
        <f t="shared" si="12"/>
        <v>377</v>
      </c>
      <c r="B378">
        <f t="shared" si="11"/>
        <v>58</v>
      </c>
      <c r="C378" s="1" t="s">
        <v>11</v>
      </c>
      <c r="D378">
        <v>1.1000000000000001</v>
      </c>
      <c r="E378" s="2" t="s">
        <v>12</v>
      </c>
      <c r="F378" s="1" t="s">
        <v>13</v>
      </c>
      <c r="G378" s="3" t="s">
        <v>479</v>
      </c>
      <c r="H378">
        <v>33.986210999999997</v>
      </c>
      <c r="I378">
        <v>71.458530999999994</v>
      </c>
      <c r="J378">
        <v>390.33242799999999</v>
      </c>
      <c r="K378" s="3" t="s">
        <v>536</v>
      </c>
      <c r="L378">
        <v>304</v>
      </c>
      <c r="M378" s="1" t="s">
        <v>61</v>
      </c>
      <c r="N378" s="29" t="str">
        <f>LEFT(Table17[[#This Row],[ns1:time2]],10)</f>
        <v>2022-09-16</v>
      </c>
    </row>
    <row r="379" spans="1:14" x14ac:dyDescent="0.35">
      <c r="A379">
        <f t="shared" si="12"/>
        <v>378</v>
      </c>
      <c r="B379">
        <f t="shared" si="11"/>
        <v>59</v>
      </c>
      <c r="C379" s="1" t="s">
        <v>11</v>
      </c>
      <c r="D379">
        <v>1.1000000000000001</v>
      </c>
      <c r="E379" s="2" t="s">
        <v>12</v>
      </c>
      <c r="F379" s="1" t="s">
        <v>13</v>
      </c>
      <c r="G379" s="3" t="s">
        <v>479</v>
      </c>
      <c r="H379">
        <v>33.986502999999999</v>
      </c>
      <c r="I379">
        <v>71.458663999999999</v>
      </c>
      <c r="J379">
        <v>390.51303100000001</v>
      </c>
      <c r="K379" s="3" t="s">
        <v>537</v>
      </c>
      <c r="L379">
        <v>305</v>
      </c>
      <c r="M379" s="1" t="s">
        <v>61</v>
      </c>
      <c r="N379" s="29" t="str">
        <f>LEFT(Table17[[#This Row],[ns1:time2]],10)</f>
        <v>2022-09-16</v>
      </c>
    </row>
    <row r="380" spans="1:14" x14ac:dyDescent="0.35">
      <c r="A380">
        <f t="shared" si="12"/>
        <v>379</v>
      </c>
      <c r="B380">
        <f t="shared" si="11"/>
        <v>60</v>
      </c>
      <c r="C380" s="1" t="s">
        <v>11</v>
      </c>
      <c r="D380">
        <v>1.1000000000000001</v>
      </c>
      <c r="E380" s="2" t="s">
        <v>12</v>
      </c>
      <c r="F380" s="1" t="s">
        <v>13</v>
      </c>
      <c r="G380" s="3" t="s">
        <v>479</v>
      </c>
      <c r="H380">
        <v>33.986381000000002</v>
      </c>
      <c r="I380">
        <v>71.458961000000002</v>
      </c>
      <c r="J380">
        <v>386.94381700000002</v>
      </c>
      <c r="K380" s="3" t="s">
        <v>538</v>
      </c>
      <c r="L380">
        <v>306</v>
      </c>
      <c r="M380" s="1" t="s">
        <v>61</v>
      </c>
      <c r="N380" s="29" t="str">
        <f>LEFT(Table17[[#This Row],[ns1:time2]],10)</f>
        <v>2022-09-16</v>
      </c>
    </row>
    <row r="381" spans="1:14" x14ac:dyDescent="0.35">
      <c r="A381">
        <f t="shared" si="12"/>
        <v>380</v>
      </c>
      <c r="B381">
        <f t="shared" si="11"/>
        <v>61</v>
      </c>
      <c r="C381" s="1" t="s">
        <v>11</v>
      </c>
      <c r="D381">
        <v>1.1000000000000001</v>
      </c>
      <c r="E381" s="2" t="s">
        <v>12</v>
      </c>
      <c r="F381" s="1" t="s">
        <v>13</v>
      </c>
      <c r="G381" s="3" t="s">
        <v>479</v>
      </c>
      <c r="H381">
        <v>33.986834999999999</v>
      </c>
      <c r="I381">
        <v>71.458923999999996</v>
      </c>
      <c r="J381">
        <v>393.61120599999998</v>
      </c>
      <c r="K381" s="3" t="s">
        <v>539</v>
      </c>
      <c r="L381">
        <v>307</v>
      </c>
      <c r="M381" s="1" t="s">
        <v>61</v>
      </c>
      <c r="N381" s="29" t="str">
        <f>LEFT(Table17[[#This Row],[ns1:time2]],10)</f>
        <v>2022-09-16</v>
      </c>
    </row>
    <row r="382" spans="1:14" x14ac:dyDescent="0.35">
      <c r="A382">
        <f t="shared" si="12"/>
        <v>381</v>
      </c>
      <c r="B382">
        <f t="shared" si="11"/>
        <v>62</v>
      </c>
      <c r="C382" s="1" t="s">
        <v>11</v>
      </c>
      <c r="D382">
        <v>1.1000000000000001</v>
      </c>
      <c r="E382" s="2" t="s">
        <v>12</v>
      </c>
      <c r="F382" s="1" t="s">
        <v>13</v>
      </c>
      <c r="G382" s="3" t="s">
        <v>479</v>
      </c>
      <c r="H382">
        <v>33.986713000000002</v>
      </c>
      <c r="I382">
        <v>71.459102000000001</v>
      </c>
      <c r="J382">
        <v>391.04159499999997</v>
      </c>
      <c r="K382" s="3" t="s">
        <v>540</v>
      </c>
      <c r="L382">
        <v>308</v>
      </c>
      <c r="M382" s="1" t="s">
        <v>61</v>
      </c>
      <c r="N382" s="29" t="str">
        <f>LEFT(Table17[[#This Row],[ns1:time2]],10)</f>
        <v>2022-09-16</v>
      </c>
    </row>
    <row r="383" spans="1:14" x14ac:dyDescent="0.35">
      <c r="A383">
        <f t="shared" si="12"/>
        <v>382</v>
      </c>
      <c r="B383">
        <f t="shared" si="11"/>
        <v>63</v>
      </c>
      <c r="C383" s="1" t="s">
        <v>11</v>
      </c>
      <c r="D383">
        <v>1.1000000000000001</v>
      </c>
      <c r="E383" s="2" t="s">
        <v>12</v>
      </c>
      <c r="F383" s="1" t="s">
        <v>13</v>
      </c>
      <c r="G383" s="3" t="s">
        <v>479</v>
      </c>
      <c r="H383">
        <v>33.987020000000001</v>
      </c>
      <c r="I383">
        <v>71.459097999999997</v>
      </c>
      <c r="J383">
        <v>395.15551799999997</v>
      </c>
      <c r="K383" s="3" t="s">
        <v>541</v>
      </c>
      <c r="L383">
        <v>309</v>
      </c>
      <c r="M383" s="1" t="s">
        <v>61</v>
      </c>
      <c r="N383" s="29" t="str">
        <f>LEFT(Table17[[#This Row],[ns1:time2]],10)</f>
        <v>2022-09-16</v>
      </c>
    </row>
    <row r="384" spans="1:14" x14ac:dyDescent="0.35">
      <c r="A384">
        <f t="shared" si="12"/>
        <v>383</v>
      </c>
      <c r="B384">
        <f t="shared" si="11"/>
        <v>64</v>
      </c>
      <c r="C384" s="1" t="s">
        <v>11</v>
      </c>
      <c r="D384">
        <v>1.1000000000000001</v>
      </c>
      <c r="E384" s="2" t="s">
        <v>12</v>
      </c>
      <c r="F384" s="1" t="s">
        <v>13</v>
      </c>
      <c r="G384" s="3" t="s">
        <v>479</v>
      </c>
      <c r="H384">
        <v>33.986981</v>
      </c>
      <c r="I384">
        <v>71.459125999999998</v>
      </c>
      <c r="J384">
        <v>395.505585</v>
      </c>
      <c r="K384" s="3" t="s">
        <v>542</v>
      </c>
      <c r="L384">
        <v>310</v>
      </c>
      <c r="M384" s="1" t="s">
        <v>61</v>
      </c>
      <c r="N384" s="29" t="str">
        <f>LEFT(Table17[[#This Row],[ns1:time2]],10)</f>
        <v>2022-09-16</v>
      </c>
    </row>
    <row r="385" spans="1:14" x14ac:dyDescent="0.35">
      <c r="A385">
        <f t="shared" si="12"/>
        <v>384</v>
      </c>
      <c r="B385">
        <f t="shared" si="11"/>
        <v>65</v>
      </c>
      <c r="C385" s="1" t="s">
        <v>11</v>
      </c>
      <c r="D385">
        <v>1.1000000000000001</v>
      </c>
      <c r="E385" s="2" t="s">
        <v>12</v>
      </c>
      <c r="F385" s="1" t="s">
        <v>13</v>
      </c>
      <c r="G385" s="3" t="s">
        <v>479</v>
      </c>
      <c r="H385">
        <v>33.986969999999999</v>
      </c>
      <c r="I385">
        <v>71.459134000000006</v>
      </c>
      <c r="J385">
        <v>395.51831099999998</v>
      </c>
      <c r="K385" s="3" t="s">
        <v>543</v>
      </c>
      <c r="L385">
        <v>311</v>
      </c>
      <c r="M385" s="1" t="s">
        <v>61</v>
      </c>
      <c r="N385" s="29" t="str">
        <f>LEFT(Table17[[#This Row],[ns1:time2]],10)</f>
        <v>2022-09-16</v>
      </c>
    </row>
    <row r="386" spans="1:14" x14ac:dyDescent="0.35">
      <c r="A386">
        <f t="shared" si="12"/>
        <v>385</v>
      </c>
      <c r="B386">
        <f t="shared" si="11"/>
        <v>66</v>
      </c>
      <c r="C386" s="1" t="s">
        <v>11</v>
      </c>
      <c r="D386">
        <v>1.1000000000000001</v>
      </c>
      <c r="E386" s="2" t="s">
        <v>12</v>
      </c>
      <c r="F386" s="1" t="s">
        <v>13</v>
      </c>
      <c r="G386" s="3" t="s">
        <v>479</v>
      </c>
      <c r="H386">
        <v>33.986480999999998</v>
      </c>
      <c r="I386">
        <v>71.457295000000002</v>
      </c>
      <c r="J386">
        <v>398.59936499999998</v>
      </c>
      <c r="K386" s="3" t="s">
        <v>544</v>
      </c>
      <c r="L386">
        <v>312</v>
      </c>
      <c r="M386" s="1" t="s">
        <v>61</v>
      </c>
      <c r="N386" s="29" t="str">
        <f>LEFT(Table17[[#This Row],[ns1:time2]],10)</f>
        <v>2022-09-16</v>
      </c>
    </row>
    <row r="387" spans="1:14" x14ac:dyDescent="0.35">
      <c r="A387">
        <f t="shared" si="12"/>
        <v>386</v>
      </c>
      <c r="B387">
        <f t="shared" ref="B387:B445" si="13">B386+1</f>
        <v>67</v>
      </c>
      <c r="C387" s="1" t="s">
        <v>11</v>
      </c>
      <c r="D387">
        <v>1.1000000000000001</v>
      </c>
      <c r="E387" s="2" t="s">
        <v>12</v>
      </c>
      <c r="F387" s="1" t="s">
        <v>13</v>
      </c>
      <c r="G387" s="3" t="s">
        <v>479</v>
      </c>
      <c r="H387">
        <v>33.986485999999999</v>
      </c>
      <c r="I387">
        <v>71.457308999999995</v>
      </c>
      <c r="J387">
        <v>398.55233800000002</v>
      </c>
      <c r="K387" s="3" t="s">
        <v>545</v>
      </c>
      <c r="L387">
        <v>313</v>
      </c>
      <c r="M387" s="1" t="s">
        <v>61</v>
      </c>
      <c r="N387" s="29" t="str">
        <f>LEFT(Table17[[#This Row],[ns1:time2]],10)</f>
        <v>2022-09-16</v>
      </c>
    </row>
    <row r="388" spans="1:14" x14ac:dyDescent="0.35">
      <c r="A388">
        <f t="shared" ref="A388:A445" si="14">A387+1</f>
        <v>387</v>
      </c>
      <c r="B388">
        <f t="shared" si="13"/>
        <v>68</v>
      </c>
      <c r="C388" s="1" t="s">
        <v>11</v>
      </c>
      <c r="D388">
        <v>1.1000000000000001</v>
      </c>
      <c r="E388" s="2" t="s">
        <v>12</v>
      </c>
      <c r="F388" s="1" t="s">
        <v>13</v>
      </c>
      <c r="G388" s="3" t="s">
        <v>479</v>
      </c>
      <c r="H388">
        <v>33.986488999999999</v>
      </c>
      <c r="I388">
        <v>71.457314999999994</v>
      </c>
      <c r="J388">
        <v>398.53869600000002</v>
      </c>
      <c r="K388" s="3" t="s">
        <v>546</v>
      </c>
      <c r="L388">
        <v>314</v>
      </c>
      <c r="M388" s="1" t="s">
        <v>61</v>
      </c>
      <c r="N388" s="29" t="str">
        <f>LEFT(Table17[[#This Row],[ns1:time2]],10)</f>
        <v>2022-09-16</v>
      </c>
    </row>
    <row r="389" spans="1:14" x14ac:dyDescent="0.35">
      <c r="A389">
        <f t="shared" si="14"/>
        <v>388</v>
      </c>
      <c r="B389">
        <f t="shared" si="13"/>
        <v>69</v>
      </c>
      <c r="C389" s="1" t="s">
        <v>11</v>
      </c>
      <c r="D389">
        <v>1.1000000000000001</v>
      </c>
      <c r="E389" s="2" t="s">
        <v>12</v>
      </c>
      <c r="F389" s="1" t="s">
        <v>13</v>
      </c>
      <c r="G389" s="3" t="s">
        <v>479</v>
      </c>
      <c r="H389">
        <v>33.986896999999999</v>
      </c>
      <c r="I389">
        <v>71.457509000000002</v>
      </c>
      <c r="J389">
        <v>395.80654900000002</v>
      </c>
      <c r="K389" s="3" t="s">
        <v>547</v>
      </c>
      <c r="L389">
        <v>315</v>
      </c>
      <c r="M389" s="1" t="s">
        <v>61</v>
      </c>
      <c r="N389" s="29" t="str">
        <f>LEFT(Table17[[#This Row],[ns1:time2]],10)</f>
        <v>2022-09-16</v>
      </c>
    </row>
    <row r="390" spans="1:14" x14ac:dyDescent="0.35">
      <c r="A390">
        <f t="shared" si="14"/>
        <v>389</v>
      </c>
      <c r="B390">
        <f t="shared" si="13"/>
        <v>70</v>
      </c>
      <c r="C390" s="1" t="s">
        <v>11</v>
      </c>
      <c r="D390">
        <v>1.1000000000000001</v>
      </c>
      <c r="E390" s="2" t="s">
        <v>12</v>
      </c>
      <c r="F390" s="1" t="s">
        <v>13</v>
      </c>
      <c r="G390" s="3" t="s">
        <v>479</v>
      </c>
      <c r="H390">
        <v>33.987276000000001</v>
      </c>
      <c r="I390">
        <v>71.457731999999993</v>
      </c>
      <c r="J390">
        <v>399.03121900000002</v>
      </c>
      <c r="K390" s="3" t="s">
        <v>548</v>
      </c>
      <c r="L390">
        <v>316</v>
      </c>
      <c r="M390" s="1" t="s">
        <v>61</v>
      </c>
      <c r="N390" s="29" t="str">
        <f>LEFT(Table17[[#This Row],[ns1:time2]],10)</f>
        <v>2022-09-16</v>
      </c>
    </row>
    <row r="391" spans="1:14" x14ac:dyDescent="0.35">
      <c r="A391">
        <f t="shared" si="14"/>
        <v>390</v>
      </c>
      <c r="B391">
        <f t="shared" si="13"/>
        <v>71</v>
      </c>
      <c r="C391" s="1" t="s">
        <v>11</v>
      </c>
      <c r="D391">
        <v>1.1000000000000001</v>
      </c>
      <c r="E391" s="2" t="s">
        <v>12</v>
      </c>
      <c r="F391" s="1" t="s">
        <v>13</v>
      </c>
      <c r="G391" s="3" t="s">
        <v>479</v>
      </c>
      <c r="H391">
        <v>33.987288999999997</v>
      </c>
      <c r="I391">
        <v>71.457761000000005</v>
      </c>
      <c r="J391">
        <v>399.04855300000003</v>
      </c>
      <c r="K391" s="3" t="s">
        <v>549</v>
      </c>
      <c r="L391">
        <v>317</v>
      </c>
      <c r="M391" s="1" t="s">
        <v>61</v>
      </c>
      <c r="N391" s="29" t="str">
        <f>LEFT(Table17[[#This Row],[ns1:time2]],10)</f>
        <v>2022-09-16</v>
      </c>
    </row>
    <row r="392" spans="1:14" x14ac:dyDescent="0.35">
      <c r="A392">
        <f t="shared" si="14"/>
        <v>391</v>
      </c>
      <c r="B392">
        <f t="shared" si="13"/>
        <v>72</v>
      </c>
      <c r="C392" s="1" t="s">
        <v>11</v>
      </c>
      <c r="D392">
        <v>1.1000000000000001</v>
      </c>
      <c r="E392" s="2" t="s">
        <v>12</v>
      </c>
      <c r="F392" s="1" t="s">
        <v>13</v>
      </c>
      <c r="G392" s="3" t="s">
        <v>479</v>
      </c>
      <c r="H392">
        <v>33.987293999999999</v>
      </c>
      <c r="I392">
        <v>71.457763</v>
      </c>
      <c r="J392">
        <v>399.057343</v>
      </c>
      <c r="K392" s="3" t="s">
        <v>550</v>
      </c>
      <c r="L392">
        <v>318</v>
      </c>
      <c r="M392" s="1" t="s">
        <v>61</v>
      </c>
      <c r="N392" s="29" t="str">
        <f>LEFT(Table17[[#This Row],[ns1:time2]],10)</f>
        <v>2022-09-16</v>
      </c>
    </row>
    <row r="393" spans="1:14" x14ac:dyDescent="0.35">
      <c r="A393">
        <f t="shared" si="14"/>
        <v>392</v>
      </c>
      <c r="B393">
        <f t="shared" si="13"/>
        <v>73</v>
      </c>
      <c r="C393" s="1" t="s">
        <v>11</v>
      </c>
      <c r="D393">
        <v>1.1000000000000001</v>
      </c>
      <c r="E393" s="2" t="s">
        <v>12</v>
      </c>
      <c r="F393" s="1" t="s">
        <v>13</v>
      </c>
      <c r="G393" s="3" t="s">
        <v>479</v>
      </c>
      <c r="H393">
        <v>33.987341999999998</v>
      </c>
      <c r="I393">
        <v>71.457178999999996</v>
      </c>
      <c r="J393">
        <v>397.73870799999997</v>
      </c>
      <c r="K393" s="3" t="s">
        <v>551</v>
      </c>
      <c r="L393">
        <v>319</v>
      </c>
      <c r="M393" s="1" t="s">
        <v>61</v>
      </c>
      <c r="N393" s="29" t="str">
        <f>LEFT(Table17[[#This Row],[ns1:time2]],10)</f>
        <v>2022-09-16</v>
      </c>
    </row>
    <row r="394" spans="1:14" x14ac:dyDescent="0.35">
      <c r="A394">
        <f t="shared" si="14"/>
        <v>393</v>
      </c>
      <c r="B394">
        <f t="shared" si="13"/>
        <v>74</v>
      </c>
      <c r="C394" s="1" t="s">
        <v>11</v>
      </c>
      <c r="D394">
        <v>1.1000000000000001</v>
      </c>
      <c r="E394" s="2" t="s">
        <v>12</v>
      </c>
      <c r="F394" s="1" t="s">
        <v>13</v>
      </c>
      <c r="G394" s="3" t="s">
        <v>479</v>
      </c>
      <c r="H394">
        <v>33.987549999999999</v>
      </c>
      <c r="I394">
        <v>71.457282000000006</v>
      </c>
      <c r="J394">
        <v>398.887451</v>
      </c>
      <c r="K394" s="3" t="s">
        <v>552</v>
      </c>
      <c r="L394">
        <v>320</v>
      </c>
      <c r="M394" s="1" t="s">
        <v>61</v>
      </c>
      <c r="N394" s="29" t="str">
        <f>LEFT(Table17[[#This Row],[ns1:time2]],10)</f>
        <v>2022-09-16</v>
      </c>
    </row>
    <row r="395" spans="1:14" x14ac:dyDescent="0.35">
      <c r="A395">
        <f t="shared" si="14"/>
        <v>394</v>
      </c>
      <c r="B395">
        <f t="shared" si="13"/>
        <v>75</v>
      </c>
      <c r="C395" s="1" t="s">
        <v>11</v>
      </c>
      <c r="D395">
        <v>1.1000000000000001</v>
      </c>
      <c r="E395" s="2" t="s">
        <v>12</v>
      </c>
      <c r="F395" s="1" t="s">
        <v>13</v>
      </c>
      <c r="G395" s="3" t="s">
        <v>479</v>
      </c>
      <c r="H395">
        <v>33.987554000000003</v>
      </c>
      <c r="I395">
        <v>71.457294000000005</v>
      </c>
      <c r="J395">
        <v>398.87570199999999</v>
      </c>
      <c r="K395" s="3" t="s">
        <v>553</v>
      </c>
      <c r="L395">
        <v>321</v>
      </c>
      <c r="M395" s="1" t="s">
        <v>61</v>
      </c>
      <c r="N395" s="29" t="str">
        <f>LEFT(Table17[[#This Row],[ns1:time2]],10)</f>
        <v>2022-09-16</v>
      </c>
    </row>
    <row r="396" spans="1:14" x14ac:dyDescent="0.35">
      <c r="A396">
        <f t="shared" si="14"/>
        <v>395</v>
      </c>
      <c r="B396">
        <f t="shared" si="13"/>
        <v>76</v>
      </c>
      <c r="C396" s="1" t="s">
        <v>11</v>
      </c>
      <c r="D396">
        <v>1.1000000000000001</v>
      </c>
      <c r="E396" s="2" t="s">
        <v>12</v>
      </c>
      <c r="F396" s="1" t="s">
        <v>13</v>
      </c>
      <c r="G396" s="3" t="s">
        <v>479</v>
      </c>
      <c r="H396">
        <v>33.987563000000002</v>
      </c>
      <c r="I396">
        <v>71.457301000000001</v>
      </c>
      <c r="J396">
        <v>398.87777699999998</v>
      </c>
      <c r="K396" s="3" t="s">
        <v>554</v>
      </c>
      <c r="L396">
        <v>322</v>
      </c>
      <c r="M396" s="1" t="s">
        <v>61</v>
      </c>
      <c r="N396" s="29" t="str">
        <f>LEFT(Table17[[#This Row],[ns1:time2]],10)</f>
        <v>2022-09-16</v>
      </c>
    </row>
    <row r="397" spans="1:14" x14ac:dyDescent="0.35">
      <c r="A397">
        <f t="shared" si="14"/>
        <v>396</v>
      </c>
      <c r="B397">
        <f t="shared" si="13"/>
        <v>77</v>
      </c>
      <c r="C397" s="1" t="s">
        <v>11</v>
      </c>
      <c r="D397">
        <v>1.1000000000000001</v>
      </c>
      <c r="E397" s="2" t="s">
        <v>12</v>
      </c>
      <c r="F397" s="1" t="s">
        <v>13</v>
      </c>
      <c r="G397" s="3" t="s">
        <v>479</v>
      </c>
      <c r="H397">
        <v>33.987962000000003</v>
      </c>
      <c r="I397">
        <v>71.457543999999999</v>
      </c>
      <c r="J397">
        <v>396.788635</v>
      </c>
      <c r="K397" s="3" t="s">
        <v>555</v>
      </c>
      <c r="L397">
        <v>323</v>
      </c>
      <c r="M397" s="1" t="s">
        <v>61</v>
      </c>
      <c r="N397" s="29" t="str">
        <f>LEFT(Table17[[#This Row],[ns1:time2]],10)</f>
        <v>2022-09-16</v>
      </c>
    </row>
    <row r="398" spans="1:14" x14ac:dyDescent="0.35">
      <c r="A398">
        <f t="shared" si="14"/>
        <v>397</v>
      </c>
      <c r="B398">
        <f t="shared" si="13"/>
        <v>78</v>
      </c>
      <c r="C398" s="1" t="s">
        <v>11</v>
      </c>
      <c r="D398">
        <v>1.1000000000000001</v>
      </c>
      <c r="E398" s="2" t="s">
        <v>12</v>
      </c>
      <c r="F398" s="1" t="s">
        <v>13</v>
      </c>
      <c r="G398" s="3" t="s">
        <v>479</v>
      </c>
      <c r="H398">
        <v>33.988135</v>
      </c>
      <c r="I398">
        <v>71.457650999999998</v>
      </c>
      <c r="J398">
        <v>397.53979500000003</v>
      </c>
      <c r="K398" s="3" t="s">
        <v>556</v>
      </c>
      <c r="L398">
        <v>324</v>
      </c>
      <c r="M398" s="1" t="s">
        <v>61</v>
      </c>
      <c r="N398" s="29" t="str">
        <f>LEFT(Table17[[#This Row],[ns1:time2]],10)</f>
        <v>2022-09-16</v>
      </c>
    </row>
    <row r="399" spans="1:14" x14ac:dyDescent="0.35">
      <c r="A399">
        <f t="shared" si="14"/>
        <v>398</v>
      </c>
      <c r="B399">
        <f t="shared" si="13"/>
        <v>79</v>
      </c>
      <c r="C399" s="1" t="s">
        <v>11</v>
      </c>
      <c r="D399">
        <v>1.1000000000000001</v>
      </c>
      <c r="E399" s="2" t="s">
        <v>12</v>
      </c>
      <c r="F399" s="1" t="s">
        <v>13</v>
      </c>
      <c r="G399" s="3" t="s">
        <v>479</v>
      </c>
      <c r="H399">
        <v>33.988421000000002</v>
      </c>
      <c r="I399">
        <v>71.457784000000004</v>
      </c>
      <c r="J399">
        <v>395.43911700000001</v>
      </c>
      <c r="K399" s="3" t="s">
        <v>557</v>
      </c>
      <c r="L399">
        <v>325</v>
      </c>
      <c r="M399" s="1" t="s">
        <v>61</v>
      </c>
      <c r="N399" s="29" t="str">
        <f>LEFT(Table17[[#This Row],[ns1:time2]],10)</f>
        <v>2022-09-16</v>
      </c>
    </row>
    <row r="400" spans="1:14" x14ac:dyDescent="0.35">
      <c r="A400">
        <f t="shared" si="14"/>
        <v>399</v>
      </c>
      <c r="B400">
        <f t="shared" si="13"/>
        <v>80</v>
      </c>
      <c r="C400" s="1" t="s">
        <v>11</v>
      </c>
      <c r="D400">
        <v>1.1000000000000001</v>
      </c>
      <c r="E400" s="2" t="s">
        <v>12</v>
      </c>
      <c r="F400" s="1" t="s">
        <v>13</v>
      </c>
      <c r="G400" s="3" t="s">
        <v>479</v>
      </c>
      <c r="H400">
        <v>33.987599000000003</v>
      </c>
      <c r="I400">
        <v>71.457955999999996</v>
      </c>
      <c r="J400">
        <v>398.23208599999998</v>
      </c>
      <c r="K400" s="3" t="s">
        <v>558</v>
      </c>
      <c r="L400">
        <v>326</v>
      </c>
      <c r="M400" s="1" t="s">
        <v>61</v>
      </c>
      <c r="N400" s="29" t="str">
        <f>LEFT(Table17[[#This Row],[ns1:time2]],10)</f>
        <v>2022-09-16</v>
      </c>
    </row>
    <row r="401" spans="1:14" x14ac:dyDescent="0.35">
      <c r="A401">
        <f t="shared" si="14"/>
        <v>400</v>
      </c>
      <c r="B401">
        <f t="shared" si="13"/>
        <v>81</v>
      </c>
      <c r="C401" s="1" t="s">
        <v>11</v>
      </c>
      <c r="D401">
        <v>1.1000000000000001</v>
      </c>
      <c r="E401" s="2" t="s">
        <v>12</v>
      </c>
      <c r="F401" s="1" t="s">
        <v>13</v>
      </c>
      <c r="G401" s="3" t="s">
        <v>479</v>
      </c>
      <c r="H401">
        <v>33.987901999999998</v>
      </c>
      <c r="I401">
        <v>71.458173000000002</v>
      </c>
      <c r="J401">
        <v>398.33624300000002</v>
      </c>
      <c r="K401" s="3" t="s">
        <v>559</v>
      </c>
      <c r="L401">
        <v>327</v>
      </c>
      <c r="M401" s="1" t="s">
        <v>61</v>
      </c>
      <c r="N401" s="29" t="str">
        <f>LEFT(Table17[[#This Row],[ns1:time2]],10)</f>
        <v>2022-09-16</v>
      </c>
    </row>
    <row r="402" spans="1:14" x14ac:dyDescent="0.35">
      <c r="A402">
        <f t="shared" si="14"/>
        <v>401</v>
      </c>
      <c r="B402">
        <f t="shared" si="13"/>
        <v>82</v>
      </c>
      <c r="C402" s="1" t="s">
        <v>11</v>
      </c>
      <c r="D402">
        <v>1.1000000000000001</v>
      </c>
      <c r="E402" s="2" t="s">
        <v>12</v>
      </c>
      <c r="F402" s="1" t="s">
        <v>13</v>
      </c>
      <c r="G402" s="3" t="s">
        <v>479</v>
      </c>
      <c r="H402">
        <v>33.988247999999999</v>
      </c>
      <c r="I402">
        <v>71.458360999999996</v>
      </c>
      <c r="J402">
        <v>396.03704800000003</v>
      </c>
      <c r="K402" s="3" t="s">
        <v>560</v>
      </c>
      <c r="L402">
        <v>328</v>
      </c>
      <c r="M402" s="1" t="s">
        <v>61</v>
      </c>
      <c r="N402" s="29" t="str">
        <f>LEFT(Table17[[#This Row],[ns1:time2]],10)</f>
        <v>2022-09-16</v>
      </c>
    </row>
    <row r="403" spans="1:14" x14ac:dyDescent="0.35">
      <c r="A403">
        <f t="shared" si="14"/>
        <v>402</v>
      </c>
      <c r="B403">
        <f t="shared" si="13"/>
        <v>83</v>
      </c>
      <c r="C403" s="1" t="s">
        <v>11</v>
      </c>
      <c r="D403">
        <v>1.1000000000000001</v>
      </c>
      <c r="E403" s="2" t="s">
        <v>12</v>
      </c>
      <c r="F403" s="1" t="s">
        <v>13</v>
      </c>
      <c r="G403" s="3" t="s">
        <v>479</v>
      </c>
      <c r="H403">
        <v>33.988563999999997</v>
      </c>
      <c r="I403">
        <v>71.458584999999999</v>
      </c>
      <c r="J403">
        <v>397.30764799999997</v>
      </c>
      <c r="K403" s="3" t="s">
        <v>561</v>
      </c>
      <c r="L403">
        <v>329</v>
      </c>
      <c r="M403" s="1" t="s">
        <v>61</v>
      </c>
      <c r="N403" s="29" t="str">
        <f>LEFT(Table17[[#This Row],[ns1:time2]],10)</f>
        <v>2022-09-16</v>
      </c>
    </row>
    <row r="404" spans="1:14" x14ac:dyDescent="0.35">
      <c r="A404">
        <f t="shared" si="14"/>
        <v>403</v>
      </c>
      <c r="B404">
        <f t="shared" si="13"/>
        <v>84</v>
      </c>
      <c r="C404" s="1" t="s">
        <v>11</v>
      </c>
      <c r="D404">
        <v>1.1000000000000001</v>
      </c>
      <c r="E404" s="2" t="s">
        <v>12</v>
      </c>
      <c r="F404" s="1" t="s">
        <v>13</v>
      </c>
      <c r="G404" s="3" t="s">
        <v>479</v>
      </c>
      <c r="H404">
        <v>33.988585999999998</v>
      </c>
      <c r="I404">
        <v>71.458596</v>
      </c>
      <c r="J404">
        <v>397.29330399999998</v>
      </c>
      <c r="K404" s="3" t="s">
        <v>562</v>
      </c>
      <c r="L404">
        <v>330</v>
      </c>
      <c r="M404" s="1" t="s">
        <v>61</v>
      </c>
      <c r="N404" s="29" t="str">
        <f>LEFT(Table17[[#This Row],[ns1:time2]],10)</f>
        <v>2022-09-16</v>
      </c>
    </row>
    <row r="405" spans="1:14" x14ac:dyDescent="0.35">
      <c r="A405">
        <f t="shared" si="14"/>
        <v>404</v>
      </c>
      <c r="B405">
        <f t="shared" si="13"/>
        <v>85</v>
      </c>
      <c r="C405" s="1" t="s">
        <v>11</v>
      </c>
      <c r="D405">
        <v>1.1000000000000001</v>
      </c>
      <c r="E405" s="2" t="s">
        <v>12</v>
      </c>
      <c r="F405" s="1" t="s">
        <v>13</v>
      </c>
      <c r="G405" s="3" t="s">
        <v>479</v>
      </c>
      <c r="H405">
        <v>33.988598000000003</v>
      </c>
      <c r="I405">
        <v>71.458592999999993</v>
      </c>
      <c r="J405">
        <v>397.285889</v>
      </c>
      <c r="K405" s="3" t="s">
        <v>563</v>
      </c>
      <c r="L405">
        <v>331</v>
      </c>
      <c r="M405" s="1" t="s">
        <v>61</v>
      </c>
      <c r="N405" s="29" t="str">
        <f>LEFT(Table17[[#This Row],[ns1:time2]],10)</f>
        <v>2022-09-16</v>
      </c>
    </row>
    <row r="406" spans="1:14" x14ac:dyDescent="0.35">
      <c r="A406">
        <f t="shared" si="14"/>
        <v>405</v>
      </c>
      <c r="B406">
        <f t="shared" si="13"/>
        <v>86</v>
      </c>
      <c r="C406" s="1" t="s">
        <v>11</v>
      </c>
      <c r="D406">
        <v>1.1000000000000001</v>
      </c>
      <c r="E406" s="2" t="s">
        <v>12</v>
      </c>
      <c r="F406" s="1" t="s">
        <v>13</v>
      </c>
      <c r="G406" s="3" t="s">
        <v>479</v>
      </c>
      <c r="H406">
        <v>33.98883</v>
      </c>
      <c r="I406">
        <v>71.458224000000001</v>
      </c>
      <c r="J406">
        <v>395.36181599999998</v>
      </c>
      <c r="K406" s="3" t="s">
        <v>564</v>
      </c>
      <c r="L406">
        <v>332</v>
      </c>
      <c r="M406" s="1" t="s">
        <v>61</v>
      </c>
      <c r="N406" s="29" t="str">
        <f>LEFT(Table17[[#This Row],[ns1:time2]],10)</f>
        <v>2022-09-16</v>
      </c>
    </row>
    <row r="407" spans="1:14" x14ac:dyDescent="0.35">
      <c r="A407">
        <f t="shared" si="14"/>
        <v>406</v>
      </c>
      <c r="B407">
        <f t="shared" si="13"/>
        <v>87</v>
      </c>
      <c r="C407" s="1" t="s">
        <v>11</v>
      </c>
      <c r="D407">
        <v>1.1000000000000001</v>
      </c>
      <c r="E407" s="2" t="s">
        <v>12</v>
      </c>
      <c r="F407" s="1" t="s">
        <v>13</v>
      </c>
      <c r="G407" s="3" t="s">
        <v>479</v>
      </c>
      <c r="H407">
        <v>33.989080000000001</v>
      </c>
      <c r="I407">
        <v>71.458412999999993</v>
      </c>
      <c r="J407">
        <v>395.09466600000002</v>
      </c>
      <c r="K407" s="3" t="s">
        <v>565</v>
      </c>
      <c r="L407">
        <v>333</v>
      </c>
      <c r="M407" s="1" t="s">
        <v>61</v>
      </c>
      <c r="N407" s="29" t="str">
        <f>LEFT(Table17[[#This Row],[ns1:time2]],10)</f>
        <v>2022-09-16</v>
      </c>
    </row>
    <row r="408" spans="1:14" x14ac:dyDescent="0.35">
      <c r="A408">
        <f t="shared" si="14"/>
        <v>407</v>
      </c>
      <c r="B408">
        <f t="shared" si="13"/>
        <v>88</v>
      </c>
      <c r="C408" s="1" t="s">
        <v>11</v>
      </c>
      <c r="D408">
        <v>1.1000000000000001</v>
      </c>
      <c r="E408" s="2" t="s">
        <v>12</v>
      </c>
      <c r="F408" s="1" t="s">
        <v>13</v>
      </c>
      <c r="G408" s="3" t="s">
        <v>479</v>
      </c>
      <c r="H408">
        <v>33.989061999999997</v>
      </c>
      <c r="I408">
        <v>71.458819000000005</v>
      </c>
      <c r="J408">
        <v>384.95727499999998</v>
      </c>
      <c r="K408" s="3" t="s">
        <v>566</v>
      </c>
      <c r="L408">
        <v>334</v>
      </c>
      <c r="M408" s="1" t="s">
        <v>61</v>
      </c>
      <c r="N408" s="29" t="str">
        <f>LEFT(Table17[[#This Row],[ns1:time2]],10)</f>
        <v>2022-09-16</v>
      </c>
    </row>
    <row r="409" spans="1:14" x14ac:dyDescent="0.35">
      <c r="A409">
        <f t="shared" si="14"/>
        <v>408</v>
      </c>
      <c r="B409">
        <f t="shared" si="13"/>
        <v>89</v>
      </c>
      <c r="C409" s="1" t="s">
        <v>11</v>
      </c>
      <c r="D409">
        <v>1.1000000000000001</v>
      </c>
      <c r="E409" s="2" t="s">
        <v>12</v>
      </c>
      <c r="F409" s="1" t="s">
        <v>13</v>
      </c>
      <c r="G409" s="3" t="s">
        <v>479</v>
      </c>
      <c r="H409">
        <v>33.989314</v>
      </c>
      <c r="I409">
        <v>71.459030999999996</v>
      </c>
      <c r="J409">
        <v>384.17999300000002</v>
      </c>
      <c r="K409" s="3" t="s">
        <v>567</v>
      </c>
      <c r="L409">
        <v>335</v>
      </c>
      <c r="M409" s="1" t="s">
        <v>61</v>
      </c>
      <c r="N409" s="29" t="str">
        <f>LEFT(Table17[[#This Row],[ns1:time2]],10)</f>
        <v>2022-09-16</v>
      </c>
    </row>
    <row r="410" spans="1:14" x14ac:dyDescent="0.35">
      <c r="A410">
        <f t="shared" si="14"/>
        <v>409</v>
      </c>
      <c r="B410">
        <f t="shared" si="13"/>
        <v>90</v>
      </c>
      <c r="C410" s="1" t="s">
        <v>11</v>
      </c>
      <c r="D410">
        <v>1.1000000000000001</v>
      </c>
      <c r="E410" s="2" t="s">
        <v>12</v>
      </c>
      <c r="F410" s="1" t="s">
        <v>13</v>
      </c>
      <c r="G410" s="3" t="s">
        <v>479</v>
      </c>
      <c r="H410">
        <v>33.990386000000001</v>
      </c>
      <c r="I410">
        <v>71.457671000000005</v>
      </c>
      <c r="J410">
        <v>386.57708700000001</v>
      </c>
      <c r="K410" s="3" t="s">
        <v>568</v>
      </c>
      <c r="L410">
        <v>336</v>
      </c>
      <c r="M410" s="1" t="s">
        <v>61</v>
      </c>
      <c r="N410" s="29" t="str">
        <f>LEFT(Table17[[#This Row],[ns1:time2]],10)</f>
        <v>2022-09-16</v>
      </c>
    </row>
    <row r="411" spans="1:14" x14ac:dyDescent="0.35">
      <c r="A411">
        <f t="shared" si="14"/>
        <v>410</v>
      </c>
      <c r="B411">
        <f t="shared" si="13"/>
        <v>91</v>
      </c>
      <c r="C411" s="1" t="s">
        <v>11</v>
      </c>
      <c r="D411">
        <v>1.1000000000000001</v>
      </c>
      <c r="E411" s="2" t="s">
        <v>12</v>
      </c>
      <c r="F411" s="1" t="s">
        <v>13</v>
      </c>
      <c r="G411" s="3" t="s">
        <v>479</v>
      </c>
      <c r="H411">
        <v>33.990383000000001</v>
      </c>
      <c r="I411">
        <v>71.457663999999994</v>
      </c>
      <c r="J411">
        <v>386.58520499999997</v>
      </c>
      <c r="K411" s="3" t="s">
        <v>569</v>
      </c>
      <c r="L411">
        <v>337</v>
      </c>
      <c r="M411" s="1" t="s">
        <v>61</v>
      </c>
      <c r="N411" s="29" t="str">
        <f>LEFT(Table17[[#This Row],[ns1:time2]],10)</f>
        <v>2022-09-16</v>
      </c>
    </row>
    <row r="412" spans="1:14" x14ac:dyDescent="0.35">
      <c r="A412">
        <f t="shared" si="14"/>
        <v>411</v>
      </c>
      <c r="B412">
        <f t="shared" si="13"/>
        <v>92</v>
      </c>
      <c r="C412" s="1" t="s">
        <v>11</v>
      </c>
      <c r="D412">
        <v>1.1000000000000001</v>
      </c>
      <c r="E412" s="2" t="s">
        <v>12</v>
      </c>
      <c r="F412" s="1" t="s">
        <v>13</v>
      </c>
      <c r="G412" s="3" t="s">
        <v>479</v>
      </c>
      <c r="H412">
        <v>33.990383999999999</v>
      </c>
      <c r="I412">
        <v>71.457649000000004</v>
      </c>
      <c r="J412">
        <v>386.589966</v>
      </c>
      <c r="K412" s="3" t="s">
        <v>570</v>
      </c>
      <c r="L412">
        <v>338</v>
      </c>
      <c r="M412" s="1" t="s">
        <v>61</v>
      </c>
      <c r="N412" s="29" t="str">
        <f>LEFT(Table17[[#This Row],[ns1:time2]],10)</f>
        <v>2022-09-16</v>
      </c>
    </row>
    <row r="413" spans="1:14" x14ac:dyDescent="0.35">
      <c r="A413">
        <f t="shared" si="14"/>
        <v>412</v>
      </c>
      <c r="B413">
        <f t="shared" si="13"/>
        <v>93</v>
      </c>
      <c r="C413" s="1" t="s">
        <v>11</v>
      </c>
      <c r="D413">
        <v>1.1000000000000001</v>
      </c>
      <c r="E413" s="2" t="s">
        <v>12</v>
      </c>
      <c r="F413" s="1" t="s">
        <v>13</v>
      </c>
      <c r="G413" s="3" t="s">
        <v>479</v>
      </c>
      <c r="H413">
        <v>33.990231000000001</v>
      </c>
      <c r="I413">
        <v>71.458004000000003</v>
      </c>
      <c r="J413">
        <v>382.84054600000002</v>
      </c>
      <c r="K413" s="3" t="s">
        <v>571</v>
      </c>
      <c r="L413">
        <v>339</v>
      </c>
      <c r="M413" s="1" t="s">
        <v>61</v>
      </c>
      <c r="N413" s="29" t="str">
        <f>LEFT(Table17[[#This Row],[ns1:time2]],10)</f>
        <v>2022-09-16</v>
      </c>
    </row>
    <row r="414" spans="1:14" x14ac:dyDescent="0.35">
      <c r="A414">
        <f t="shared" si="14"/>
        <v>413</v>
      </c>
      <c r="B414">
        <f t="shared" si="13"/>
        <v>94</v>
      </c>
      <c r="C414" s="1" t="s">
        <v>11</v>
      </c>
      <c r="D414">
        <v>1.1000000000000001</v>
      </c>
      <c r="E414" s="2" t="s">
        <v>12</v>
      </c>
      <c r="F414" s="1" t="s">
        <v>13</v>
      </c>
      <c r="G414" s="3" t="s">
        <v>479</v>
      </c>
      <c r="H414">
        <v>33.990015</v>
      </c>
      <c r="I414">
        <v>71.458654999999993</v>
      </c>
      <c r="J414">
        <v>385.780304</v>
      </c>
      <c r="K414" s="3" t="s">
        <v>572</v>
      </c>
      <c r="L414">
        <v>340</v>
      </c>
      <c r="M414" s="1" t="s">
        <v>61</v>
      </c>
      <c r="N414" s="29" t="str">
        <f>LEFT(Table17[[#This Row],[ns1:time2]],10)</f>
        <v>2022-09-16</v>
      </c>
    </row>
    <row r="415" spans="1:14" x14ac:dyDescent="0.35">
      <c r="A415">
        <f t="shared" si="14"/>
        <v>414</v>
      </c>
      <c r="B415">
        <f t="shared" si="13"/>
        <v>95</v>
      </c>
      <c r="C415" s="1" t="s">
        <v>11</v>
      </c>
      <c r="D415">
        <v>1.1000000000000001</v>
      </c>
      <c r="E415" s="2" t="s">
        <v>12</v>
      </c>
      <c r="F415" s="1" t="s">
        <v>13</v>
      </c>
      <c r="G415" s="3" t="s">
        <v>479</v>
      </c>
      <c r="H415">
        <v>33.989801</v>
      </c>
      <c r="I415">
        <v>71.459129000000004</v>
      </c>
      <c r="J415">
        <v>387.58355699999998</v>
      </c>
      <c r="K415" s="3" t="s">
        <v>573</v>
      </c>
      <c r="L415">
        <v>341</v>
      </c>
      <c r="M415" s="1" t="s">
        <v>61</v>
      </c>
      <c r="N415" s="29" t="str">
        <f>LEFT(Table17[[#This Row],[ns1:time2]],10)</f>
        <v>2022-09-16</v>
      </c>
    </row>
    <row r="416" spans="1:14" x14ac:dyDescent="0.35">
      <c r="A416">
        <f t="shared" si="14"/>
        <v>415</v>
      </c>
      <c r="B416">
        <f t="shared" si="13"/>
        <v>96</v>
      </c>
      <c r="C416" s="1" t="s">
        <v>11</v>
      </c>
      <c r="D416">
        <v>1.1000000000000001</v>
      </c>
      <c r="E416" s="2" t="s">
        <v>12</v>
      </c>
      <c r="F416" s="1" t="s">
        <v>13</v>
      </c>
      <c r="G416" s="3" t="s">
        <v>479</v>
      </c>
      <c r="H416">
        <v>33.989634000000002</v>
      </c>
      <c r="I416">
        <v>71.459198000000001</v>
      </c>
      <c r="J416">
        <v>389.36914100000001</v>
      </c>
      <c r="K416" s="3" t="s">
        <v>574</v>
      </c>
      <c r="L416">
        <v>342</v>
      </c>
      <c r="M416" s="1" t="s">
        <v>61</v>
      </c>
      <c r="N416" s="29" t="str">
        <f>LEFT(Table17[[#This Row],[ns1:time2]],10)</f>
        <v>2022-09-16</v>
      </c>
    </row>
    <row r="417" spans="1:14" x14ac:dyDescent="0.35">
      <c r="A417">
        <f t="shared" si="14"/>
        <v>416</v>
      </c>
      <c r="B417">
        <f t="shared" si="13"/>
        <v>97</v>
      </c>
      <c r="C417" s="1" t="s">
        <v>11</v>
      </c>
      <c r="D417">
        <v>1.1000000000000001</v>
      </c>
      <c r="E417" s="2" t="s">
        <v>12</v>
      </c>
      <c r="F417" s="1" t="s">
        <v>13</v>
      </c>
      <c r="G417" s="3" t="s">
        <v>479</v>
      </c>
      <c r="H417">
        <v>33.989629000000001</v>
      </c>
      <c r="I417">
        <v>71.459215</v>
      </c>
      <c r="J417">
        <v>389.37387100000001</v>
      </c>
      <c r="K417" s="3" t="s">
        <v>575</v>
      </c>
      <c r="L417">
        <v>343</v>
      </c>
      <c r="M417" s="1" t="s">
        <v>61</v>
      </c>
      <c r="N417" s="29" t="str">
        <f>LEFT(Table17[[#This Row],[ns1:time2]],10)</f>
        <v>2022-09-16</v>
      </c>
    </row>
    <row r="418" spans="1:14" x14ac:dyDescent="0.35">
      <c r="A418">
        <f t="shared" si="14"/>
        <v>417</v>
      </c>
      <c r="B418">
        <f t="shared" si="13"/>
        <v>98</v>
      </c>
      <c r="C418" s="1" t="s">
        <v>11</v>
      </c>
      <c r="D418">
        <v>1.1000000000000001</v>
      </c>
      <c r="E418" s="2" t="s">
        <v>12</v>
      </c>
      <c r="F418" s="1" t="s">
        <v>13</v>
      </c>
      <c r="G418" s="3" t="s">
        <v>479</v>
      </c>
      <c r="H418">
        <v>33.989621999999997</v>
      </c>
      <c r="I418">
        <v>71.459198999999998</v>
      </c>
      <c r="J418">
        <v>389.378601</v>
      </c>
      <c r="K418" s="3" t="s">
        <v>576</v>
      </c>
      <c r="L418">
        <v>344</v>
      </c>
      <c r="M418" s="1" t="s">
        <v>61</v>
      </c>
      <c r="N418" s="29" t="str">
        <f>LEFT(Table17[[#This Row],[ns1:time2]],10)</f>
        <v>2022-09-16</v>
      </c>
    </row>
    <row r="419" spans="1:14" x14ac:dyDescent="0.35">
      <c r="A419">
        <f t="shared" si="14"/>
        <v>418</v>
      </c>
      <c r="B419">
        <f t="shared" si="13"/>
        <v>99</v>
      </c>
      <c r="C419" s="1" t="s">
        <v>11</v>
      </c>
      <c r="D419">
        <v>1.1000000000000001</v>
      </c>
      <c r="E419" s="2" t="s">
        <v>12</v>
      </c>
      <c r="F419" s="1" t="s">
        <v>13</v>
      </c>
      <c r="G419" s="3" t="s">
        <v>479</v>
      </c>
      <c r="H419">
        <v>33.989567999999998</v>
      </c>
      <c r="I419">
        <v>71.459509999999995</v>
      </c>
      <c r="J419">
        <v>386.76226800000001</v>
      </c>
      <c r="K419" s="3" t="s">
        <v>577</v>
      </c>
      <c r="L419">
        <v>345</v>
      </c>
      <c r="M419" s="1" t="s">
        <v>61</v>
      </c>
      <c r="N419" s="29" t="str">
        <f>LEFT(Table17[[#This Row],[ns1:time2]],10)</f>
        <v>2022-09-16</v>
      </c>
    </row>
    <row r="420" spans="1:14" x14ac:dyDescent="0.35">
      <c r="A420">
        <f t="shared" si="14"/>
        <v>419</v>
      </c>
      <c r="B420">
        <f t="shared" si="13"/>
        <v>100</v>
      </c>
      <c r="C420" s="1" t="s">
        <v>11</v>
      </c>
      <c r="D420">
        <v>1.1000000000000001</v>
      </c>
      <c r="E420" s="2" t="s">
        <v>12</v>
      </c>
      <c r="F420" s="1" t="s">
        <v>13</v>
      </c>
      <c r="G420" s="3" t="s">
        <v>479</v>
      </c>
      <c r="H420">
        <v>33.989407</v>
      </c>
      <c r="I420">
        <v>71.459784999999997</v>
      </c>
      <c r="J420">
        <v>389.993652</v>
      </c>
      <c r="K420" s="3" t="s">
        <v>578</v>
      </c>
      <c r="L420">
        <v>346</v>
      </c>
      <c r="M420" s="1" t="s">
        <v>61</v>
      </c>
      <c r="N420" s="29" t="str">
        <f>LEFT(Table17[[#This Row],[ns1:time2]],10)</f>
        <v>2022-09-16</v>
      </c>
    </row>
    <row r="421" spans="1:14" x14ac:dyDescent="0.35">
      <c r="A421">
        <f t="shared" si="14"/>
        <v>420</v>
      </c>
      <c r="B421">
        <f t="shared" si="13"/>
        <v>101</v>
      </c>
      <c r="C421" s="1" t="s">
        <v>11</v>
      </c>
      <c r="D421">
        <v>1.1000000000000001</v>
      </c>
      <c r="E421" s="2" t="s">
        <v>12</v>
      </c>
      <c r="F421" s="1" t="s">
        <v>13</v>
      </c>
      <c r="G421" s="3" t="s">
        <v>479</v>
      </c>
      <c r="H421">
        <v>33.989201999999999</v>
      </c>
      <c r="I421">
        <v>71.459699000000001</v>
      </c>
      <c r="J421">
        <v>390.37701399999997</v>
      </c>
      <c r="K421" s="3" t="s">
        <v>579</v>
      </c>
      <c r="L421">
        <v>347</v>
      </c>
      <c r="M421" s="1" t="s">
        <v>61</v>
      </c>
      <c r="N421" s="29" t="str">
        <f>LEFT(Table17[[#This Row],[ns1:time2]],10)</f>
        <v>2022-09-16</v>
      </c>
    </row>
    <row r="422" spans="1:14" x14ac:dyDescent="0.35">
      <c r="A422">
        <f t="shared" si="14"/>
        <v>421</v>
      </c>
      <c r="B422">
        <f t="shared" si="13"/>
        <v>102</v>
      </c>
      <c r="C422" s="1" t="s">
        <v>11</v>
      </c>
      <c r="D422">
        <v>1.1000000000000001</v>
      </c>
      <c r="E422" s="2" t="s">
        <v>12</v>
      </c>
      <c r="F422" s="1" t="s">
        <v>13</v>
      </c>
      <c r="G422" s="3" t="s">
        <v>479</v>
      </c>
      <c r="H422">
        <v>33.989018999999999</v>
      </c>
      <c r="I422">
        <v>71.459560999999994</v>
      </c>
      <c r="J422">
        <v>374.73831200000001</v>
      </c>
      <c r="K422" s="3" t="s">
        <v>580</v>
      </c>
      <c r="L422">
        <v>348</v>
      </c>
      <c r="M422" s="1" t="s">
        <v>61</v>
      </c>
      <c r="N422" s="29" t="str">
        <f>LEFT(Table17[[#This Row],[ns1:time2]],10)</f>
        <v>2022-09-16</v>
      </c>
    </row>
    <row r="423" spans="1:14" x14ac:dyDescent="0.35">
      <c r="A423">
        <f t="shared" si="14"/>
        <v>422</v>
      </c>
      <c r="B423">
        <f t="shared" si="13"/>
        <v>103</v>
      </c>
      <c r="C423" s="1" t="s">
        <v>11</v>
      </c>
      <c r="D423">
        <v>1.1000000000000001</v>
      </c>
      <c r="E423" s="2" t="s">
        <v>12</v>
      </c>
      <c r="F423" s="1" t="s">
        <v>13</v>
      </c>
      <c r="G423" s="3" t="s">
        <v>479</v>
      </c>
      <c r="H423">
        <v>33.988931999999998</v>
      </c>
      <c r="I423">
        <v>71.459542999999996</v>
      </c>
      <c r="J423">
        <v>375.63659699999999</v>
      </c>
      <c r="K423" s="3" t="s">
        <v>581</v>
      </c>
      <c r="L423">
        <v>349</v>
      </c>
      <c r="M423" s="1" t="s">
        <v>61</v>
      </c>
      <c r="N423" s="29" t="str">
        <f>LEFT(Table17[[#This Row],[ns1:time2]],10)</f>
        <v>2022-09-16</v>
      </c>
    </row>
    <row r="424" spans="1:14" x14ac:dyDescent="0.35">
      <c r="A424">
        <f t="shared" si="14"/>
        <v>423</v>
      </c>
      <c r="B424">
        <f t="shared" si="13"/>
        <v>104</v>
      </c>
      <c r="C424" s="1" t="s">
        <v>11</v>
      </c>
      <c r="D424">
        <v>1.1000000000000001</v>
      </c>
      <c r="E424" s="2" t="s">
        <v>12</v>
      </c>
      <c r="F424" s="1" t="s">
        <v>13</v>
      </c>
      <c r="G424" s="3" t="s">
        <v>479</v>
      </c>
      <c r="H424">
        <v>33.988694000000002</v>
      </c>
      <c r="I424">
        <v>71.459456000000003</v>
      </c>
      <c r="J424">
        <v>375.39321899999999</v>
      </c>
      <c r="K424" s="3" t="s">
        <v>582</v>
      </c>
      <c r="L424">
        <v>350</v>
      </c>
      <c r="M424" s="1" t="s">
        <v>61</v>
      </c>
      <c r="N424" s="29" t="str">
        <f>LEFT(Table17[[#This Row],[ns1:time2]],10)</f>
        <v>2022-09-16</v>
      </c>
    </row>
    <row r="425" spans="1:14" x14ac:dyDescent="0.35">
      <c r="A425">
        <f t="shared" si="14"/>
        <v>424</v>
      </c>
      <c r="B425">
        <f t="shared" si="13"/>
        <v>105</v>
      </c>
      <c r="C425" s="1" t="s">
        <v>11</v>
      </c>
      <c r="D425">
        <v>1.1000000000000001</v>
      </c>
      <c r="E425" s="2" t="s">
        <v>12</v>
      </c>
      <c r="F425" s="1" t="s">
        <v>13</v>
      </c>
      <c r="G425" s="3" t="s">
        <v>479</v>
      </c>
      <c r="H425">
        <v>33.988838999999999</v>
      </c>
      <c r="I425">
        <v>71.459457999999998</v>
      </c>
      <c r="J425">
        <v>376.019226</v>
      </c>
      <c r="K425" s="3" t="s">
        <v>583</v>
      </c>
      <c r="L425">
        <v>351</v>
      </c>
      <c r="M425" s="1" t="s">
        <v>61</v>
      </c>
      <c r="N425" s="29" t="str">
        <f>LEFT(Table17[[#This Row],[ns1:time2]],10)</f>
        <v>2022-09-16</v>
      </c>
    </row>
    <row r="426" spans="1:14" x14ac:dyDescent="0.35">
      <c r="A426">
        <f t="shared" si="14"/>
        <v>425</v>
      </c>
      <c r="B426">
        <f t="shared" si="13"/>
        <v>106</v>
      </c>
      <c r="C426" s="1" t="s">
        <v>11</v>
      </c>
      <c r="D426">
        <v>1.1000000000000001</v>
      </c>
      <c r="E426" s="2" t="s">
        <v>12</v>
      </c>
      <c r="F426" s="1" t="s">
        <v>13</v>
      </c>
      <c r="G426" s="3" t="s">
        <v>479</v>
      </c>
      <c r="H426">
        <v>33.988622999999997</v>
      </c>
      <c r="I426">
        <v>71.459307999999993</v>
      </c>
      <c r="J426">
        <v>377.39389</v>
      </c>
      <c r="K426" s="3" t="s">
        <v>584</v>
      </c>
      <c r="L426">
        <v>352</v>
      </c>
      <c r="M426" s="1" t="s">
        <v>61</v>
      </c>
      <c r="N426" s="29" t="str">
        <f>LEFT(Table17[[#This Row],[ns1:time2]],10)</f>
        <v>2022-09-16</v>
      </c>
    </row>
    <row r="427" spans="1:14" x14ac:dyDescent="0.35">
      <c r="A427">
        <f t="shared" si="14"/>
        <v>426</v>
      </c>
      <c r="B427">
        <f t="shared" si="13"/>
        <v>107</v>
      </c>
      <c r="C427" s="1" t="s">
        <v>11</v>
      </c>
      <c r="D427">
        <v>1.1000000000000001</v>
      </c>
      <c r="E427" s="2" t="s">
        <v>12</v>
      </c>
      <c r="F427" s="1" t="s">
        <v>13</v>
      </c>
      <c r="G427" s="3" t="s">
        <v>479</v>
      </c>
      <c r="H427">
        <v>33.988249000000003</v>
      </c>
      <c r="I427">
        <v>71.459091000000001</v>
      </c>
      <c r="J427">
        <v>376.15759300000002</v>
      </c>
      <c r="K427" s="3" t="s">
        <v>585</v>
      </c>
      <c r="L427">
        <v>353</v>
      </c>
      <c r="M427" s="1" t="s">
        <v>61</v>
      </c>
      <c r="N427" s="29" t="str">
        <f>LEFT(Table17[[#This Row],[ns1:time2]],10)</f>
        <v>2022-09-16</v>
      </c>
    </row>
    <row r="428" spans="1:14" x14ac:dyDescent="0.35">
      <c r="A428">
        <f t="shared" si="14"/>
        <v>427</v>
      </c>
      <c r="B428">
        <f t="shared" si="13"/>
        <v>108</v>
      </c>
      <c r="C428" s="1" t="s">
        <v>11</v>
      </c>
      <c r="D428">
        <v>1.1000000000000001</v>
      </c>
      <c r="E428" s="2" t="s">
        <v>12</v>
      </c>
      <c r="F428" s="1" t="s">
        <v>13</v>
      </c>
      <c r="G428" s="3" t="s">
        <v>479</v>
      </c>
      <c r="H428">
        <v>33.988050000000001</v>
      </c>
      <c r="I428">
        <v>71.458972000000003</v>
      </c>
      <c r="J428">
        <v>378.93084700000003</v>
      </c>
      <c r="K428" s="3" t="s">
        <v>586</v>
      </c>
      <c r="L428">
        <v>354</v>
      </c>
      <c r="M428" s="1" t="s">
        <v>61</v>
      </c>
      <c r="N428" s="29" t="str">
        <f>LEFT(Table17[[#This Row],[ns1:time2]],10)</f>
        <v>2022-09-16</v>
      </c>
    </row>
    <row r="429" spans="1:14" x14ac:dyDescent="0.35">
      <c r="A429">
        <f t="shared" si="14"/>
        <v>428</v>
      </c>
      <c r="B429">
        <f t="shared" si="13"/>
        <v>109</v>
      </c>
      <c r="C429" s="1" t="s">
        <v>11</v>
      </c>
      <c r="D429">
        <v>1.1000000000000001</v>
      </c>
      <c r="E429" s="2" t="s">
        <v>12</v>
      </c>
      <c r="F429" s="1" t="s">
        <v>13</v>
      </c>
      <c r="G429" s="3" t="s">
        <v>479</v>
      </c>
      <c r="H429">
        <v>33.988180999999997</v>
      </c>
      <c r="I429">
        <v>71.458707000000004</v>
      </c>
      <c r="J429">
        <v>379.41516100000001</v>
      </c>
      <c r="K429" s="3" t="s">
        <v>587</v>
      </c>
      <c r="L429">
        <v>355</v>
      </c>
      <c r="M429" s="1" t="s">
        <v>61</v>
      </c>
      <c r="N429" s="29" t="str">
        <f>LEFT(Table17[[#This Row],[ns1:time2]],10)</f>
        <v>2022-09-16</v>
      </c>
    </row>
    <row r="430" spans="1:14" x14ac:dyDescent="0.35">
      <c r="A430">
        <f t="shared" si="14"/>
        <v>429</v>
      </c>
      <c r="B430">
        <f t="shared" si="13"/>
        <v>110</v>
      </c>
      <c r="C430" s="1" t="s">
        <v>11</v>
      </c>
      <c r="D430">
        <v>1.1000000000000001</v>
      </c>
      <c r="E430" s="2" t="s">
        <v>12</v>
      </c>
      <c r="F430" s="1" t="s">
        <v>13</v>
      </c>
      <c r="G430" s="3" t="s">
        <v>479</v>
      </c>
      <c r="H430">
        <v>33.987864999999999</v>
      </c>
      <c r="I430">
        <v>71.458849000000001</v>
      </c>
      <c r="J430">
        <v>377.85665899999998</v>
      </c>
      <c r="K430" s="3" t="s">
        <v>588</v>
      </c>
      <c r="L430">
        <v>356</v>
      </c>
      <c r="M430" s="1" t="s">
        <v>61</v>
      </c>
      <c r="N430" s="29" t="str">
        <f>LEFT(Table17[[#This Row],[ns1:time2]],10)</f>
        <v>2022-09-16</v>
      </c>
    </row>
    <row r="431" spans="1:14" x14ac:dyDescent="0.35">
      <c r="A431">
        <f t="shared" si="14"/>
        <v>430</v>
      </c>
      <c r="B431">
        <f t="shared" si="13"/>
        <v>111</v>
      </c>
      <c r="C431" s="1" t="s">
        <v>11</v>
      </c>
      <c r="D431">
        <v>1.1000000000000001</v>
      </c>
      <c r="E431" s="2" t="s">
        <v>12</v>
      </c>
      <c r="F431" s="1" t="s">
        <v>13</v>
      </c>
      <c r="G431" s="3" t="s">
        <v>479</v>
      </c>
      <c r="H431">
        <v>33.988005999999999</v>
      </c>
      <c r="I431">
        <v>71.458607000000001</v>
      </c>
      <c r="J431">
        <v>379.61340300000001</v>
      </c>
      <c r="K431" s="3" t="s">
        <v>589</v>
      </c>
      <c r="L431">
        <v>357</v>
      </c>
      <c r="M431" s="1" t="s">
        <v>61</v>
      </c>
      <c r="N431" s="29" t="str">
        <f>LEFT(Table17[[#This Row],[ns1:time2]],10)</f>
        <v>2022-09-16</v>
      </c>
    </row>
    <row r="432" spans="1:14" x14ac:dyDescent="0.35">
      <c r="A432">
        <f t="shared" si="14"/>
        <v>431</v>
      </c>
      <c r="B432">
        <f t="shared" si="13"/>
        <v>112</v>
      </c>
      <c r="C432" s="1" t="s">
        <v>11</v>
      </c>
      <c r="D432">
        <v>1.1000000000000001</v>
      </c>
      <c r="E432" s="2" t="s">
        <v>12</v>
      </c>
      <c r="F432" s="1" t="s">
        <v>13</v>
      </c>
      <c r="G432" s="3" t="s">
        <v>479</v>
      </c>
      <c r="H432">
        <v>33.987642999999998</v>
      </c>
      <c r="I432">
        <v>71.458703999999997</v>
      </c>
      <c r="J432">
        <v>379.597351</v>
      </c>
      <c r="K432" s="3" t="s">
        <v>590</v>
      </c>
      <c r="L432">
        <v>358</v>
      </c>
      <c r="M432" s="1" t="s">
        <v>61</v>
      </c>
      <c r="N432" s="29" t="str">
        <f>LEFT(Table17[[#This Row],[ns1:time2]],10)</f>
        <v>2022-09-16</v>
      </c>
    </row>
    <row r="433" spans="1:14" x14ac:dyDescent="0.35">
      <c r="A433">
        <f t="shared" si="14"/>
        <v>432</v>
      </c>
      <c r="B433">
        <f t="shared" si="13"/>
        <v>113</v>
      </c>
      <c r="C433" s="1" t="s">
        <v>11</v>
      </c>
      <c r="D433">
        <v>1.1000000000000001</v>
      </c>
      <c r="E433" s="2" t="s">
        <v>12</v>
      </c>
      <c r="F433" s="1" t="s">
        <v>13</v>
      </c>
      <c r="G433" s="3" t="s">
        <v>479</v>
      </c>
      <c r="H433">
        <v>33.987513</v>
      </c>
      <c r="I433">
        <v>71.458274000000003</v>
      </c>
      <c r="J433">
        <v>383.25353999999999</v>
      </c>
      <c r="K433" s="3" t="s">
        <v>591</v>
      </c>
      <c r="L433">
        <v>359</v>
      </c>
      <c r="M433" s="1" t="s">
        <v>61</v>
      </c>
      <c r="N433" s="29" t="str">
        <f>LEFT(Table17[[#This Row],[ns1:time2]],10)</f>
        <v>2022-09-16</v>
      </c>
    </row>
    <row r="434" spans="1:14" x14ac:dyDescent="0.35">
      <c r="A434">
        <f t="shared" si="14"/>
        <v>433</v>
      </c>
      <c r="B434">
        <f t="shared" si="13"/>
        <v>114</v>
      </c>
      <c r="C434" s="1" t="s">
        <v>11</v>
      </c>
      <c r="D434">
        <v>1.1000000000000001</v>
      </c>
      <c r="E434" s="2" t="s">
        <v>12</v>
      </c>
      <c r="F434" s="1" t="s">
        <v>13</v>
      </c>
      <c r="G434" s="3" t="s">
        <v>479</v>
      </c>
      <c r="H434">
        <v>33.987375</v>
      </c>
      <c r="I434">
        <v>71.458601000000002</v>
      </c>
      <c r="J434">
        <v>382.87991299999999</v>
      </c>
      <c r="K434" s="3" t="s">
        <v>592</v>
      </c>
      <c r="L434">
        <v>360</v>
      </c>
      <c r="M434" s="1" t="s">
        <v>61</v>
      </c>
      <c r="N434" s="29" t="str">
        <f>LEFT(Table17[[#This Row],[ns1:time2]],10)</f>
        <v>2022-09-16</v>
      </c>
    </row>
    <row r="435" spans="1:14" x14ac:dyDescent="0.35">
      <c r="A435">
        <f t="shared" si="14"/>
        <v>434</v>
      </c>
      <c r="B435">
        <f t="shared" si="13"/>
        <v>115</v>
      </c>
      <c r="C435" s="1" t="s">
        <v>11</v>
      </c>
      <c r="D435">
        <v>1.1000000000000001</v>
      </c>
      <c r="E435" s="2" t="s">
        <v>12</v>
      </c>
      <c r="F435" s="1" t="s">
        <v>13</v>
      </c>
      <c r="G435" s="3" t="s">
        <v>479</v>
      </c>
      <c r="H435">
        <v>33.987378</v>
      </c>
      <c r="I435">
        <v>71.458596</v>
      </c>
      <c r="J435">
        <v>382.88406400000002</v>
      </c>
      <c r="K435" s="3" t="s">
        <v>593</v>
      </c>
      <c r="L435">
        <v>361</v>
      </c>
      <c r="M435" s="1" t="s">
        <v>61</v>
      </c>
      <c r="N435" s="29" t="str">
        <f>LEFT(Table17[[#This Row],[ns1:time2]],10)</f>
        <v>2022-09-16</v>
      </c>
    </row>
    <row r="436" spans="1:14" x14ac:dyDescent="0.35">
      <c r="A436">
        <f t="shared" si="14"/>
        <v>435</v>
      </c>
      <c r="B436">
        <f t="shared" si="13"/>
        <v>116</v>
      </c>
      <c r="C436" s="1" t="s">
        <v>11</v>
      </c>
      <c r="D436">
        <v>1.1000000000000001</v>
      </c>
      <c r="E436" s="2" t="s">
        <v>12</v>
      </c>
      <c r="F436" s="1" t="s">
        <v>13</v>
      </c>
      <c r="G436" s="3" t="s">
        <v>479</v>
      </c>
      <c r="H436">
        <v>33.987385000000003</v>
      </c>
      <c r="I436">
        <v>71.458584999999999</v>
      </c>
      <c r="J436">
        <v>382.89004499999999</v>
      </c>
      <c r="K436" s="3" t="s">
        <v>594</v>
      </c>
      <c r="L436">
        <v>362</v>
      </c>
      <c r="M436" s="1" t="s">
        <v>61</v>
      </c>
      <c r="N436" s="29" t="str">
        <f>LEFT(Table17[[#This Row],[ns1:time2]],10)</f>
        <v>2022-09-16</v>
      </c>
    </row>
    <row r="437" spans="1:14" x14ac:dyDescent="0.35">
      <c r="A437">
        <f t="shared" si="14"/>
        <v>436</v>
      </c>
      <c r="B437">
        <f t="shared" si="13"/>
        <v>117</v>
      </c>
      <c r="C437" s="1" t="s">
        <v>11</v>
      </c>
      <c r="D437">
        <v>1.1000000000000001</v>
      </c>
      <c r="E437" s="2" t="s">
        <v>12</v>
      </c>
      <c r="F437" s="1" t="s">
        <v>13</v>
      </c>
      <c r="G437" s="3" t="s">
        <v>479</v>
      </c>
      <c r="H437">
        <v>33.987288999999997</v>
      </c>
      <c r="I437">
        <v>71.458856999999995</v>
      </c>
      <c r="J437">
        <v>380.76413000000002</v>
      </c>
      <c r="K437" s="3" t="s">
        <v>595</v>
      </c>
      <c r="L437">
        <v>363</v>
      </c>
      <c r="M437" s="1" t="s">
        <v>61</v>
      </c>
      <c r="N437" s="29" t="str">
        <f>LEFT(Table17[[#This Row],[ns1:time2]],10)</f>
        <v>2022-09-16</v>
      </c>
    </row>
    <row r="438" spans="1:14" x14ac:dyDescent="0.35">
      <c r="A438">
        <f t="shared" si="14"/>
        <v>437</v>
      </c>
      <c r="B438">
        <f t="shared" si="13"/>
        <v>118</v>
      </c>
      <c r="C438" s="1" t="s">
        <v>11</v>
      </c>
      <c r="D438">
        <v>1.1000000000000001</v>
      </c>
      <c r="E438" s="2" t="s">
        <v>12</v>
      </c>
      <c r="F438" s="1" t="s">
        <v>13</v>
      </c>
      <c r="G438" s="3" t="s">
        <v>479</v>
      </c>
      <c r="H438">
        <v>33.987533999999997</v>
      </c>
      <c r="I438">
        <v>71.458991999999995</v>
      </c>
      <c r="J438">
        <v>386.60849000000002</v>
      </c>
      <c r="K438" s="3" t="s">
        <v>596</v>
      </c>
      <c r="L438">
        <v>364</v>
      </c>
      <c r="M438" s="1" t="s">
        <v>61</v>
      </c>
      <c r="N438" s="29" t="str">
        <f>LEFT(Table17[[#This Row],[ns1:time2]],10)</f>
        <v>2022-09-16</v>
      </c>
    </row>
    <row r="439" spans="1:14" x14ac:dyDescent="0.35">
      <c r="A439">
        <f t="shared" si="14"/>
        <v>438</v>
      </c>
      <c r="B439">
        <f t="shared" si="13"/>
        <v>119</v>
      </c>
      <c r="C439" s="1" t="s">
        <v>11</v>
      </c>
      <c r="D439">
        <v>1.1000000000000001</v>
      </c>
      <c r="E439" s="2" t="s">
        <v>12</v>
      </c>
      <c r="F439" s="1" t="s">
        <v>13</v>
      </c>
      <c r="G439" s="3" t="s">
        <v>479</v>
      </c>
      <c r="H439">
        <v>33.987043</v>
      </c>
      <c r="I439">
        <v>71.459422000000004</v>
      </c>
      <c r="J439">
        <v>380.04226699999998</v>
      </c>
      <c r="K439" s="3" t="s">
        <v>597</v>
      </c>
      <c r="L439">
        <v>365</v>
      </c>
      <c r="M439" s="1" t="s">
        <v>61</v>
      </c>
      <c r="N439" s="29" t="str">
        <f>LEFT(Table17[[#This Row],[ns1:time2]],10)</f>
        <v>2022-09-16</v>
      </c>
    </row>
    <row r="440" spans="1:14" x14ac:dyDescent="0.35">
      <c r="A440">
        <f t="shared" si="14"/>
        <v>439</v>
      </c>
      <c r="B440">
        <f t="shared" si="13"/>
        <v>120</v>
      </c>
      <c r="C440" s="1" t="s">
        <v>11</v>
      </c>
      <c r="D440">
        <v>1.1000000000000001</v>
      </c>
      <c r="E440" s="2" t="s">
        <v>12</v>
      </c>
      <c r="F440" s="1" t="s">
        <v>13</v>
      </c>
      <c r="G440" s="3" t="s">
        <v>479</v>
      </c>
      <c r="H440">
        <v>33.987414000000001</v>
      </c>
      <c r="I440">
        <v>71.459163000000004</v>
      </c>
      <c r="J440">
        <v>381.10925300000002</v>
      </c>
      <c r="K440" s="3" t="s">
        <v>598</v>
      </c>
      <c r="L440">
        <v>366</v>
      </c>
      <c r="M440" s="1" t="s">
        <v>61</v>
      </c>
      <c r="N440" s="29" t="str">
        <f>LEFT(Table17[[#This Row],[ns1:time2]],10)</f>
        <v>2022-09-16</v>
      </c>
    </row>
    <row r="441" spans="1:14" x14ac:dyDescent="0.35">
      <c r="A441">
        <f t="shared" si="14"/>
        <v>440</v>
      </c>
      <c r="B441">
        <f t="shared" si="13"/>
        <v>121</v>
      </c>
      <c r="C441" s="1" t="s">
        <v>11</v>
      </c>
      <c r="D441">
        <v>1.1000000000000001</v>
      </c>
      <c r="E441" s="2" t="s">
        <v>12</v>
      </c>
      <c r="F441" s="1" t="s">
        <v>13</v>
      </c>
      <c r="G441" s="3" t="s">
        <v>479</v>
      </c>
      <c r="H441">
        <v>33.987617</v>
      </c>
      <c r="I441">
        <v>71.459210999999996</v>
      </c>
      <c r="J441">
        <v>382.48263500000002</v>
      </c>
      <c r="K441" s="3" t="s">
        <v>599</v>
      </c>
      <c r="L441">
        <v>367</v>
      </c>
      <c r="M441" s="1" t="s">
        <v>61</v>
      </c>
      <c r="N441" s="29" t="str">
        <f>LEFT(Table17[[#This Row],[ns1:time2]],10)</f>
        <v>2022-09-16</v>
      </c>
    </row>
    <row r="442" spans="1:14" x14ac:dyDescent="0.35">
      <c r="A442">
        <f t="shared" si="14"/>
        <v>441</v>
      </c>
      <c r="B442">
        <f t="shared" si="13"/>
        <v>122</v>
      </c>
      <c r="C442" s="1" t="s">
        <v>11</v>
      </c>
      <c r="D442">
        <v>1.1000000000000001</v>
      </c>
      <c r="E442" s="2" t="s">
        <v>12</v>
      </c>
      <c r="F442" s="1" t="s">
        <v>13</v>
      </c>
      <c r="G442" s="3" t="s">
        <v>479</v>
      </c>
      <c r="H442">
        <v>33.987853999999999</v>
      </c>
      <c r="I442">
        <v>71.459281000000004</v>
      </c>
      <c r="J442">
        <v>382.069031</v>
      </c>
      <c r="K442" s="3" t="s">
        <v>600</v>
      </c>
      <c r="L442">
        <v>368</v>
      </c>
      <c r="M442" s="1" t="s">
        <v>61</v>
      </c>
      <c r="N442" s="29" t="str">
        <f>LEFT(Table17[[#This Row],[ns1:time2]],10)</f>
        <v>2022-09-16</v>
      </c>
    </row>
    <row r="443" spans="1:14" x14ac:dyDescent="0.35">
      <c r="A443">
        <f t="shared" si="14"/>
        <v>442</v>
      </c>
      <c r="B443">
        <f t="shared" si="13"/>
        <v>123</v>
      </c>
      <c r="C443" s="1" t="s">
        <v>11</v>
      </c>
      <c r="D443">
        <v>1.1000000000000001</v>
      </c>
      <c r="E443" s="2" t="s">
        <v>12</v>
      </c>
      <c r="F443" s="1" t="s">
        <v>13</v>
      </c>
      <c r="G443" s="3" t="s">
        <v>479</v>
      </c>
      <c r="H443">
        <v>33.98807</v>
      </c>
      <c r="I443">
        <v>71.459380999999993</v>
      </c>
      <c r="J443">
        <v>382.83889799999997</v>
      </c>
      <c r="K443" s="3" t="s">
        <v>601</v>
      </c>
      <c r="L443">
        <v>369</v>
      </c>
      <c r="M443" s="1" t="s">
        <v>61</v>
      </c>
      <c r="N443" s="29" t="str">
        <f>LEFT(Table17[[#This Row],[ns1:time2]],10)</f>
        <v>2022-09-16</v>
      </c>
    </row>
    <row r="444" spans="1:14" x14ac:dyDescent="0.35">
      <c r="A444">
        <f t="shared" si="14"/>
        <v>443</v>
      </c>
      <c r="B444">
        <f t="shared" si="13"/>
        <v>124</v>
      </c>
      <c r="C444" s="1" t="s">
        <v>11</v>
      </c>
      <c r="D444">
        <v>1.1000000000000001</v>
      </c>
      <c r="E444" s="2" t="s">
        <v>12</v>
      </c>
      <c r="F444" s="1" t="s">
        <v>13</v>
      </c>
      <c r="G444" s="3" t="s">
        <v>479</v>
      </c>
      <c r="H444">
        <v>33.988245999999997</v>
      </c>
      <c r="I444">
        <v>71.459378000000001</v>
      </c>
      <c r="J444">
        <v>382.91769399999998</v>
      </c>
      <c r="K444" s="3" t="s">
        <v>602</v>
      </c>
      <c r="L444">
        <v>370</v>
      </c>
      <c r="M444" s="1" t="s">
        <v>61</v>
      </c>
      <c r="N444" s="29" t="str">
        <f>LEFT(Table17[[#This Row],[ns1:time2]],10)</f>
        <v>2022-09-16</v>
      </c>
    </row>
    <row r="445" spans="1:14" x14ac:dyDescent="0.35">
      <c r="A445">
        <f t="shared" si="14"/>
        <v>444</v>
      </c>
      <c r="B445">
        <f t="shared" si="13"/>
        <v>125</v>
      </c>
      <c r="C445" s="1" t="s">
        <v>11</v>
      </c>
      <c r="D445">
        <v>1.1000000000000001</v>
      </c>
      <c r="E445" s="2" t="s">
        <v>12</v>
      </c>
      <c r="F445" s="1" t="s">
        <v>13</v>
      </c>
      <c r="G445" s="3" t="s">
        <v>479</v>
      </c>
      <c r="H445">
        <v>33.988432000000003</v>
      </c>
      <c r="I445">
        <v>71.459438000000006</v>
      </c>
      <c r="J445">
        <v>382.76187099999999</v>
      </c>
      <c r="K445" s="3" t="s">
        <v>603</v>
      </c>
      <c r="L445">
        <v>371</v>
      </c>
      <c r="M445" s="1" t="s">
        <v>61</v>
      </c>
      <c r="N445" s="29" t="str">
        <f>LEFT(Table17[[#This Row],[ns1:time2]],10)</f>
        <v>2022-09-16</v>
      </c>
    </row>
    <row r="447" spans="1:14" x14ac:dyDescent="0.35">
      <c r="K447" s="27"/>
    </row>
    <row r="448" spans="1:14" x14ac:dyDescent="0.35">
      <c r="K448" s="26"/>
    </row>
    <row r="449" spans="11:11" x14ac:dyDescent="0.35">
      <c r="K449" t="str">
        <f>LEFT(K447,10)</f>
        <v/>
      </c>
    </row>
  </sheetData>
  <hyperlinks>
    <hyperlink ref="E2" r:id="rId1" xr:uid="{D7351F57-0FC8-42B2-9B17-1C09A57B5B5D}"/>
    <hyperlink ref="E3" r:id="rId2" xr:uid="{27E6CD90-2E94-4E8D-817B-4BB1FD19F2DC}"/>
    <hyperlink ref="E4" r:id="rId3" xr:uid="{56BF9D31-25E4-4DF7-83E3-9E52DD862890}"/>
    <hyperlink ref="E5" r:id="rId4" xr:uid="{D2AC6B63-DFDB-49B8-8484-EA25CDF04912}"/>
    <hyperlink ref="E6" r:id="rId5" xr:uid="{89BE8C14-E7FF-4C79-BB53-741052454FA0}"/>
    <hyperlink ref="E7" r:id="rId6" xr:uid="{6FFF207C-0581-4DD1-AFCF-8AE3A39C654A}"/>
    <hyperlink ref="E8" r:id="rId7" xr:uid="{A4285774-40B0-4C19-8513-645C38D39B77}"/>
    <hyperlink ref="E9" r:id="rId8" xr:uid="{354ADED7-6CFD-42CB-AB9A-C884233F2BA3}"/>
    <hyperlink ref="E10" r:id="rId9" xr:uid="{071C164C-FA29-4E9B-8D11-F0231D8FB7D0}"/>
    <hyperlink ref="E11" r:id="rId10" xr:uid="{8A8C048C-CEA1-4DAB-A0EE-7AAAAD01043E}"/>
    <hyperlink ref="E12" r:id="rId11" xr:uid="{4986E2CE-0009-450A-9C3F-47CBCAF43A47}"/>
    <hyperlink ref="E13" r:id="rId12" xr:uid="{70FFA53C-E8CA-44CC-BBC3-0181E08E9023}"/>
    <hyperlink ref="E14" r:id="rId13" xr:uid="{46AFF304-FFCE-4FD4-8A71-C72BE65B7CEB}"/>
    <hyperlink ref="E15" r:id="rId14" xr:uid="{130BD439-40F9-4C57-BE35-818FD7B08B84}"/>
    <hyperlink ref="E16" r:id="rId15" xr:uid="{406EA47F-2CF4-4DE5-9DFB-EA17B2C01724}"/>
    <hyperlink ref="E17" r:id="rId16" xr:uid="{248446F6-02AE-4BB3-B542-87DC2E2105AE}"/>
    <hyperlink ref="E18" r:id="rId17" xr:uid="{524C6A50-097A-4382-8213-5DFFA57F6C84}"/>
    <hyperlink ref="E19" r:id="rId18" xr:uid="{91DCD8E0-6198-4077-AF6E-2130DBF57491}"/>
    <hyperlink ref="E20" r:id="rId19" xr:uid="{F74E1DA7-4D1B-423F-B898-B7F43FE309D1}"/>
    <hyperlink ref="E21" r:id="rId20" xr:uid="{80C382D1-FEE6-4C1A-8C58-414424CAE0EE}"/>
    <hyperlink ref="E22" r:id="rId21" xr:uid="{20F36DC8-746C-410E-BDD9-DCD216167597}"/>
    <hyperlink ref="E23" r:id="rId22" xr:uid="{A2A2754D-0EE5-4B0D-8D33-101F7AF6F83F}"/>
    <hyperlink ref="E24" r:id="rId23" xr:uid="{D922FD94-17C8-435E-9CF8-0D8850449214}"/>
    <hyperlink ref="E25" r:id="rId24" xr:uid="{814F95B7-391B-438D-8601-4A2702671B8E}"/>
    <hyperlink ref="E26" r:id="rId25" xr:uid="{F70FCEF9-C0CC-413A-92D4-27589BE6113D}"/>
    <hyperlink ref="E27" r:id="rId26" xr:uid="{B005B6C9-E18D-495D-A38E-8E7ADFCE3C26}"/>
    <hyperlink ref="E28" r:id="rId27" xr:uid="{8739B036-2143-4E6A-B557-C0ED4CA0F997}"/>
    <hyperlink ref="E29" r:id="rId28" xr:uid="{1FF669FD-4F3D-42F8-96D3-74C872156619}"/>
    <hyperlink ref="E30" r:id="rId29" xr:uid="{621D6556-8415-4CF1-86A6-BAAE24BCAFD7}"/>
    <hyperlink ref="E31" r:id="rId30" xr:uid="{3317A8C3-6696-4DE1-B860-4693A4399CAC}"/>
    <hyperlink ref="E32" r:id="rId31" xr:uid="{6165D51E-888B-4DCA-A3F6-EE715CCD453A}"/>
    <hyperlink ref="E33" r:id="rId32" xr:uid="{427A98CB-3273-4760-A039-E68F582EB771}"/>
    <hyperlink ref="E34" r:id="rId33" xr:uid="{A89EAC17-9AD8-44B5-9BE5-CD9306E196C2}"/>
    <hyperlink ref="E35" r:id="rId34" xr:uid="{400480DC-72F0-41C6-A98B-73DFD93A8AE7}"/>
    <hyperlink ref="E36" r:id="rId35" xr:uid="{7E383865-AA5A-4DD7-9E2D-C0ADDEEF89CE}"/>
    <hyperlink ref="E37" r:id="rId36" xr:uid="{0BB59046-5E8D-4C4C-BA1A-A30144709C5C}"/>
    <hyperlink ref="E38" r:id="rId37" xr:uid="{B20D3C2E-F821-44D5-A479-0F02C6FC89C3}"/>
    <hyperlink ref="E39" r:id="rId38" xr:uid="{F6726761-8B03-4856-89AE-AD1185E1BAC2}"/>
    <hyperlink ref="E40" r:id="rId39" xr:uid="{389DCE54-E476-42F8-B654-35C21EA635AF}"/>
    <hyperlink ref="E41" r:id="rId40" xr:uid="{93EB4026-706F-401A-BCA3-BBD4485C0979}"/>
    <hyperlink ref="E42" r:id="rId41" xr:uid="{FE6BD952-DFA6-4C4E-A700-6EEDDBF2492E}"/>
    <hyperlink ref="E43" r:id="rId42" xr:uid="{D48613E0-26A0-4BFA-9A13-AFCAF10E9C87}"/>
    <hyperlink ref="E44" r:id="rId43" xr:uid="{F433E3F6-0C29-4358-8713-CC684400B86C}"/>
    <hyperlink ref="E45" r:id="rId44" xr:uid="{B396E406-C924-46E8-9AD4-596A78276A7E}"/>
    <hyperlink ref="E46" r:id="rId45" xr:uid="{F64F92B6-B164-45BB-A9ED-F9526BA11F84}"/>
    <hyperlink ref="E47" r:id="rId46" xr:uid="{720D0872-8082-4A92-B2AF-6D3ABC95FA0D}"/>
    <hyperlink ref="E48" r:id="rId47" xr:uid="{E138C567-7AA3-4FFB-8BAA-BBDF49B50239}"/>
    <hyperlink ref="E49" r:id="rId48" xr:uid="{DB51DE72-BEC9-412C-BB60-5F1ED0680FB7}"/>
    <hyperlink ref="E50" r:id="rId49" xr:uid="{27C342C9-6C9F-448C-94CE-036B702D635D}"/>
    <hyperlink ref="E51" r:id="rId50" xr:uid="{ACAD0B14-D068-43F3-9825-169D5D4CB584}"/>
    <hyperlink ref="E52" r:id="rId51" xr:uid="{65E75C0E-6980-4770-894C-5EFC27C7D615}"/>
    <hyperlink ref="E53" r:id="rId52" xr:uid="{0249A641-7A86-4252-867B-2875E1FE591A}"/>
    <hyperlink ref="E54" r:id="rId53" xr:uid="{94B50443-00AC-4750-B67C-041EAF47EB6F}"/>
    <hyperlink ref="E55" r:id="rId54" xr:uid="{26C2C787-F1D0-42A3-A967-2E9FA70A8082}"/>
    <hyperlink ref="E56" r:id="rId55" xr:uid="{2C772857-1B5B-46D6-8EEC-F509C87F0FFC}"/>
    <hyperlink ref="E57" r:id="rId56" xr:uid="{ABAEF079-376A-4C6B-9E39-C21CA00F2EE1}"/>
    <hyperlink ref="E58" r:id="rId57" xr:uid="{9B195CD4-DD74-4921-A71D-941A41C9165E}"/>
    <hyperlink ref="E59" r:id="rId58" xr:uid="{A54AED6D-B482-4839-A322-A25850D07C5D}"/>
    <hyperlink ref="E60" r:id="rId59" xr:uid="{98619B88-032E-4BBF-A783-D59C2D05245D}"/>
    <hyperlink ref="E61" r:id="rId60" xr:uid="{8858F26B-291C-4495-85AD-1951263B6397}"/>
    <hyperlink ref="E62" r:id="rId61" xr:uid="{925E5EAE-1823-46C9-A90A-1A92873CC142}"/>
    <hyperlink ref="E63" r:id="rId62" xr:uid="{30E3B9B5-F6CB-46E6-9BBA-76D78F01AFA6}"/>
    <hyperlink ref="E64" r:id="rId63" xr:uid="{0381E952-181A-4636-8041-98B78FDD220A}"/>
    <hyperlink ref="E65" r:id="rId64" xr:uid="{56C7D73B-0450-427E-917A-93A1AF4FFEF2}"/>
    <hyperlink ref="E66" r:id="rId65" xr:uid="{285C0126-4F8F-42CA-A621-2C7D0C740A1B}"/>
    <hyperlink ref="E67" r:id="rId66" xr:uid="{2BB34097-59B8-4DD1-86E1-FA09795B0282}"/>
    <hyperlink ref="E68" r:id="rId67" xr:uid="{B6DED75F-15F0-4AEC-8DF2-0951B2CB89AC}"/>
    <hyperlink ref="E69" r:id="rId68" xr:uid="{4596EA20-E845-4F46-B72D-1BBBF16BFDC7}"/>
    <hyperlink ref="E70" r:id="rId69" xr:uid="{0B85EE4E-5832-4833-8E9F-F68E3AC8B3F4}"/>
    <hyperlink ref="E71" r:id="rId70" xr:uid="{AEAC56C5-F3A6-4C45-8220-1C05CF8BCAF9}"/>
    <hyperlink ref="E72" r:id="rId71" xr:uid="{71FB67CD-079E-478E-8E15-3CCF614F86E3}"/>
    <hyperlink ref="E73" r:id="rId72" xr:uid="{30A24D52-662D-4DDE-93B7-9A6B50D9F84B}"/>
    <hyperlink ref="E74" r:id="rId73" xr:uid="{44168ABD-C595-43C1-830B-BCAD35EFEFF3}"/>
    <hyperlink ref="E75" r:id="rId74" xr:uid="{95545163-8F46-41B6-A6CD-22FB9FD382DC}"/>
    <hyperlink ref="E76" r:id="rId75" xr:uid="{D1732094-4B03-48B7-BFB0-D94EC7166272}"/>
    <hyperlink ref="E77" r:id="rId76" xr:uid="{A923F8E6-07CD-4E1E-809E-F68FCCD44E9F}"/>
    <hyperlink ref="E78" r:id="rId77" xr:uid="{7C93C5C0-40EE-4EE3-A5CC-FE6BC493D8CB}"/>
    <hyperlink ref="E79" r:id="rId78" xr:uid="{3A14E08D-CC49-46D6-BB6D-6E05B2B8B64B}"/>
    <hyperlink ref="E80" r:id="rId79" xr:uid="{C1C7A4C5-EDE3-4EFB-ADBC-C16C3E7E1AD4}"/>
    <hyperlink ref="E81" r:id="rId80" xr:uid="{86007592-C30F-4371-9A4A-80A1E46FB638}"/>
    <hyperlink ref="E82" r:id="rId81" xr:uid="{E033F0D3-9698-4FB7-AB12-731786943343}"/>
    <hyperlink ref="E83" r:id="rId82" xr:uid="{3F612040-A9A4-4487-9FF0-AD05AA5E3E56}"/>
    <hyperlink ref="E84" r:id="rId83" xr:uid="{6CC02D1E-9943-4E47-AD66-31DE04AC1945}"/>
    <hyperlink ref="E85" r:id="rId84" xr:uid="{FD3BC793-24FC-4DF8-9852-DEF1966F388C}"/>
    <hyperlink ref="E86" r:id="rId85" xr:uid="{BD71E32D-54D9-4FD0-9F31-F550138F27CF}"/>
    <hyperlink ref="E87" r:id="rId86" xr:uid="{B417EDB7-5CEB-4AE9-9FE7-8F0F2D62D4B9}"/>
    <hyperlink ref="E88" r:id="rId87" xr:uid="{203B6CC8-35BF-4878-B7AD-154B0F741B63}"/>
    <hyperlink ref="E89" r:id="rId88" xr:uid="{1EF0F2AA-626F-4925-B37D-602CBC3F4EEC}"/>
    <hyperlink ref="E90" r:id="rId89" xr:uid="{1C9873C4-6703-4C53-A9CF-3A1DFCAC685C}"/>
    <hyperlink ref="E91" r:id="rId90" xr:uid="{83528AA1-8A57-4EEF-B385-C47F361A2479}"/>
    <hyperlink ref="E92" r:id="rId91" xr:uid="{5EA2BFF6-1008-4C38-BC46-62E51681DA03}"/>
    <hyperlink ref="E93" r:id="rId92" xr:uid="{9071EE00-C550-44FB-94DD-EDC9236AD913}"/>
    <hyperlink ref="E94" r:id="rId93" xr:uid="{EC8CAF43-2F76-4CC3-8351-36198C38D54A}"/>
    <hyperlink ref="E95" r:id="rId94" xr:uid="{40E696A8-4086-4B1D-A2EB-F3302D63CE0C}"/>
    <hyperlink ref="E96" r:id="rId95" xr:uid="{5458BB3E-1AB9-420C-BC2D-247113FEDE56}"/>
    <hyperlink ref="E97" r:id="rId96" xr:uid="{E8F05FB5-9028-493D-BFC3-3E050AAA446D}"/>
    <hyperlink ref="E98" r:id="rId97" xr:uid="{3C355937-9C60-44C9-823B-81A6C0FCD7BD}"/>
    <hyperlink ref="E99" r:id="rId98" xr:uid="{377C4435-0684-4674-AEA1-E6981A0E8E2A}"/>
    <hyperlink ref="E100" r:id="rId99" xr:uid="{558ECFA5-4570-4998-93EA-F12F12AB5508}"/>
    <hyperlink ref="E101" r:id="rId100" xr:uid="{A6524613-B982-49A5-B864-25FB69BDC7CB}"/>
    <hyperlink ref="E102" r:id="rId101" xr:uid="{24138BAE-EFA9-431A-BE05-CD2990E3C2E9}"/>
    <hyperlink ref="E103" r:id="rId102" xr:uid="{01140AB2-E5DF-44C4-8061-FDEF651ACB8F}"/>
    <hyperlink ref="E104" r:id="rId103" xr:uid="{A0E550A6-4201-482C-891F-2C46B8D89B9E}"/>
    <hyperlink ref="E105" r:id="rId104" xr:uid="{B210A68B-94BC-43AC-B706-8403EC5CD458}"/>
    <hyperlink ref="E106" r:id="rId105" xr:uid="{5B8C9F73-9E46-410E-878E-DB4731467DD7}"/>
    <hyperlink ref="E107" r:id="rId106" xr:uid="{D5BEFA42-C32A-4622-87F5-3BB08BEFA08E}"/>
    <hyperlink ref="E108" r:id="rId107" xr:uid="{93855DD6-FEB4-4A42-BA85-CE6C7964FCB7}"/>
    <hyperlink ref="E109" r:id="rId108" xr:uid="{BCFEBE7A-BA68-4D6F-8164-39EB6760EF80}"/>
    <hyperlink ref="E110" r:id="rId109" xr:uid="{16BC421A-8C20-49D1-BAD2-539CD4A06415}"/>
    <hyperlink ref="E111" r:id="rId110" xr:uid="{3D97B10F-6B9E-4FC5-9F8D-8569E78B8324}"/>
    <hyperlink ref="E112" r:id="rId111" xr:uid="{395080A1-5496-48C6-8895-EF867F46216E}"/>
    <hyperlink ref="E113" r:id="rId112" xr:uid="{D1CA4121-9BAB-458F-B841-B11363AD5558}"/>
    <hyperlink ref="E114" r:id="rId113" xr:uid="{2D448539-DDA6-4C34-A092-2B2BBBBBE8DD}"/>
    <hyperlink ref="E115" r:id="rId114" xr:uid="{B4222734-756F-47A9-8597-2BA714AF3169}"/>
    <hyperlink ref="E116" r:id="rId115" xr:uid="{A683EF15-21B2-4949-8EA5-941E7F520FDE}"/>
    <hyperlink ref="E117" r:id="rId116" xr:uid="{9039EDC3-EA76-4D67-AF2D-273972672163}"/>
    <hyperlink ref="E118" r:id="rId117" xr:uid="{82342931-5BFD-4951-BC95-611DDA5F55AE}"/>
    <hyperlink ref="E119" r:id="rId118" xr:uid="{3B7D2FA1-E515-46D6-A0D3-CE9B3A0CD32A}"/>
    <hyperlink ref="E120" r:id="rId119" xr:uid="{71E82343-5E52-4AD9-B100-2A06046A8E65}"/>
    <hyperlink ref="E121" r:id="rId120" xr:uid="{E63AD54B-1477-4B75-963C-9519DA922C5E}"/>
    <hyperlink ref="E122" r:id="rId121" xr:uid="{AB15441B-04F4-4203-B338-8BB58222831C}"/>
    <hyperlink ref="E123" r:id="rId122" xr:uid="{1857A564-D886-4FFD-829B-63BEFF44F2C9}"/>
    <hyperlink ref="E124" r:id="rId123" xr:uid="{348CA333-56C8-4B96-AA1A-A4D95CA5C4F7}"/>
    <hyperlink ref="E125" r:id="rId124" xr:uid="{19DA2DEF-5D6A-4171-B722-ADD8FA95EED1}"/>
    <hyperlink ref="E126" r:id="rId125" xr:uid="{6CD6153A-FFDF-4E87-812A-CFFC12E94769}"/>
    <hyperlink ref="E127" r:id="rId126" xr:uid="{30552D7D-1233-45DC-BD60-AD44A0922FA9}"/>
    <hyperlink ref="E128" r:id="rId127" xr:uid="{206B8A5E-C0DE-44E4-BD22-6E5B03745ECE}"/>
    <hyperlink ref="E129" r:id="rId128" xr:uid="{575102D8-D789-40C9-9F22-12896185BFAD}"/>
    <hyperlink ref="E130" r:id="rId129" xr:uid="{F1F4462E-62F5-4990-98D8-B9A99684CF28}"/>
    <hyperlink ref="E131" r:id="rId130" xr:uid="{C76B775A-1D94-4EB9-9DB1-4A480D8A383B}"/>
    <hyperlink ref="E132" r:id="rId131" xr:uid="{D6117B75-A47C-4DA1-B745-1FA603FA5BCB}"/>
    <hyperlink ref="E133" r:id="rId132" xr:uid="{00B98248-4F17-4776-B30E-980C81DBA13C}"/>
    <hyperlink ref="E134" r:id="rId133" xr:uid="{48476B6E-E748-4A20-91E0-8BE2AA38153A}"/>
    <hyperlink ref="E135" r:id="rId134" xr:uid="{59A57DF7-6584-44CD-B479-57C2967CB8F8}"/>
    <hyperlink ref="E136" r:id="rId135" xr:uid="{FBE3CF28-B9E6-4BBD-854B-213F1ADDE899}"/>
    <hyperlink ref="E137" r:id="rId136" xr:uid="{18CD17CB-89A2-4B6C-98D5-2C583AFBD24E}"/>
    <hyperlink ref="E138" r:id="rId137" xr:uid="{9BCECBA9-7F26-4C09-BB1C-E33368E5E918}"/>
    <hyperlink ref="E139" r:id="rId138" xr:uid="{0D264866-8EDE-4CC7-B961-35349178EF39}"/>
    <hyperlink ref="E140" r:id="rId139" xr:uid="{ECA0A119-59BC-4632-A112-D1B7D854E665}"/>
    <hyperlink ref="E141" r:id="rId140" xr:uid="{16B2D8F9-B3C1-44B0-9424-90FF21B9AEB1}"/>
    <hyperlink ref="E142" r:id="rId141" xr:uid="{9E5B788F-4E1D-46D7-A93D-2625E27957B4}"/>
    <hyperlink ref="E143" r:id="rId142" xr:uid="{4456207C-7FF1-4B9F-AABC-8512FC349954}"/>
    <hyperlink ref="E144" r:id="rId143" xr:uid="{56BFDE33-22D2-4976-9DED-231A7137B061}"/>
    <hyperlink ref="E145" r:id="rId144" xr:uid="{0A5969B8-6522-4B9A-87B0-03CD6637E877}"/>
    <hyperlink ref="E146" r:id="rId145" xr:uid="{37F966D5-F583-4609-8C01-C807A5B54640}"/>
    <hyperlink ref="E147" r:id="rId146" xr:uid="{95F224CF-B395-4413-B6A0-D91312AC3B7A}"/>
    <hyperlink ref="E148" r:id="rId147" xr:uid="{18E544F1-D53C-4C8C-9567-074590D8FA16}"/>
    <hyperlink ref="E149" r:id="rId148" xr:uid="{488244FF-ED56-440C-BE8E-31A3BAA09B93}"/>
    <hyperlink ref="E150" r:id="rId149" xr:uid="{7682D351-B0DF-433A-ACC9-C3DC1F327B5C}"/>
    <hyperlink ref="E151" r:id="rId150" xr:uid="{83415101-77CF-459D-8D6B-188D34FBFF21}"/>
    <hyperlink ref="E152" r:id="rId151" xr:uid="{555EE9DF-51B1-469B-AB34-D1626CB41DA5}"/>
    <hyperlink ref="E153" r:id="rId152" xr:uid="{3E9C33AE-093F-4ED1-81CC-C1A36B5C6284}"/>
    <hyperlink ref="E154" r:id="rId153" xr:uid="{AB96639E-2A73-4C91-84C2-7C49FE3181C2}"/>
    <hyperlink ref="E155" r:id="rId154" xr:uid="{1E1D4E86-66B2-48BB-BA45-9770B74D3C4E}"/>
    <hyperlink ref="E156" r:id="rId155" xr:uid="{FC846844-4B28-4328-B7B9-EE90AB53D559}"/>
    <hyperlink ref="E157" r:id="rId156" xr:uid="{F0CC8F71-328A-48D3-9326-5ECD7DEBE3FF}"/>
    <hyperlink ref="E158" r:id="rId157" xr:uid="{2411B70E-8EF2-4049-869F-189966ECBEAC}"/>
    <hyperlink ref="E159" r:id="rId158" xr:uid="{7A1EC232-6425-4E34-81C5-098014CDB777}"/>
    <hyperlink ref="E160" r:id="rId159" xr:uid="{5746BF18-69F8-45BB-BE1E-F9FE184CF609}"/>
    <hyperlink ref="E161" r:id="rId160" xr:uid="{9807110F-6358-433A-A736-AB6AE8830830}"/>
    <hyperlink ref="E162" r:id="rId161" xr:uid="{700ADAD3-F788-4E1F-B09C-4A7EB01ACB6D}"/>
    <hyperlink ref="E163" r:id="rId162" xr:uid="{B5E26CF3-62EC-4776-A655-D4E0B03523EE}"/>
    <hyperlink ref="E164" r:id="rId163" xr:uid="{2C6A64FC-6AA4-4F68-860F-7972EFAB3D1A}"/>
    <hyperlink ref="E165" r:id="rId164" xr:uid="{86C9BBD3-2313-401F-9E86-07E6FDF62391}"/>
    <hyperlink ref="E166" r:id="rId165" xr:uid="{405C119E-2BED-442C-82D7-5662FD6E227D}"/>
    <hyperlink ref="E167" r:id="rId166" xr:uid="{34991B7B-CFDB-46EE-A4E3-F4847474D992}"/>
    <hyperlink ref="E168" r:id="rId167" xr:uid="{59B08D13-2452-4E9F-B595-89B2CA1E8E75}"/>
    <hyperlink ref="E169" r:id="rId168" xr:uid="{2D1FA437-F0C0-441D-A812-F31CBA04D244}"/>
    <hyperlink ref="E170" r:id="rId169" xr:uid="{A259F40F-68A9-48B7-93C7-D98F429F8CED}"/>
    <hyperlink ref="E171" r:id="rId170" xr:uid="{A7A0CD12-1919-4D0F-AD96-D3F7B34CDB49}"/>
    <hyperlink ref="E172" r:id="rId171" xr:uid="{6348B746-6A58-4B49-91FC-F81D9DD72DA9}"/>
    <hyperlink ref="E173" r:id="rId172" xr:uid="{FBD7603E-07D5-40E3-826F-C0C2613DF249}"/>
    <hyperlink ref="E174" r:id="rId173" xr:uid="{EDCAB704-9AA7-4299-8B70-8F405D9DE682}"/>
    <hyperlink ref="E175" r:id="rId174" xr:uid="{73766190-D47B-4175-93B5-6B699557A179}"/>
    <hyperlink ref="E176" r:id="rId175" xr:uid="{175A7248-5781-4F5A-BEC5-3E42FBB8EFFD}"/>
    <hyperlink ref="E177" r:id="rId176" xr:uid="{CCB2EFC6-648B-4EFE-8A5E-988377D038A0}"/>
    <hyperlink ref="E178" r:id="rId177" xr:uid="{EA277175-6477-496E-ADD0-D9AD0350F510}"/>
    <hyperlink ref="E179" r:id="rId178" xr:uid="{BD858848-9872-44B8-8DF6-52F0834E71A1}"/>
    <hyperlink ref="E180" r:id="rId179" xr:uid="{7AF59A80-7BDE-4418-B9A9-3944F5F15FFF}"/>
    <hyperlink ref="E181" r:id="rId180" xr:uid="{45375CA0-2AB1-46D5-A0C7-33C7E264DA5A}"/>
    <hyperlink ref="E182" r:id="rId181" xr:uid="{B3E7DE7D-7067-4A7C-94D9-B0A89C17F217}"/>
    <hyperlink ref="E183" r:id="rId182" xr:uid="{EF920705-7671-475D-8FD3-D00BCAE9F054}"/>
    <hyperlink ref="E184" r:id="rId183" xr:uid="{E103E22E-2401-4941-9F2B-BB29E9B41A89}"/>
    <hyperlink ref="E185" r:id="rId184" xr:uid="{1150C6D7-35FB-452B-8BD5-7370F8E59372}"/>
    <hyperlink ref="E186" r:id="rId185" xr:uid="{CEAB5896-48EE-48A9-9E90-FA6A452AD5E0}"/>
    <hyperlink ref="E187" r:id="rId186" xr:uid="{57726599-8C1D-492E-88CE-1E0D76984EAE}"/>
    <hyperlink ref="E188" r:id="rId187" xr:uid="{478DBA15-795D-40F8-8145-3347827F497E}"/>
    <hyperlink ref="E189" r:id="rId188" xr:uid="{1E7702DC-0BE9-44EC-9810-72A86B5F43A1}"/>
    <hyperlink ref="E190" r:id="rId189" xr:uid="{0B92CC59-9824-4915-802E-BAC8C1098ABA}"/>
    <hyperlink ref="E191" r:id="rId190" xr:uid="{1E8B7852-91D1-4480-BBA2-A32C10E791D9}"/>
    <hyperlink ref="E192" r:id="rId191" xr:uid="{D401C7E8-A116-42AA-B549-0513E5B22A29}"/>
    <hyperlink ref="E193" r:id="rId192" xr:uid="{1C9DD2B4-EE06-4E0A-869A-F58E28CF2352}"/>
    <hyperlink ref="E194" r:id="rId193" xr:uid="{F8A11FA0-3532-429E-88A1-4D6983E45AAC}"/>
    <hyperlink ref="E195" r:id="rId194" xr:uid="{4625C2D4-1E18-4D69-A9CA-43835C005B79}"/>
    <hyperlink ref="E196" r:id="rId195" xr:uid="{776C4372-107E-495B-B840-AC68B9F19B3D}"/>
    <hyperlink ref="E197" r:id="rId196" xr:uid="{7F86F136-E988-431A-BD8D-6A64ECE6A9DF}"/>
    <hyperlink ref="E198" r:id="rId197" xr:uid="{7CD20C97-195F-4F00-B7A8-AAB4185A26AD}"/>
    <hyperlink ref="E199" r:id="rId198" xr:uid="{E9E7D5F7-19F1-4442-A7AD-4D2EDED0B30E}"/>
    <hyperlink ref="E200" r:id="rId199" xr:uid="{9F54FB54-E554-4C5B-808A-C0231617A3C7}"/>
    <hyperlink ref="E201" r:id="rId200" xr:uid="{E65CD287-BF6E-45C8-A48A-77F94155D224}"/>
    <hyperlink ref="E202" r:id="rId201" xr:uid="{57ABE0FA-CCCB-4193-B769-0DA7C493D23B}"/>
    <hyperlink ref="E203" r:id="rId202" xr:uid="{947E31E6-3C98-4FEE-9FC4-17794AE15E76}"/>
    <hyperlink ref="E204" r:id="rId203" xr:uid="{FDC8C65C-2EFE-4F31-9625-371E5C99C95A}"/>
    <hyperlink ref="E205" r:id="rId204" xr:uid="{B23DA433-E35C-4A56-9A96-ED5EB4F03DBD}"/>
    <hyperlink ref="E206" r:id="rId205" xr:uid="{AA10E49B-E12F-42D1-BC57-A332961C4545}"/>
    <hyperlink ref="E207" r:id="rId206" xr:uid="{D5D1DCFB-0D91-4BBC-80ED-3383F52AA671}"/>
    <hyperlink ref="E208" r:id="rId207" xr:uid="{DA02A4E1-16B5-43D4-9017-4CECF451613F}"/>
    <hyperlink ref="E209" r:id="rId208" xr:uid="{724D228B-14BB-4A6F-8522-07B305BF9E5E}"/>
    <hyperlink ref="E210" r:id="rId209" xr:uid="{B042A90D-E397-4A51-AC99-1A3E23F4AAFF}"/>
    <hyperlink ref="E211" r:id="rId210" xr:uid="{98555949-A147-440E-9CA7-139C34AD9766}"/>
    <hyperlink ref="E212" r:id="rId211" xr:uid="{925097D7-1E49-4159-A464-F61E3F6B8CDF}"/>
    <hyperlink ref="E213" r:id="rId212" xr:uid="{5BDC1E91-C2B0-4812-A54F-E5D400ABC402}"/>
    <hyperlink ref="E214" r:id="rId213" xr:uid="{471B5489-B384-42EA-A1C3-AE8155F29F8B}"/>
    <hyperlink ref="E215" r:id="rId214" xr:uid="{A011A04B-DFA3-4999-B0A2-14FB457A5A2E}"/>
    <hyperlink ref="E216" r:id="rId215" xr:uid="{53D7A0A2-6E53-480A-89FA-E05A81E42A12}"/>
    <hyperlink ref="E217" r:id="rId216" xr:uid="{2F7BFEC6-9B66-429C-9B0F-AA94B0436725}"/>
    <hyperlink ref="E218" r:id="rId217" xr:uid="{D7AADC96-D8FD-41C2-BFB6-A149FBF95BE9}"/>
    <hyperlink ref="E219" r:id="rId218" xr:uid="{709EE6BB-201B-4771-9C5D-8FF5C73D5D6C}"/>
    <hyperlink ref="E220" r:id="rId219" xr:uid="{BBE5AB29-003F-44E2-A638-786CD5B903BC}"/>
    <hyperlink ref="E221" r:id="rId220" xr:uid="{A1EB662E-24DB-43E1-BE98-303DF3580397}"/>
    <hyperlink ref="E222" r:id="rId221" xr:uid="{73739B65-3C56-4079-AEDB-70ED8A1457B8}"/>
    <hyperlink ref="E223" r:id="rId222" xr:uid="{7F942BD4-E7D1-48BA-A42C-17F5453C4DCE}"/>
    <hyperlink ref="E224" r:id="rId223" xr:uid="{D556B7E6-127B-4731-9565-4B5F2D53FAFB}"/>
    <hyperlink ref="E225" r:id="rId224" xr:uid="{3A2CFCFE-E80C-4881-9B10-39431CABFEFE}"/>
    <hyperlink ref="E226" r:id="rId225" xr:uid="{EABE81A7-0B83-4981-8C2A-2C3509C4850C}"/>
    <hyperlink ref="E227" r:id="rId226" xr:uid="{24A5947A-AD76-4727-9971-C84746920534}"/>
    <hyperlink ref="E228" r:id="rId227" xr:uid="{794071C0-8052-4686-A970-AB0A52B50C10}"/>
    <hyperlink ref="E229" r:id="rId228" xr:uid="{918625BA-0A81-4A87-B580-1A66AB56BFF3}"/>
    <hyperlink ref="E230" r:id="rId229" xr:uid="{7DF048EF-5390-4EA0-96B0-53317F575439}"/>
    <hyperlink ref="E231" r:id="rId230" xr:uid="{FB9DA7BC-21BB-4E36-90A9-F6D881AFA91C}"/>
    <hyperlink ref="E232" r:id="rId231" xr:uid="{58AEB371-339C-4914-831E-203C7E74FF1D}"/>
    <hyperlink ref="E233" r:id="rId232" xr:uid="{E054A97C-82B2-4DC2-88A4-348566AFD404}"/>
    <hyperlink ref="E234" r:id="rId233" xr:uid="{ACDE6AB9-0A40-4965-8064-7C1AC0C5DF29}"/>
    <hyperlink ref="E235" r:id="rId234" xr:uid="{D0317CF7-2E56-4464-9329-66F35746E920}"/>
    <hyperlink ref="E236" r:id="rId235" xr:uid="{82AD8983-98CE-4BC1-8A56-0E1CA1B572E8}"/>
    <hyperlink ref="E237" r:id="rId236" xr:uid="{F986E374-E149-4820-841B-10399418E993}"/>
    <hyperlink ref="E238" r:id="rId237" xr:uid="{A42C1A2E-D6D5-4566-B1AA-DC51A0008CE0}"/>
    <hyperlink ref="E239" r:id="rId238" xr:uid="{71DE7D5E-260E-4E53-9374-758F941F87BB}"/>
    <hyperlink ref="E240" r:id="rId239" xr:uid="{2C6F1B42-2EF5-413D-A3BD-82A052394421}"/>
    <hyperlink ref="E241" r:id="rId240" xr:uid="{866E9C14-ABA5-4129-807C-458B020999BD}"/>
    <hyperlink ref="E242" r:id="rId241" xr:uid="{53878AEC-3911-4CD6-881B-2ADD1773C8C2}"/>
    <hyperlink ref="E243" r:id="rId242" xr:uid="{EA0DA972-5869-4A2C-81D0-A554A0A54E07}"/>
    <hyperlink ref="E244" r:id="rId243" xr:uid="{ECD8ED86-13D7-4545-BC7D-4FC1F5F3D6D9}"/>
    <hyperlink ref="E245" r:id="rId244" xr:uid="{E9A09874-DFCC-472C-A8D5-555A126E2C19}"/>
    <hyperlink ref="E246" r:id="rId245" xr:uid="{6E197FDB-B949-4CDA-9F0C-3F95527C82B1}"/>
    <hyperlink ref="E247" r:id="rId246" xr:uid="{138FF8A8-C6BE-46FE-91EC-0C12A4B1682E}"/>
    <hyperlink ref="E248" r:id="rId247" xr:uid="{3E717875-6FCC-488C-BBC8-72144C8B4845}"/>
    <hyperlink ref="E249" r:id="rId248" xr:uid="{89E0C02B-6C61-4F75-8549-1DB2948171B9}"/>
    <hyperlink ref="E250" r:id="rId249" xr:uid="{B074EB96-1F62-4F77-BA4E-B1CF19A27788}"/>
    <hyperlink ref="E251" r:id="rId250" xr:uid="{3611847F-4707-4E95-8DC6-F0055375C53D}"/>
    <hyperlink ref="E252" r:id="rId251" xr:uid="{A69471CB-F4E9-4622-BE67-D4CDC06417BA}"/>
    <hyperlink ref="E253" r:id="rId252" xr:uid="{7B83E5D4-E319-4572-9451-938C0D1F259E}"/>
    <hyperlink ref="E254" r:id="rId253" xr:uid="{BF96B89A-AFF6-457E-A62D-5D90392B35C9}"/>
    <hyperlink ref="E255" r:id="rId254" xr:uid="{A35F2560-C71E-4867-9863-A4152BAAD377}"/>
    <hyperlink ref="E256" r:id="rId255" xr:uid="{E959F12F-5078-47D2-AB19-6FDBE96BAE3F}"/>
    <hyperlink ref="E257" r:id="rId256" xr:uid="{12F79474-0E38-46E6-90A3-4BA9C7E560DF}"/>
    <hyperlink ref="E258" r:id="rId257" xr:uid="{33176C63-57BE-44B4-AF7F-645AD51B1B39}"/>
    <hyperlink ref="E259" r:id="rId258" xr:uid="{1A57F36B-9342-42FE-AE59-2DBFBAA7951C}"/>
    <hyperlink ref="E260" r:id="rId259" xr:uid="{B28F3C4A-E498-428A-BF46-54147B23E741}"/>
    <hyperlink ref="E261" r:id="rId260" xr:uid="{610DA3A5-268E-4032-8BF0-E95EA9EFC87F}"/>
    <hyperlink ref="E262" r:id="rId261" xr:uid="{3DC42884-72F2-4CA3-A15D-A8A56520A23E}"/>
    <hyperlink ref="E263" r:id="rId262" xr:uid="{DC92E133-8F6E-4027-B3F1-0A5CDDFA1934}"/>
    <hyperlink ref="E264" r:id="rId263" xr:uid="{3EC38F0D-4D16-4DC2-B78B-D699121CB144}"/>
    <hyperlink ref="E265" r:id="rId264" xr:uid="{384D6560-0B1B-45A8-83DE-BE4A80F4D608}"/>
    <hyperlink ref="E266" r:id="rId265" xr:uid="{6E41366E-A20E-4CCB-B455-F07F60BC8C92}"/>
    <hyperlink ref="E267" r:id="rId266" xr:uid="{FEFE7488-CB75-4EC2-B9F4-25BC280B5FC4}"/>
    <hyperlink ref="E268" r:id="rId267" xr:uid="{0E0A21D2-C7A6-4839-8DCB-8645E234F986}"/>
    <hyperlink ref="E269" r:id="rId268" xr:uid="{F48AB70F-2EA8-4EC1-8E52-0226144C14BE}"/>
    <hyperlink ref="E270" r:id="rId269" xr:uid="{21BE161C-D50B-49AA-9973-901EDDDA1057}"/>
    <hyperlink ref="E271" r:id="rId270" xr:uid="{DF63396D-1E94-4CC9-8A00-C8188169434D}"/>
    <hyperlink ref="E272" r:id="rId271" xr:uid="{463E200D-8BEC-4181-931F-91E6E006B51D}"/>
    <hyperlink ref="E273" r:id="rId272" xr:uid="{0E5A81BA-5533-4BE1-BE77-7AAB368CB69E}"/>
    <hyperlink ref="E274" r:id="rId273" xr:uid="{2623C7CD-5BD5-484A-BF6F-E11DB1230DFC}"/>
    <hyperlink ref="E275" r:id="rId274" xr:uid="{47579415-596F-4180-BBC3-23BF9B970FC2}"/>
    <hyperlink ref="E276" r:id="rId275" xr:uid="{3445D3BD-A2EC-4BEA-A74C-9F030A30A066}"/>
    <hyperlink ref="E277" r:id="rId276" xr:uid="{26135197-DAAF-4502-9B95-B2D1F3ED0936}"/>
    <hyperlink ref="E278" r:id="rId277" xr:uid="{928B241E-DD5C-4455-AAA2-E2E6F8B3D2E9}"/>
    <hyperlink ref="E279" r:id="rId278" xr:uid="{22115215-9B18-43C5-B5F3-3FC9992D36AE}"/>
    <hyperlink ref="E280" r:id="rId279" xr:uid="{259DD9BD-C570-467F-A57D-E3A317AC8A81}"/>
    <hyperlink ref="E281" r:id="rId280" xr:uid="{26DD5142-8DB6-4954-9FB0-6C1E9625F5BC}"/>
    <hyperlink ref="E282" r:id="rId281" xr:uid="{E8F48BFA-7501-402C-B28F-9842E5167990}"/>
    <hyperlink ref="E283" r:id="rId282" xr:uid="{7A5E6E00-CC39-4BF9-8389-EFF76CBD9193}"/>
    <hyperlink ref="E284" r:id="rId283" xr:uid="{7F79DD94-0076-4D70-8808-403055520BD5}"/>
    <hyperlink ref="E285" r:id="rId284" xr:uid="{4CA9B63E-DCB8-44BF-998B-4FC74F7DE51E}"/>
    <hyperlink ref="E286" r:id="rId285" xr:uid="{5F0C3E5A-CA01-4FA6-B508-96D63075EB73}"/>
    <hyperlink ref="E287" r:id="rId286" xr:uid="{9A357946-3C08-49B4-8BE2-46D3BBD17E4D}"/>
    <hyperlink ref="E288" r:id="rId287" xr:uid="{6716A81D-25CA-4766-ABE4-D1840B08E844}"/>
    <hyperlink ref="E289" r:id="rId288" xr:uid="{F968DB87-2F80-4B37-8EAC-04CAEAD1FA71}"/>
    <hyperlink ref="E290" r:id="rId289" xr:uid="{9D4265C4-41B8-4056-AE84-A183DA4A51C9}"/>
    <hyperlink ref="E291" r:id="rId290" xr:uid="{10D47A0D-C014-4E89-A173-F1488FC1F7B0}"/>
    <hyperlink ref="E292" r:id="rId291" xr:uid="{8B5F3DE3-05C3-4AE4-A1BF-CB1136DE0BC4}"/>
    <hyperlink ref="E293" r:id="rId292" xr:uid="{246BBB4D-18B7-495E-A7B8-82D595D0E1DB}"/>
    <hyperlink ref="E294" r:id="rId293" xr:uid="{4ADA8C77-FDB1-4B2F-81CD-1B474E42CC08}"/>
    <hyperlink ref="E295" r:id="rId294" xr:uid="{F6D22942-EB10-43EB-A736-6611EA056956}"/>
    <hyperlink ref="E296" r:id="rId295" xr:uid="{310CC8BB-1062-4587-943D-7512E76669B3}"/>
    <hyperlink ref="E297" r:id="rId296" xr:uid="{7FE44EE2-57C9-4871-8BF3-F2A16DA36FE6}"/>
    <hyperlink ref="E298" r:id="rId297" xr:uid="{CB25302B-96F4-4BC2-BE02-7FCE0D7A41C6}"/>
    <hyperlink ref="E299" r:id="rId298" xr:uid="{C8CEA838-1150-44FB-8629-69F8C5520D3D}"/>
    <hyperlink ref="E300" r:id="rId299" xr:uid="{7E7862AC-F2D7-4A3C-A5F0-D3BBA87BF670}"/>
    <hyperlink ref="E301" r:id="rId300" xr:uid="{D97CCF80-AC0B-4201-BCBD-DA5D9E4FC36A}"/>
    <hyperlink ref="E302" r:id="rId301" xr:uid="{8FC1D314-9F33-4EF5-98C2-0DB2B857E462}"/>
    <hyperlink ref="E303" r:id="rId302" xr:uid="{9942D1D3-23BC-4032-8ED9-74C1748C0A04}"/>
    <hyperlink ref="E304" r:id="rId303" xr:uid="{0FAC35AD-FA93-452C-8E1A-818E3D2421FB}"/>
    <hyperlink ref="E305" r:id="rId304" xr:uid="{2FE12DD4-431E-401F-A36A-6F5F843C8E5B}"/>
    <hyperlink ref="E306" r:id="rId305" xr:uid="{E5CFD8C7-C23B-415F-AD59-9CB0CB377461}"/>
    <hyperlink ref="E307" r:id="rId306" xr:uid="{E486C32A-54CD-45FE-AA03-ABF6CAD2348B}"/>
    <hyperlink ref="E308" r:id="rId307" xr:uid="{E69924CC-710F-40E4-BA88-FB9831B070C1}"/>
    <hyperlink ref="E309" r:id="rId308" xr:uid="{7B783198-37B6-4AA0-ACAF-37249CA1FE43}"/>
    <hyperlink ref="E310" r:id="rId309" xr:uid="{201AFE40-2EFD-48E1-AE8D-CDBC32E270F7}"/>
    <hyperlink ref="E311" r:id="rId310" xr:uid="{1DAA853E-233A-4CE8-905E-CD00B38462CF}"/>
    <hyperlink ref="E312" r:id="rId311" xr:uid="{4F12FF79-79BB-4B57-ACD0-DA3BBB474A8B}"/>
    <hyperlink ref="E313" r:id="rId312" xr:uid="{DCEDA057-BA20-4780-935C-9EC603B6934B}"/>
    <hyperlink ref="E314" r:id="rId313" xr:uid="{4200FDD2-5F74-46DA-BEEE-0810EDAE6F85}"/>
    <hyperlink ref="E315" r:id="rId314" xr:uid="{03B9A707-B7BC-4757-9DC7-B0D05AD2B440}"/>
    <hyperlink ref="E316" r:id="rId315" xr:uid="{9FC0D60F-7443-4C4F-A029-E24C2AF62427}"/>
    <hyperlink ref="E317" r:id="rId316" xr:uid="{F2932388-5028-4FE1-B412-BAC70D86F7B4}"/>
    <hyperlink ref="E318" r:id="rId317" xr:uid="{D15E7E3F-8F82-4609-8732-1ECD8D4D2A0A}"/>
    <hyperlink ref="E319" r:id="rId318" xr:uid="{48C6BBD3-9213-4514-8267-8B05AF382C30}"/>
    <hyperlink ref="E320" r:id="rId319" xr:uid="{CBEC2876-14B4-4F7C-9E5E-91A3F495822C}"/>
    <hyperlink ref="E321" r:id="rId320" xr:uid="{0410B912-2329-413E-B3B4-71CE197DACC7}"/>
    <hyperlink ref="E322" r:id="rId321" xr:uid="{B085C873-319F-4733-B98D-B06EE451E843}"/>
    <hyperlink ref="E323" r:id="rId322" xr:uid="{28A7E7EA-2A74-4A30-B2B5-BA8867AEE4D6}"/>
    <hyperlink ref="E324" r:id="rId323" xr:uid="{91C67DAB-1A0C-499C-9DA0-955F1ECEC4FF}"/>
    <hyperlink ref="E325" r:id="rId324" xr:uid="{ABA81380-7545-4DF2-B579-81483461E694}"/>
    <hyperlink ref="E326" r:id="rId325" xr:uid="{CA86F973-DAA0-4D8D-9926-0BB38AFCFEFC}"/>
    <hyperlink ref="E327" r:id="rId326" xr:uid="{2E1E4932-510E-4066-B18A-C7D88DCF5AED}"/>
    <hyperlink ref="E328" r:id="rId327" xr:uid="{D681259D-DAE1-40DC-B033-68EF5C0D37C9}"/>
    <hyperlink ref="E329" r:id="rId328" xr:uid="{492829C7-1383-4332-9BA7-2442E878DBC5}"/>
    <hyperlink ref="E330" r:id="rId329" xr:uid="{17C3C70C-4479-4E1D-AF0E-1864A319082F}"/>
    <hyperlink ref="E331" r:id="rId330" xr:uid="{15167BE6-35E6-4974-9893-A37B06FA95F7}"/>
    <hyperlink ref="E332" r:id="rId331" xr:uid="{E06C9D99-A714-4BBE-95C4-D396A7BEA040}"/>
    <hyperlink ref="E333" r:id="rId332" xr:uid="{C833E3ED-5AEF-4777-AEC7-CFD4F7284936}"/>
    <hyperlink ref="E334" r:id="rId333" xr:uid="{84BF1F85-BD26-484D-A488-A034CAAA2104}"/>
    <hyperlink ref="E335" r:id="rId334" xr:uid="{EE266A51-A509-456C-B5A3-10CBED965D0A}"/>
    <hyperlink ref="E336" r:id="rId335" xr:uid="{733933AA-088F-4161-BFD6-680E1251F415}"/>
    <hyperlink ref="E337" r:id="rId336" xr:uid="{4272A253-ADBD-4231-8CFD-56018FBEE395}"/>
    <hyperlink ref="E338" r:id="rId337" xr:uid="{0994EE2B-E365-4EE2-A838-4A56234BED9D}"/>
    <hyperlink ref="E339" r:id="rId338" xr:uid="{E684B0BE-AFE8-44F8-8A5C-411C5865C0FD}"/>
    <hyperlink ref="E340" r:id="rId339" xr:uid="{CC313E2B-092E-4063-B89B-CFAA921242EF}"/>
    <hyperlink ref="E341" r:id="rId340" xr:uid="{E2E4CD2D-1AC8-47BA-86F0-2591C1FB4995}"/>
    <hyperlink ref="E342" r:id="rId341" xr:uid="{33403DB7-B3FB-4EA9-BED1-E78B59F2980B}"/>
    <hyperlink ref="E343" r:id="rId342" xr:uid="{0B423A80-1787-4B9B-9EA7-162A09F89153}"/>
    <hyperlink ref="E344" r:id="rId343" xr:uid="{1537BCE3-E0B8-4328-BB1B-024AA90DDA41}"/>
    <hyperlink ref="E345" r:id="rId344" xr:uid="{2DBDF57D-CE20-4B78-862F-689EC61C73E4}"/>
    <hyperlink ref="E346" r:id="rId345" xr:uid="{6EA4B507-F8D8-41D9-91CC-34C9CF1DECAD}"/>
    <hyperlink ref="E347" r:id="rId346" xr:uid="{F0E4DC07-38B4-465F-B01F-014D449BBDC4}"/>
    <hyperlink ref="E348" r:id="rId347" xr:uid="{FA953C70-567B-40A6-B058-DB4B76FF9ADA}"/>
    <hyperlink ref="E349" r:id="rId348" xr:uid="{34503280-C92F-45FA-9263-66D095D76219}"/>
    <hyperlink ref="E350" r:id="rId349" xr:uid="{F1ABAAAC-568F-4AF8-A011-C905F57DE49D}"/>
    <hyperlink ref="E351" r:id="rId350" xr:uid="{CC646830-D49C-433A-AD4B-841DE2251CC8}"/>
    <hyperlink ref="E352" r:id="rId351" xr:uid="{14E5F83B-F911-4C2F-A6B1-BEFD5D298274}"/>
    <hyperlink ref="E353" r:id="rId352" xr:uid="{9A16E223-E1EC-4811-9F57-61E5550BFA8B}"/>
    <hyperlink ref="E354" r:id="rId353" xr:uid="{EDD73704-BDFA-406C-B594-7A520ACCBDC1}"/>
    <hyperlink ref="E355" r:id="rId354" xr:uid="{D6D02E39-519C-4867-AB0C-C3CD286C6CCB}"/>
    <hyperlink ref="E356" r:id="rId355" xr:uid="{0620B149-D3E8-46E5-A1C4-03A2655D3C2E}"/>
    <hyperlink ref="E357" r:id="rId356" xr:uid="{170D404B-7680-44F9-8208-636B843D76EF}"/>
    <hyperlink ref="E358" r:id="rId357" xr:uid="{4D92698D-F455-4944-A75B-D4A439ED3804}"/>
    <hyperlink ref="E359" r:id="rId358" xr:uid="{6FC38A15-BF71-4750-8995-0A90DE113B14}"/>
    <hyperlink ref="E360" r:id="rId359" xr:uid="{64B2060F-BABB-4D2F-A20E-8A124310BE0C}"/>
    <hyperlink ref="E361" r:id="rId360" xr:uid="{43030F7B-DA83-44DA-A447-AFFAEC262E06}"/>
    <hyperlink ref="E362" r:id="rId361" xr:uid="{629051E5-3C00-4AEB-82ED-CF8CB0334C44}"/>
    <hyperlink ref="E363" r:id="rId362" xr:uid="{8F119BD5-171B-492C-B463-D76EB668D79E}"/>
    <hyperlink ref="E364" r:id="rId363" xr:uid="{FB081EC4-C4A2-4D13-AA75-815A53ABF2D0}"/>
    <hyperlink ref="E365" r:id="rId364" xr:uid="{A8ABEF1A-399E-4A2B-A0E6-3465B63DCD22}"/>
    <hyperlink ref="E366" r:id="rId365" xr:uid="{C321CC6E-906A-4318-A457-FE9573844D77}"/>
    <hyperlink ref="E367" r:id="rId366" xr:uid="{8070DC10-0AD2-4E5D-AB07-24456B2F5ADD}"/>
    <hyperlink ref="E368" r:id="rId367" xr:uid="{C1DF98E4-AF27-459C-8B7A-875630E5DD90}"/>
    <hyperlink ref="E369" r:id="rId368" xr:uid="{E2D85F76-4628-4322-A36D-0F853BF7DAC5}"/>
    <hyperlink ref="E370" r:id="rId369" xr:uid="{810D0CA5-106B-4124-BC07-540B0311BFD5}"/>
    <hyperlink ref="E371" r:id="rId370" xr:uid="{57E0B7F7-A30A-451A-B165-55876F10E9DB}"/>
    <hyperlink ref="E372" r:id="rId371" xr:uid="{BC7C645E-8367-4BF9-ACF3-7F9E320D0BA1}"/>
    <hyperlink ref="E373" r:id="rId372" xr:uid="{67F81746-1FED-490E-BD99-47300FA9EF50}"/>
    <hyperlink ref="E374" r:id="rId373" xr:uid="{E7374ABD-CD9C-4C16-B957-BA8A116AC736}"/>
    <hyperlink ref="E375" r:id="rId374" xr:uid="{A4D82711-2345-4309-A2A1-BE36BE5C59CF}"/>
    <hyperlink ref="E376" r:id="rId375" xr:uid="{FDB315AE-CED1-49E8-AD92-9A93CEADD543}"/>
    <hyperlink ref="E377" r:id="rId376" xr:uid="{08158F87-F902-4FC6-AD75-6CEE2996BEA7}"/>
    <hyperlink ref="E378" r:id="rId377" xr:uid="{15391EFA-E099-416F-A254-98EC808ABCE3}"/>
    <hyperlink ref="E379" r:id="rId378" xr:uid="{D5123710-BE4D-4478-BADD-5E2FE5E05295}"/>
    <hyperlink ref="E380" r:id="rId379" xr:uid="{FC7ACE08-6606-4FD0-8E89-4F70B75C6D08}"/>
    <hyperlink ref="E381" r:id="rId380" xr:uid="{0A8C5A44-91E6-4E7A-A39D-BEB7A364AD09}"/>
    <hyperlink ref="E382" r:id="rId381" xr:uid="{4F0DDFB7-F551-4C3E-9B8E-D131937CEF62}"/>
    <hyperlink ref="E383" r:id="rId382" xr:uid="{73AD2E7D-EAFE-49D7-91D6-FB8781D2546D}"/>
    <hyperlink ref="E384" r:id="rId383" xr:uid="{04BFC524-08BC-48F3-8F44-D0A1AEC93262}"/>
    <hyperlink ref="E385" r:id="rId384" xr:uid="{C5EDE42E-AC7D-4ECC-8E3C-B865B9A9ACBB}"/>
    <hyperlink ref="E386" r:id="rId385" xr:uid="{AB14059F-F88B-4F25-AD04-2B06835A949E}"/>
    <hyperlink ref="E387" r:id="rId386" xr:uid="{BEE871E3-3838-4437-9718-422FB38940E1}"/>
    <hyperlink ref="E388" r:id="rId387" xr:uid="{6969EEC2-75E4-45DC-B62B-F648F8B31DBB}"/>
    <hyperlink ref="E389" r:id="rId388" xr:uid="{F8B80BBB-469B-4250-A0D9-81E9A4A6A7E8}"/>
    <hyperlink ref="E390" r:id="rId389" xr:uid="{F454099E-586B-4456-96A3-C1DDE62154DD}"/>
    <hyperlink ref="E391" r:id="rId390" xr:uid="{9C4B9FC0-7DD7-402C-A3C6-9B667BAD9B25}"/>
    <hyperlink ref="E392" r:id="rId391" xr:uid="{A94F02C9-4901-4D78-BA80-02019916BE72}"/>
    <hyperlink ref="E393" r:id="rId392" xr:uid="{68676131-9068-4A81-8A30-18BC35AA6770}"/>
    <hyperlink ref="E394" r:id="rId393" xr:uid="{972EC109-2E42-4288-866F-B54727BFAACE}"/>
    <hyperlink ref="E395" r:id="rId394" xr:uid="{7CEB9E55-5AE2-4A46-A05A-5669AD0546BC}"/>
    <hyperlink ref="E396" r:id="rId395" xr:uid="{B6E56C1B-6F27-41AF-AA28-3EE5F4230BAC}"/>
    <hyperlink ref="E397" r:id="rId396" xr:uid="{716725A9-F3EA-41B9-8EE5-D37E2045D3FD}"/>
    <hyperlink ref="E398" r:id="rId397" xr:uid="{F1B4A30A-35E9-4737-9299-E85D2A6A6B85}"/>
    <hyperlink ref="E399" r:id="rId398" xr:uid="{58B26D5A-D2F5-419C-ADD4-9AB73B9AE3F5}"/>
    <hyperlink ref="E400" r:id="rId399" xr:uid="{376C5AFD-4353-4467-8D92-18D779DF230B}"/>
    <hyperlink ref="E401" r:id="rId400" xr:uid="{1EE423D4-3E2D-4EBF-98E7-F653EB5DA8F5}"/>
    <hyperlink ref="E402" r:id="rId401" xr:uid="{62BCF4E8-D3B0-4862-8ECD-CAE0F744BC52}"/>
    <hyperlink ref="E403" r:id="rId402" xr:uid="{172C697A-9D97-42CC-8589-2A355FF49E5F}"/>
    <hyperlink ref="E404" r:id="rId403" xr:uid="{81B18BD2-45AA-4B8D-B29B-8A5E47DD594D}"/>
    <hyperlink ref="E405" r:id="rId404" xr:uid="{BA495E4C-D1C1-4B92-8103-346F00945CD3}"/>
    <hyperlink ref="E406" r:id="rId405" xr:uid="{AD00E4BE-9C5A-4784-A94A-B2AA4A2528D4}"/>
    <hyperlink ref="E407" r:id="rId406" xr:uid="{66E107B7-BA2A-4BEF-9762-0AB26FAF6A19}"/>
    <hyperlink ref="E408" r:id="rId407" xr:uid="{E9B5D4A1-59EB-4912-9C67-1D35674E5BFF}"/>
    <hyperlink ref="E409" r:id="rId408" xr:uid="{A54FE1D2-08DB-4002-9CD6-4CC98BB031D3}"/>
    <hyperlink ref="E410" r:id="rId409" xr:uid="{69864EC7-7074-4793-BD41-A75DD1A9349E}"/>
    <hyperlink ref="E411" r:id="rId410" xr:uid="{2C6E9B06-7A49-43C4-A2FC-1D44B06F9D18}"/>
    <hyperlink ref="E412" r:id="rId411" xr:uid="{E30384DE-4DCC-46FB-B656-757E7B83269F}"/>
    <hyperlink ref="E413" r:id="rId412" xr:uid="{844FBDB2-29B3-438D-927F-5894B8504E9A}"/>
    <hyperlink ref="E414" r:id="rId413" xr:uid="{12C67593-4F51-43A4-8D81-65E039D99C67}"/>
    <hyperlink ref="E415" r:id="rId414" xr:uid="{FDD8BE3E-A475-4937-918F-1086B9F1B78B}"/>
    <hyperlink ref="E416" r:id="rId415" xr:uid="{60899FFF-94B8-4DD0-902A-DAFBCB472AEB}"/>
    <hyperlink ref="E417" r:id="rId416" xr:uid="{36738282-7951-4BC0-88D6-D4B33CAD23F3}"/>
    <hyperlink ref="E418" r:id="rId417" xr:uid="{94D07737-3BA1-4A64-A6A4-77601979843C}"/>
    <hyperlink ref="E419" r:id="rId418" xr:uid="{12A4F4A1-AC78-4DE5-9205-39C976A2D47B}"/>
    <hyperlink ref="E420" r:id="rId419" xr:uid="{DEB8994C-0BD2-461D-822A-CF6EBD0A491D}"/>
    <hyperlink ref="E421" r:id="rId420" xr:uid="{FCFB2BB4-BF65-4BC2-84A2-4203009CCD68}"/>
    <hyperlink ref="E422" r:id="rId421" xr:uid="{C6BF1042-02AB-4EA0-AB27-7B9739E3146D}"/>
    <hyperlink ref="E423" r:id="rId422" xr:uid="{FD494398-50D0-4669-A606-5E0E582FCF87}"/>
    <hyperlink ref="E424" r:id="rId423" xr:uid="{DF6BFDFA-BC18-49D4-AFBB-4484205CFFCB}"/>
    <hyperlink ref="E425" r:id="rId424" xr:uid="{820DAA61-23C3-401D-BEED-5B4710A26F99}"/>
    <hyperlink ref="E426" r:id="rId425" xr:uid="{ACA6B998-3B0B-4915-83CC-3778776AE609}"/>
    <hyperlink ref="E427" r:id="rId426" xr:uid="{226EB78D-E8F0-48B9-8D54-8E5BF7307F4A}"/>
    <hyperlink ref="E428" r:id="rId427" xr:uid="{20BC4211-FA0D-46CB-9A87-6681E36A5F3C}"/>
    <hyperlink ref="E429" r:id="rId428" xr:uid="{1B0AD2E5-3090-4C5D-8D46-BA0A3DD024B6}"/>
    <hyperlink ref="E430" r:id="rId429" xr:uid="{523BFE4C-608A-41ED-835C-6F1F88C4E488}"/>
    <hyperlink ref="E431" r:id="rId430" xr:uid="{39A8976F-89E6-4814-9F34-2F7012C14265}"/>
    <hyperlink ref="E432" r:id="rId431" xr:uid="{6CFA102F-A16C-4165-852F-ECB2557F5595}"/>
    <hyperlink ref="E433" r:id="rId432" xr:uid="{6657931B-3E8D-4EFE-8189-18BD461B4F29}"/>
    <hyperlink ref="E434" r:id="rId433" xr:uid="{35F0EDB4-FA5A-49EE-929C-18733304EA37}"/>
    <hyperlink ref="E435" r:id="rId434" xr:uid="{EB296E72-25E3-4E32-8C54-933C8090A017}"/>
    <hyperlink ref="E436" r:id="rId435" xr:uid="{7A519E85-E8DB-4593-8269-5EC41DCDE9D2}"/>
    <hyperlink ref="E437" r:id="rId436" xr:uid="{7DB0FF78-0417-41F0-A5EB-02EF6A7DFB76}"/>
    <hyperlink ref="E438" r:id="rId437" xr:uid="{B159798A-A0E2-46B0-9A35-5B5890894C48}"/>
    <hyperlink ref="E439" r:id="rId438" xr:uid="{205BEEDD-3776-4283-B687-E4198CF2FBA0}"/>
    <hyperlink ref="E440" r:id="rId439" xr:uid="{89207F2E-EEA8-4F65-AA77-C97C7A17D447}"/>
    <hyperlink ref="E441" r:id="rId440" xr:uid="{C2389ED9-64CE-4564-92D9-80663BD3988E}"/>
    <hyperlink ref="E442" r:id="rId441" xr:uid="{295A42A2-91D9-4DAA-8133-847ADF4D6ECC}"/>
    <hyperlink ref="E443" r:id="rId442" xr:uid="{C42E9E0E-6C4A-4B73-82CE-3357628B3F8C}"/>
    <hyperlink ref="E444" r:id="rId443" xr:uid="{F3A12821-3825-4CC0-A816-9D169C38B772}"/>
    <hyperlink ref="E445" r:id="rId444" xr:uid="{F0B514C8-0E2E-4962-B3AD-0EF01BC124E4}"/>
  </hyperlinks>
  <pageMargins left="0.7" right="0.7" top="0.75" bottom="0.75" header="0.3" footer="0.3"/>
  <tableParts count="1">
    <tablePart r:id="rId4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86"/>
  <sheetViews>
    <sheetView tabSelected="1" workbookViewId="0">
      <pane xSplit="4" ySplit="1" topLeftCell="E815" activePane="bottomRight" state="frozen"/>
      <selection pane="topRight" activeCell="E1" sqref="E1"/>
      <selection pane="bottomLeft" activeCell="A2" sqref="A2"/>
      <selection pane="bottomRight" activeCell="F827" sqref="F827"/>
    </sheetView>
  </sheetViews>
  <sheetFormatPr defaultRowHeight="14.5" x14ac:dyDescent="0.35"/>
  <cols>
    <col min="2" max="2" width="12" bestFit="1" customWidth="1"/>
    <col min="3" max="3" width="8.54296875" bestFit="1" customWidth="1"/>
    <col min="4" max="4" width="9.54296875" bestFit="1" customWidth="1"/>
    <col min="6" max="6" width="7.26953125" customWidth="1"/>
    <col min="7" max="7" width="7.54296875" customWidth="1"/>
    <col min="8" max="8" width="9.1796875" customWidth="1"/>
    <col min="9" max="9" width="17.54296875" style="31" customWidth="1"/>
    <col min="10" max="10" width="5.90625" customWidth="1"/>
    <col min="11" max="11" width="4.453125" customWidth="1"/>
    <col min="12" max="12" width="2.81640625" customWidth="1"/>
    <col min="13" max="13" width="4.54296875" customWidth="1"/>
    <col min="14" max="15" width="2.453125" bestFit="1" customWidth="1"/>
    <col min="16" max="17" width="2.26953125" bestFit="1" customWidth="1"/>
    <col min="18" max="19" width="2.81640625" bestFit="1" customWidth="1"/>
    <col min="20" max="21" width="2.1796875" bestFit="1" customWidth="1"/>
    <col min="22" max="24" width="2.453125" bestFit="1" customWidth="1"/>
    <col min="25" max="25" width="2.6328125" customWidth="1"/>
    <col min="26" max="26" width="3.54296875" customWidth="1"/>
    <col min="27" max="27" width="23" bestFit="1" customWidth="1"/>
    <col min="28" max="28" width="22.81640625" bestFit="1" customWidth="1"/>
  </cols>
  <sheetData>
    <row r="1" spans="1:28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30" t="s">
        <v>69</v>
      </c>
      <c r="N1" s="10" t="s">
        <v>72</v>
      </c>
      <c r="O1" s="10" t="s">
        <v>72</v>
      </c>
      <c r="P1" s="13" t="s">
        <v>73</v>
      </c>
      <c r="Q1" s="13" t="s">
        <v>73</v>
      </c>
      <c r="R1" s="13" t="s">
        <v>74</v>
      </c>
      <c r="S1" s="13" t="s">
        <v>74</v>
      </c>
      <c r="T1" s="13" t="s">
        <v>65</v>
      </c>
      <c r="U1" s="13" t="s">
        <v>65</v>
      </c>
      <c r="V1" s="13" t="s">
        <v>72</v>
      </c>
      <c r="W1" s="13" t="s">
        <v>78</v>
      </c>
      <c r="X1" s="14" t="s">
        <v>79</v>
      </c>
      <c r="AA1" s="13" t="s">
        <v>75</v>
      </c>
      <c r="AB1" s="9" t="s">
        <v>80</v>
      </c>
    </row>
    <row r="2" spans="1:28" x14ac:dyDescent="0.35">
      <c r="A2" s="5">
        <v>13862</v>
      </c>
      <c r="B2" s="5">
        <v>1120922001</v>
      </c>
      <c r="C2" s="5">
        <v>725374</v>
      </c>
      <c r="D2" s="5">
        <v>3764486</v>
      </c>
      <c r="E2" s="6" t="s">
        <v>70</v>
      </c>
      <c r="F2" s="6" t="s">
        <v>70</v>
      </c>
      <c r="G2" s="6" t="s">
        <v>70</v>
      </c>
      <c r="H2" s="7"/>
      <c r="I2" s="34" t="str">
        <f>MID(B2,IF(LEN(B2)=10,2,3),6)</f>
        <v>120922</v>
      </c>
      <c r="J2" s="31" t="str">
        <f>TEXT(MID(B2,1,IF(LEN(B2)=10,1,2)),"00")</f>
        <v>01</v>
      </c>
      <c r="N2" s="12">
        <f>IFERROR(MID($B2,LEN($B2)-10,1),0)</f>
        <v>0</v>
      </c>
      <c r="O2" s="11" t="str">
        <f>MID($B2,LEN($B2)-9,1)</f>
        <v>1</v>
      </c>
      <c r="P2" s="11" t="str">
        <f>MID($B2,LEN($B2)-8,1)</f>
        <v>1</v>
      </c>
      <c r="Q2" s="11" t="str">
        <f>MID($B2,LEN($B2)-7,1)</f>
        <v>2</v>
      </c>
      <c r="R2" s="11" t="str">
        <f>MID($B2,LEN($B2)-6,1)</f>
        <v>0</v>
      </c>
      <c r="S2" s="11" t="str">
        <f>MID($B2,LEN($B2)-5,1)</f>
        <v>9</v>
      </c>
      <c r="T2" s="11" t="str">
        <f>MID($B2,LEN($B2)-4,1)</f>
        <v>2</v>
      </c>
      <c r="U2" s="11" t="str">
        <f>MID($B2,LEN($B2)-3,1)</f>
        <v>2</v>
      </c>
      <c r="V2" s="11" t="str">
        <f>MID($B2,LEN($B2)-2,1)</f>
        <v>0</v>
      </c>
      <c r="W2" s="11" t="str">
        <f>MID($B2,LEN($B2)-1,1)</f>
        <v>0</v>
      </c>
      <c r="X2" s="11" t="str">
        <f>MID($B2,LEN($B2)-0,1)</f>
        <v>1</v>
      </c>
      <c r="AA2" t="s">
        <v>77</v>
      </c>
      <c r="AB2" t="s">
        <v>76</v>
      </c>
    </row>
    <row r="3" spans="1:28" x14ac:dyDescent="0.35">
      <c r="A3" s="5">
        <v>13863</v>
      </c>
      <c r="B3" s="5">
        <v>1120922002</v>
      </c>
      <c r="C3" s="5">
        <v>725443</v>
      </c>
      <c r="D3" s="5">
        <v>3764482</v>
      </c>
      <c r="E3" s="6" t="s">
        <v>70</v>
      </c>
      <c r="F3" s="6" t="s">
        <v>70</v>
      </c>
      <c r="G3" s="6" t="s">
        <v>70</v>
      </c>
      <c r="H3" s="7"/>
      <c r="I3" s="34" t="str">
        <f t="shared" ref="I3:I66" si="0">MID(B3,IF(LEN(B3)=10,2,3),6)</f>
        <v>120922</v>
      </c>
      <c r="J3" s="31" t="str">
        <f t="shared" ref="J3:J66" si="1">TEXT(MID(B3,1,IF(LEN(B3)=10,1,2)),"00")</f>
        <v>01</v>
      </c>
      <c r="N3" s="12">
        <f t="shared" ref="N3:N66" si="2">IFERROR(MID($B3,LEN($B3)-10,1),0)</f>
        <v>0</v>
      </c>
      <c r="O3" s="11" t="str">
        <f t="shared" ref="O3:O66" si="3">MID($B3,LEN($B3)-9,1)</f>
        <v>1</v>
      </c>
      <c r="P3" s="11" t="str">
        <f t="shared" ref="P3:P66" si="4">MID($B3,LEN($B3)-8,1)</f>
        <v>1</v>
      </c>
      <c r="Q3" s="11" t="str">
        <f t="shared" ref="Q3:Q66" si="5">MID($B3,LEN($B3)-7,1)</f>
        <v>2</v>
      </c>
      <c r="R3" s="11" t="str">
        <f t="shared" ref="R3:R66" si="6">MID($B3,LEN($B3)-6,1)</f>
        <v>0</v>
      </c>
      <c r="S3" s="11" t="str">
        <f t="shared" ref="S3:S66" si="7">MID($B3,LEN($B3)-5,1)</f>
        <v>9</v>
      </c>
      <c r="T3" s="11" t="str">
        <f t="shared" ref="T3:T66" si="8">MID($B3,LEN($B3)-4,1)</f>
        <v>2</v>
      </c>
      <c r="U3" s="11" t="str">
        <f t="shared" ref="U3:U66" si="9">MID($B3,LEN($B3)-3,1)</f>
        <v>2</v>
      </c>
      <c r="V3" s="11" t="str">
        <f t="shared" ref="V3:V66" si="10">MID($B3,LEN($B3)-2,1)</f>
        <v>0</v>
      </c>
      <c r="W3" s="11" t="str">
        <f t="shared" ref="W3:W66" si="11">MID($B3,LEN($B3)-1,1)</f>
        <v>0</v>
      </c>
      <c r="X3" s="11" t="str">
        <f t="shared" ref="X3:X66" si="12">MID($B3,LEN($B3)-0,1)</f>
        <v>2</v>
      </c>
    </row>
    <row r="4" spans="1:28" x14ac:dyDescent="0.35">
      <c r="A4" s="5">
        <v>13864</v>
      </c>
      <c r="B4" s="5">
        <v>1120922003</v>
      </c>
      <c r="C4" s="5">
        <v>725514</v>
      </c>
      <c r="D4" s="5">
        <v>3764478</v>
      </c>
      <c r="E4" s="6" t="s">
        <v>70</v>
      </c>
      <c r="F4" s="6" t="s">
        <v>70</v>
      </c>
      <c r="G4" s="6" t="s">
        <v>70</v>
      </c>
      <c r="H4" s="7"/>
      <c r="I4" s="34" t="str">
        <f t="shared" si="0"/>
        <v>120922</v>
      </c>
      <c r="J4" s="31" t="str">
        <f t="shared" si="1"/>
        <v>01</v>
      </c>
      <c r="N4" s="12">
        <f t="shared" si="2"/>
        <v>0</v>
      </c>
      <c r="O4" s="11" t="str">
        <f t="shared" si="3"/>
        <v>1</v>
      </c>
      <c r="P4" s="11" t="str">
        <f t="shared" si="4"/>
        <v>1</v>
      </c>
      <c r="Q4" s="11" t="str">
        <f t="shared" si="5"/>
        <v>2</v>
      </c>
      <c r="R4" s="11" t="str">
        <f t="shared" si="6"/>
        <v>0</v>
      </c>
      <c r="S4" s="11" t="str">
        <f t="shared" si="7"/>
        <v>9</v>
      </c>
      <c r="T4" s="11" t="str">
        <f t="shared" si="8"/>
        <v>2</v>
      </c>
      <c r="U4" s="11" t="str">
        <f t="shared" si="9"/>
        <v>2</v>
      </c>
      <c r="V4" s="11" t="str">
        <f t="shared" si="10"/>
        <v>0</v>
      </c>
      <c r="W4" s="11" t="str">
        <f t="shared" si="11"/>
        <v>0</v>
      </c>
      <c r="X4" s="11" t="str">
        <f t="shared" si="12"/>
        <v>3</v>
      </c>
    </row>
    <row r="5" spans="1:28" x14ac:dyDescent="0.35">
      <c r="A5" s="5">
        <v>13865</v>
      </c>
      <c r="B5" s="5">
        <v>1120922004</v>
      </c>
      <c r="C5" s="5">
        <v>725596</v>
      </c>
      <c r="D5" s="5">
        <v>3764474</v>
      </c>
      <c r="E5" s="6" t="s">
        <v>70</v>
      </c>
      <c r="F5" s="6" t="s">
        <v>70</v>
      </c>
      <c r="G5" s="6" t="s">
        <v>70</v>
      </c>
      <c r="H5" s="7"/>
      <c r="I5" s="34" t="str">
        <f t="shared" si="0"/>
        <v>120922</v>
      </c>
      <c r="J5" s="31" t="str">
        <f t="shared" si="1"/>
        <v>01</v>
      </c>
      <c r="N5" s="12">
        <f t="shared" si="2"/>
        <v>0</v>
      </c>
      <c r="O5" s="11" t="str">
        <f t="shared" si="3"/>
        <v>1</v>
      </c>
      <c r="P5" s="11" t="str">
        <f t="shared" si="4"/>
        <v>1</v>
      </c>
      <c r="Q5" s="11" t="str">
        <f t="shared" si="5"/>
        <v>2</v>
      </c>
      <c r="R5" s="11" t="str">
        <f t="shared" si="6"/>
        <v>0</v>
      </c>
      <c r="S5" s="11" t="str">
        <f t="shared" si="7"/>
        <v>9</v>
      </c>
      <c r="T5" s="11" t="str">
        <f t="shared" si="8"/>
        <v>2</v>
      </c>
      <c r="U5" s="11" t="str">
        <f t="shared" si="9"/>
        <v>2</v>
      </c>
      <c r="V5" s="11" t="str">
        <f t="shared" si="10"/>
        <v>0</v>
      </c>
      <c r="W5" s="11" t="str">
        <f t="shared" si="11"/>
        <v>0</v>
      </c>
      <c r="X5" s="11" t="str">
        <f t="shared" si="12"/>
        <v>4</v>
      </c>
    </row>
    <row r="6" spans="1:28" x14ac:dyDescent="0.35">
      <c r="A6" s="5">
        <v>13866</v>
      </c>
      <c r="B6" s="5">
        <v>1120922005</v>
      </c>
      <c r="C6" s="5">
        <v>725633</v>
      </c>
      <c r="D6" s="5">
        <v>3764473</v>
      </c>
      <c r="E6" s="6" t="s">
        <v>70</v>
      </c>
      <c r="F6" s="6" t="s">
        <v>70</v>
      </c>
      <c r="G6" s="6" t="s">
        <v>70</v>
      </c>
      <c r="H6" s="7"/>
      <c r="I6" s="34" t="str">
        <f t="shared" si="0"/>
        <v>120922</v>
      </c>
      <c r="J6" s="31" t="str">
        <f t="shared" si="1"/>
        <v>01</v>
      </c>
      <c r="N6" s="12">
        <f t="shared" si="2"/>
        <v>0</v>
      </c>
      <c r="O6" s="11" t="str">
        <f t="shared" si="3"/>
        <v>1</v>
      </c>
      <c r="P6" s="11" t="str">
        <f t="shared" si="4"/>
        <v>1</v>
      </c>
      <c r="Q6" s="11" t="str">
        <f t="shared" si="5"/>
        <v>2</v>
      </c>
      <c r="R6" s="11" t="str">
        <f t="shared" si="6"/>
        <v>0</v>
      </c>
      <c r="S6" s="11" t="str">
        <f t="shared" si="7"/>
        <v>9</v>
      </c>
      <c r="T6" s="11" t="str">
        <f t="shared" si="8"/>
        <v>2</v>
      </c>
      <c r="U6" s="11" t="str">
        <f t="shared" si="9"/>
        <v>2</v>
      </c>
      <c r="V6" s="11" t="str">
        <f t="shared" si="10"/>
        <v>0</v>
      </c>
      <c r="W6" s="11" t="str">
        <f t="shared" si="11"/>
        <v>0</v>
      </c>
      <c r="X6" s="11" t="str">
        <f t="shared" si="12"/>
        <v>5</v>
      </c>
      <c r="AA6" s="5"/>
    </row>
    <row r="7" spans="1:28" x14ac:dyDescent="0.35">
      <c r="A7" s="5">
        <v>13867</v>
      </c>
      <c r="B7" s="5">
        <v>1120922006</v>
      </c>
      <c r="C7" s="5">
        <v>725669</v>
      </c>
      <c r="D7" s="5">
        <v>3764471</v>
      </c>
      <c r="E7" s="6" t="s">
        <v>70</v>
      </c>
      <c r="F7" s="6" t="s">
        <v>70</v>
      </c>
      <c r="G7" s="6" t="s">
        <v>70</v>
      </c>
      <c r="H7" s="7"/>
      <c r="I7" s="34" t="str">
        <f t="shared" si="0"/>
        <v>120922</v>
      </c>
      <c r="J7" s="31" t="str">
        <f t="shared" si="1"/>
        <v>01</v>
      </c>
      <c r="N7" s="12">
        <f t="shared" si="2"/>
        <v>0</v>
      </c>
      <c r="O7" s="11" t="str">
        <f t="shared" si="3"/>
        <v>1</v>
      </c>
      <c r="P7" s="11" t="str">
        <f t="shared" si="4"/>
        <v>1</v>
      </c>
      <c r="Q7" s="11" t="str">
        <f t="shared" si="5"/>
        <v>2</v>
      </c>
      <c r="R7" s="11" t="str">
        <f t="shared" si="6"/>
        <v>0</v>
      </c>
      <c r="S7" s="11" t="str">
        <f t="shared" si="7"/>
        <v>9</v>
      </c>
      <c r="T7" s="11" t="str">
        <f t="shared" si="8"/>
        <v>2</v>
      </c>
      <c r="U7" s="11" t="str">
        <f t="shared" si="9"/>
        <v>2</v>
      </c>
      <c r="V7" s="11" t="str">
        <f t="shared" si="10"/>
        <v>0</v>
      </c>
      <c r="W7" s="11" t="str">
        <f t="shared" si="11"/>
        <v>0</v>
      </c>
      <c r="X7" s="11" t="str">
        <f t="shared" si="12"/>
        <v>6</v>
      </c>
    </row>
    <row r="8" spans="1:28" x14ac:dyDescent="0.35">
      <c r="A8" s="5">
        <v>13868</v>
      </c>
      <c r="B8" s="5">
        <v>1120922007</v>
      </c>
      <c r="C8" s="5">
        <v>725678</v>
      </c>
      <c r="D8" s="5">
        <v>3764424</v>
      </c>
      <c r="E8" s="6" t="s">
        <v>70</v>
      </c>
      <c r="F8" s="6" t="s">
        <v>70</v>
      </c>
      <c r="G8" s="6" t="s">
        <v>70</v>
      </c>
      <c r="H8" s="7"/>
      <c r="I8" s="34" t="str">
        <f t="shared" si="0"/>
        <v>120922</v>
      </c>
      <c r="J8" s="31" t="str">
        <f t="shared" si="1"/>
        <v>01</v>
      </c>
      <c r="N8" s="12">
        <f t="shared" si="2"/>
        <v>0</v>
      </c>
      <c r="O8" s="11" t="str">
        <f t="shared" si="3"/>
        <v>1</v>
      </c>
      <c r="P8" s="11" t="str">
        <f t="shared" si="4"/>
        <v>1</v>
      </c>
      <c r="Q8" s="11" t="str">
        <f t="shared" si="5"/>
        <v>2</v>
      </c>
      <c r="R8" s="11" t="str">
        <f t="shared" si="6"/>
        <v>0</v>
      </c>
      <c r="S8" s="11" t="str">
        <f t="shared" si="7"/>
        <v>9</v>
      </c>
      <c r="T8" s="11" t="str">
        <f t="shared" si="8"/>
        <v>2</v>
      </c>
      <c r="U8" s="11" t="str">
        <f t="shared" si="9"/>
        <v>2</v>
      </c>
      <c r="V8" s="11" t="str">
        <f t="shared" si="10"/>
        <v>0</v>
      </c>
      <c r="W8" s="11" t="str">
        <f t="shared" si="11"/>
        <v>0</v>
      </c>
      <c r="X8" s="11" t="str">
        <f t="shared" si="12"/>
        <v>7</v>
      </c>
    </row>
    <row r="9" spans="1:28" x14ac:dyDescent="0.35">
      <c r="A9" s="5">
        <v>13869</v>
      </c>
      <c r="B9" s="5">
        <v>1120922008</v>
      </c>
      <c r="C9" s="5">
        <v>725676</v>
      </c>
      <c r="D9" s="5">
        <v>3764366</v>
      </c>
      <c r="E9" s="6" t="s">
        <v>70</v>
      </c>
      <c r="F9" s="6" t="s">
        <v>70</v>
      </c>
      <c r="G9" s="6" t="s">
        <v>70</v>
      </c>
      <c r="H9" s="7"/>
      <c r="I9" s="34" t="str">
        <f t="shared" si="0"/>
        <v>120922</v>
      </c>
      <c r="J9" s="31" t="str">
        <f t="shared" si="1"/>
        <v>01</v>
      </c>
      <c r="N9" s="12">
        <f t="shared" si="2"/>
        <v>0</v>
      </c>
      <c r="O9" s="11" t="str">
        <f t="shared" si="3"/>
        <v>1</v>
      </c>
      <c r="P9" s="11" t="str">
        <f t="shared" si="4"/>
        <v>1</v>
      </c>
      <c r="Q9" s="11" t="str">
        <f t="shared" si="5"/>
        <v>2</v>
      </c>
      <c r="R9" s="11" t="str">
        <f t="shared" si="6"/>
        <v>0</v>
      </c>
      <c r="S9" s="11" t="str">
        <f t="shared" si="7"/>
        <v>9</v>
      </c>
      <c r="T9" s="11" t="str">
        <f t="shared" si="8"/>
        <v>2</v>
      </c>
      <c r="U9" s="11" t="str">
        <f t="shared" si="9"/>
        <v>2</v>
      </c>
      <c r="V9" s="11" t="str">
        <f t="shared" si="10"/>
        <v>0</v>
      </c>
      <c r="W9" s="11" t="str">
        <f t="shared" si="11"/>
        <v>0</v>
      </c>
      <c r="X9" s="11" t="str">
        <f t="shared" si="12"/>
        <v>8</v>
      </c>
    </row>
    <row r="10" spans="1:28" x14ac:dyDescent="0.35">
      <c r="A10" s="5">
        <v>13870</v>
      </c>
      <c r="B10" s="5">
        <v>1120922009</v>
      </c>
      <c r="C10" s="5">
        <v>725678</v>
      </c>
      <c r="D10" s="5">
        <v>3764366</v>
      </c>
      <c r="E10" s="6" t="s">
        <v>70</v>
      </c>
      <c r="F10" s="6" t="s">
        <v>70</v>
      </c>
      <c r="G10" s="6" t="s">
        <v>70</v>
      </c>
      <c r="H10" s="7"/>
      <c r="I10" s="34" t="str">
        <f t="shared" si="0"/>
        <v>120922</v>
      </c>
      <c r="J10" s="31" t="str">
        <f t="shared" si="1"/>
        <v>01</v>
      </c>
      <c r="N10" s="12">
        <f t="shared" si="2"/>
        <v>0</v>
      </c>
      <c r="O10" s="11" t="str">
        <f t="shared" si="3"/>
        <v>1</v>
      </c>
      <c r="P10" s="11" t="str">
        <f t="shared" si="4"/>
        <v>1</v>
      </c>
      <c r="Q10" s="11" t="str">
        <f t="shared" si="5"/>
        <v>2</v>
      </c>
      <c r="R10" s="11" t="str">
        <f t="shared" si="6"/>
        <v>0</v>
      </c>
      <c r="S10" s="11" t="str">
        <f t="shared" si="7"/>
        <v>9</v>
      </c>
      <c r="T10" s="11" t="str">
        <f t="shared" si="8"/>
        <v>2</v>
      </c>
      <c r="U10" s="11" t="str">
        <f t="shared" si="9"/>
        <v>2</v>
      </c>
      <c r="V10" s="11" t="str">
        <f t="shared" si="10"/>
        <v>0</v>
      </c>
      <c r="W10" s="11" t="str">
        <f t="shared" si="11"/>
        <v>0</v>
      </c>
      <c r="X10" s="11" t="str">
        <f t="shared" si="12"/>
        <v>9</v>
      </c>
    </row>
    <row r="11" spans="1:28" x14ac:dyDescent="0.35">
      <c r="A11" s="5">
        <v>13871</v>
      </c>
      <c r="B11" s="5">
        <v>1120922010</v>
      </c>
      <c r="C11" s="5">
        <v>725676</v>
      </c>
      <c r="D11" s="5">
        <v>3764367</v>
      </c>
      <c r="E11" s="6" t="s">
        <v>70</v>
      </c>
      <c r="F11" s="6" t="s">
        <v>70</v>
      </c>
      <c r="G11" s="6" t="s">
        <v>70</v>
      </c>
      <c r="H11" s="7"/>
      <c r="I11" s="34" t="str">
        <f t="shared" si="0"/>
        <v>120922</v>
      </c>
      <c r="J11" s="31" t="str">
        <f t="shared" si="1"/>
        <v>01</v>
      </c>
      <c r="N11" s="12">
        <f t="shared" si="2"/>
        <v>0</v>
      </c>
      <c r="O11" s="11" t="str">
        <f t="shared" si="3"/>
        <v>1</v>
      </c>
      <c r="P11" s="11" t="str">
        <f t="shared" si="4"/>
        <v>1</v>
      </c>
      <c r="Q11" s="11" t="str">
        <f t="shared" si="5"/>
        <v>2</v>
      </c>
      <c r="R11" s="11" t="str">
        <f t="shared" si="6"/>
        <v>0</v>
      </c>
      <c r="S11" s="11" t="str">
        <f t="shared" si="7"/>
        <v>9</v>
      </c>
      <c r="T11" s="11" t="str">
        <f t="shared" si="8"/>
        <v>2</v>
      </c>
      <c r="U11" s="11" t="str">
        <f t="shared" si="9"/>
        <v>2</v>
      </c>
      <c r="V11" s="11" t="str">
        <f t="shared" si="10"/>
        <v>0</v>
      </c>
      <c r="W11" s="11" t="str">
        <f t="shared" si="11"/>
        <v>1</v>
      </c>
      <c r="X11" s="11" t="str">
        <f t="shared" si="12"/>
        <v>0</v>
      </c>
    </row>
    <row r="12" spans="1:28" x14ac:dyDescent="0.35">
      <c r="A12" s="5">
        <v>13872</v>
      </c>
      <c r="B12" s="5">
        <v>1120922011</v>
      </c>
      <c r="C12" s="5">
        <v>725675</v>
      </c>
      <c r="D12" s="5">
        <v>3764332</v>
      </c>
      <c r="E12" s="6" t="s">
        <v>70</v>
      </c>
      <c r="F12" s="6" t="s">
        <v>70</v>
      </c>
      <c r="G12" s="6" t="s">
        <v>70</v>
      </c>
      <c r="H12" s="7"/>
      <c r="I12" s="34" t="str">
        <f t="shared" si="0"/>
        <v>120922</v>
      </c>
      <c r="J12" s="31" t="str">
        <f t="shared" si="1"/>
        <v>01</v>
      </c>
      <c r="N12" s="12">
        <f t="shared" si="2"/>
        <v>0</v>
      </c>
      <c r="O12" s="11" t="str">
        <f t="shared" si="3"/>
        <v>1</v>
      </c>
      <c r="P12" s="11" t="str">
        <f t="shared" si="4"/>
        <v>1</v>
      </c>
      <c r="Q12" s="11" t="str">
        <f t="shared" si="5"/>
        <v>2</v>
      </c>
      <c r="R12" s="11" t="str">
        <f t="shared" si="6"/>
        <v>0</v>
      </c>
      <c r="S12" s="11" t="str">
        <f t="shared" si="7"/>
        <v>9</v>
      </c>
      <c r="T12" s="11" t="str">
        <f t="shared" si="8"/>
        <v>2</v>
      </c>
      <c r="U12" s="11" t="str">
        <f t="shared" si="9"/>
        <v>2</v>
      </c>
      <c r="V12" s="11" t="str">
        <f t="shared" si="10"/>
        <v>0</v>
      </c>
      <c r="W12" s="11" t="str">
        <f t="shared" si="11"/>
        <v>1</v>
      </c>
      <c r="X12" s="11" t="str">
        <f t="shared" si="12"/>
        <v>1</v>
      </c>
    </row>
    <row r="13" spans="1:28" x14ac:dyDescent="0.35">
      <c r="A13" s="5">
        <v>13873</v>
      </c>
      <c r="B13" s="5">
        <v>1120922012</v>
      </c>
      <c r="C13" s="5">
        <v>725725</v>
      </c>
      <c r="D13" s="5">
        <v>3764340</v>
      </c>
      <c r="E13" s="6" t="s">
        <v>70</v>
      </c>
      <c r="F13" s="6" t="s">
        <v>70</v>
      </c>
      <c r="G13" s="6" t="s">
        <v>70</v>
      </c>
      <c r="H13" s="7"/>
      <c r="I13" s="34" t="str">
        <f t="shared" si="0"/>
        <v>120922</v>
      </c>
      <c r="J13" s="31" t="str">
        <f t="shared" si="1"/>
        <v>01</v>
      </c>
      <c r="N13" s="12">
        <f t="shared" si="2"/>
        <v>0</v>
      </c>
      <c r="O13" s="11" t="str">
        <f t="shared" si="3"/>
        <v>1</v>
      </c>
      <c r="P13" s="11" t="str">
        <f t="shared" si="4"/>
        <v>1</v>
      </c>
      <c r="Q13" s="11" t="str">
        <f t="shared" si="5"/>
        <v>2</v>
      </c>
      <c r="R13" s="11" t="str">
        <f t="shared" si="6"/>
        <v>0</v>
      </c>
      <c r="S13" s="11" t="str">
        <f t="shared" si="7"/>
        <v>9</v>
      </c>
      <c r="T13" s="11" t="str">
        <f t="shared" si="8"/>
        <v>2</v>
      </c>
      <c r="U13" s="11" t="str">
        <f t="shared" si="9"/>
        <v>2</v>
      </c>
      <c r="V13" s="11" t="str">
        <f t="shared" si="10"/>
        <v>0</v>
      </c>
      <c r="W13" s="11" t="str">
        <f t="shared" si="11"/>
        <v>1</v>
      </c>
      <c r="X13" s="11" t="str">
        <f t="shared" si="12"/>
        <v>2</v>
      </c>
    </row>
    <row r="14" spans="1:28" x14ac:dyDescent="0.35">
      <c r="A14" s="5">
        <v>13874</v>
      </c>
      <c r="B14" s="5">
        <v>1120922013</v>
      </c>
      <c r="C14" s="5">
        <v>725741</v>
      </c>
      <c r="D14" s="5">
        <v>3764380</v>
      </c>
      <c r="E14" s="6" t="s">
        <v>70</v>
      </c>
      <c r="F14" s="6" t="s">
        <v>70</v>
      </c>
      <c r="G14" s="6" t="s">
        <v>70</v>
      </c>
      <c r="H14" s="7"/>
      <c r="I14" s="34" t="str">
        <f t="shared" si="0"/>
        <v>120922</v>
      </c>
      <c r="J14" s="31" t="str">
        <f t="shared" si="1"/>
        <v>01</v>
      </c>
      <c r="N14" s="12">
        <f t="shared" si="2"/>
        <v>0</v>
      </c>
      <c r="O14" s="11" t="str">
        <f t="shared" si="3"/>
        <v>1</v>
      </c>
      <c r="P14" s="11" t="str">
        <f t="shared" si="4"/>
        <v>1</v>
      </c>
      <c r="Q14" s="11" t="str">
        <f t="shared" si="5"/>
        <v>2</v>
      </c>
      <c r="R14" s="11" t="str">
        <f t="shared" si="6"/>
        <v>0</v>
      </c>
      <c r="S14" s="11" t="str">
        <f t="shared" si="7"/>
        <v>9</v>
      </c>
      <c r="T14" s="11" t="str">
        <f t="shared" si="8"/>
        <v>2</v>
      </c>
      <c r="U14" s="11" t="str">
        <f t="shared" si="9"/>
        <v>2</v>
      </c>
      <c r="V14" s="11" t="str">
        <f t="shared" si="10"/>
        <v>0</v>
      </c>
      <c r="W14" s="11" t="str">
        <f t="shared" si="11"/>
        <v>1</v>
      </c>
      <c r="X14" s="11" t="str">
        <f t="shared" si="12"/>
        <v>3</v>
      </c>
    </row>
    <row r="15" spans="1:28" x14ac:dyDescent="0.35">
      <c r="A15" s="5">
        <v>13875</v>
      </c>
      <c r="B15" s="5">
        <v>1120922014</v>
      </c>
      <c r="C15" s="5">
        <v>725741</v>
      </c>
      <c r="D15" s="5">
        <v>3764421</v>
      </c>
      <c r="E15" s="6" t="s">
        <v>70</v>
      </c>
      <c r="F15" s="6" t="s">
        <v>70</v>
      </c>
      <c r="G15" s="6" t="s">
        <v>70</v>
      </c>
      <c r="H15" s="7"/>
      <c r="I15" s="34" t="str">
        <f t="shared" si="0"/>
        <v>120922</v>
      </c>
      <c r="J15" s="31" t="str">
        <f t="shared" si="1"/>
        <v>01</v>
      </c>
      <c r="N15" s="12">
        <f t="shared" si="2"/>
        <v>0</v>
      </c>
      <c r="O15" s="11" t="str">
        <f t="shared" si="3"/>
        <v>1</v>
      </c>
      <c r="P15" s="11" t="str">
        <f t="shared" si="4"/>
        <v>1</v>
      </c>
      <c r="Q15" s="11" t="str">
        <f t="shared" si="5"/>
        <v>2</v>
      </c>
      <c r="R15" s="11" t="str">
        <f t="shared" si="6"/>
        <v>0</v>
      </c>
      <c r="S15" s="11" t="str">
        <f t="shared" si="7"/>
        <v>9</v>
      </c>
      <c r="T15" s="11" t="str">
        <f t="shared" si="8"/>
        <v>2</v>
      </c>
      <c r="U15" s="11" t="str">
        <f t="shared" si="9"/>
        <v>2</v>
      </c>
      <c r="V15" s="11" t="str">
        <f t="shared" si="10"/>
        <v>0</v>
      </c>
      <c r="W15" s="11" t="str">
        <f t="shared" si="11"/>
        <v>1</v>
      </c>
      <c r="X15" s="11" t="str">
        <f t="shared" si="12"/>
        <v>4</v>
      </c>
    </row>
    <row r="16" spans="1:28" x14ac:dyDescent="0.35">
      <c r="A16" s="5">
        <v>13876</v>
      </c>
      <c r="B16" s="5">
        <v>1120922015</v>
      </c>
      <c r="C16" s="5">
        <v>725743</v>
      </c>
      <c r="D16" s="5">
        <v>3764456</v>
      </c>
      <c r="E16" s="6" t="s">
        <v>70</v>
      </c>
      <c r="F16" s="6" t="s">
        <v>70</v>
      </c>
      <c r="G16" s="6" t="s">
        <v>70</v>
      </c>
      <c r="H16" s="7"/>
      <c r="I16" s="34" t="str">
        <f t="shared" si="0"/>
        <v>120922</v>
      </c>
      <c r="J16" s="31" t="str">
        <f t="shared" si="1"/>
        <v>01</v>
      </c>
      <c r="N16" s="12">
        <f t="shared" si="2"/>
        <v>0</v>
      </c>
      <c r="O16" s="11" t="str">
        <f t="shared" si="3"/>
        <v>1</v>
      </c>
      <c r="P16" s="11" t="str">
        <f t="shared" si="4"/>
        <v>1</v>
      </c>
      <c r="Q16" s="11" t="str">
        <f t="shared" si="5"/>
        <v>2</v>
      </c>
      <c r="R16" s="11" t="str">
        <f t="shared" si="6"/>
        <v>0</v>
      </c>
      <c r="S16" s="11" t="str">
        <f t="shared" si="7"/>
        <v>9</v>
      </c>
      <c r="T16" s="11" t="str">
        <f t="shared" si="8"/>
        <v>2</v>
      </c>
      <c r="U16" s="11" t="str">
        <f t="shared" si="9"/>
        <v>2</v>
      </c>
      <c r="V16" s="11" t="str">
        <f t="shared" si="10"/>
        <v>0</v>
      </c>
      <c r="W16" s="11" t="str">
        <f t="shared" si="11"/>
        <v>1</v>
      </c>
      <c r="X16" s="11" t="str">
        <f t="shared" si="12"/>
        <v>5</v>
      </c>
    </row>
    <row r="17" spans="1:24" x14ac:dyDescent="0.35">
      <c r="A17" s="5">
        <v>13877</v>
      </c>
      <c r="B17" s="5">
        <v>1120922016</v>
      </c>
      <c r="C17" s="5">
        <v>725770</v>
      </c>
      <c r="D17" s="5">
        <v>3764466</v>
      </c>
      <c r="E17" s="6" t="s">
        <v>70</v>
      </c>
      <c r="F17" s="6" t="s">
        <v>70</v>
      </c>
      <c r="G17" s="6" t="s">
        <v>70</v>
      </c>
      <c r="H17" s="7"/>
      <c r="I17" s="34" t="str">
        <f t="shared" si="0"/>
        <v>120922</v>
      </c>
      <c r="J17" s="31" t="str">
        <f t="shared" si="1"/>
        <v>01</v>
      </c>
      <c r="N17" s="12">
        <f t="shared" si="2"/>
        <v>0</v>
      </c>
      <c r="O17" s="11" t="str">
        <f t="shared" si="3"/>
        <v>1</v>
      </c>
      <c r="P17" s="11" t="str">
        <f t="shared" si="4"/>
        <v>1</v>
      </c>
      <c r="Q17" s="11" t="str">
        <f t="shared" si="5"/>
        <v>2</v>
      </c>
      <c r="R17" s="11" t="str">
        <f t="shared" si="6"/>
        <v>0</v>
      </c>
      <c r="S17" s="11" t="str">
        <f t="shared" si="7"/>
        <v>9</v>
      </c>
      <c r="T17" s="11" t="str">
        <f t="shared" si="8"/>
        <v>2</v>
      </c>
      <c r="U17" s="11" t="str">
        <f t="shared" si="9"/>
        <v>2</v>
      </c>
      <c r="V17" s="11" t="str">
        <f t="shared" si="10"/>
        <v>0</v>
      </c>
      <c r="W17" s="11" t="str">
        <f t="shared" si="11"/>
        <v>1</v>
      </c>
      <c r="X17" s="11" t="str">
        <f t="shared" si="12"/>
        <v>6</v>
      </c>
    </row>
    <row r="18" spans="1:24" x14ac:dyDescent="0.35">
      <c r="A18" s="5">
        <v>13878</v>
      </c>
      <c r="B18" s="5">
        <v>1120922017</v>
      </c>
      <c r="C18" s="5">
        <v>725830</v>
      </c>
      <c r="D18" s="5">
        <v>3764468</v>
      </c>
      <c r="E18" s="6" t="s">
        <v>70</v>
      </c>
      <c r="F18" s="6" t="s">
        <v>70</v>
      </c>
      <c r="G18" s="6" t="s">
        <v>70</v>
      </c>
      <c r="H18" s="7"/>
      <c r="I18" s="34" t="str">
        <f t="shared" si="0"/>
        <v>120922</v>
      </c>
      <c r="J18" s="31" t="str">
        <f t="shared" si="1"/>
        <v>01</v>
      </c>
      <c r="N18" s="12">
        <f t="shared" si="2"/>
        <v>0</v>
      </c>
      <c r="O18" s="11" t="str">
        <f t="shared" si="3"/>
        <v>1</v>
      </c>
      <c r="P18" s="11" t="str">
        <f t="shared" si="4"/>
        <v>1</v>
      </c>
      <c r="Q18" s="11" t="str">
        <f t="shared" si="5"/>
        <v>2</v>
      </c>
      <c r="R18" s="11" t="str">
        <f t="shared" si="6"/>
        <v>0</v>
      </c>
      <c r="S18" s="11" t="str">
        <f t="shared" si="7"/>
        <v>9</v>
      </c>
      <c r="T18" s="11" t="str">
        <f t="shared" si="8"/>
        <v>2</v>
      </c>
      <c r="U18" s="11" t="str">
        <f t="shared" si="9"/>
        <v>2</v>
      </c>
      <c r="V18" s="11" t="str">
        <f t="shared" si="10"/>
        <v>0</v>
      </c>
      <c r="W18" s="11" t="str">
        <f t="shared" si="11"/>
        <v>1</v>
      </c>
      <c r="X18" s="11" t="str">
        <f t="shared" si="12"/>
        <v>7</v>
      </c>
    </row>
    <row r="19" spans="1:24" x14ac:dyDescent="0.35">
      <c r="A19" s="5">
        <v>13879</v>
      </c>
      <c r="B19" s="5">
        <v>1120922018</v>
      </c>
      <c r="C19" s="5">
        <v>725906</v>
      </c>
      <c r="D19" s="5">
        <v>3764466</v>
      </c>
      <c r="E19" s="6" t="s">
        <v>70</v>
      </c>
      <c r="F19" s="6" t="s">
        <v>70</v>
      </c>
      <c r="G19" s="6" t="s">
        <v>70</v>
      </c>
      <c r="H19" s="7"/>
      <c r="I19" s="34" t="str">
        <f t="shared" si="0"/>
        <v>120922</v>
      </c>
      <c r="J19" s="31" t="str">
        <f t="shared" si="1"/>
        <v>01</v>
      </c>
      <c r="N19" s="12">
        <f t="shared" si="2"/>
        <v>0</v>
      </c>
      <c r="O19" s="11" t="str">
        <f t="shared" si="3"/>
        <v>1</v>
      </c>
      <c r="P19" s="11" t="str">
        <f t="shared" si="4"/>
        <v>1</v>
      </c>
      <c r="Q19" s="11" t="str">
        <f t="shared" si="5"/>
        <v>2</v>
      </c>
      <c r="R19" s="11" t="str">
        <f t="shared" si="6"/>
        <v>0</v>
      </c>
      <c r="S19" s="11" t="str">
        <f t="shared" si="7"/>
        <v>9</v>
      </c>
      <c r="T19" s="11" t="str">
        <f t="shared" si="8"/>
        <v>2</v>
      </c>
      <c r="U19" s="11" t="str">
        <f t="shared" si="9"/>
        <v>2</v>
      </c>
      <c r="V19" s="11" t="str">
        <f t="shared" si="10"/>
        <v>0</v>
      </c>
      <c r="W19" s="11" t="str">
        <f t="shared" si="11"/>
        <v>1</v>
      </c>
      <c r="X19" s="11" t="str">
        <f t="shared" si="12"/>
        <v>8</v>
      </c>
    </row>
    <row r="20" spans="1:24" x14ac:dyDescent="0.35">
      <c r="A20" s="5">
        <v>13880</v>
      </c>
      <c r="B20" s="5">
        <v>1120922019</v>
      </c>
      <c r="C20" s="5">
        <v>725983</v>
      </c>
      <c r="D20" s="5">
        <v>3764466</v>
      </c>
      <c r="E20" s="6" t="s">
        <v>70</v>
      </c>
      <c r="F20" s="6" t="s">
        <v>70</v>
      </c>
      <c r="G20" s="6" t="s">
        <v>70</v>
      </c>
      <c r="H20" s="7"/>
      <c r="I20" s="34" t="str">
        <f t="shared" si="0"/>
        <v>120922</v>
      </c>
      <c r="J20" s="31" t="str">
        <f t="shared" si="1"/>
        <v>01</v>
      </c>
      <c r="N20" s="12">
        <f t="shared" si="2"/>
        <v>0</v>
      </c>
      <c r="O20" s="11" t="str">
        <f t="shared" si="3"/>
        <v>1</v>
      </c>
      <c r="P20" s="11" t="str">
        <f t="shared" si="4"/>
        <v>1</v>
      </c>
      <c r="Q20" s="11" t="str">
        <f t="shared" si="5"/>
        <v>2</v>
      </c>
      <c r="R20" s="11" t="str">
        <f t="shared" si="6"/>
        <v>0</v>
      </c>
      <c r="S20" s="11" t="str">
        <f t="shared" si="7"/>
        <v>9</v>
      </c>
      <c r="T20" s="11" t="str">
        <f t="shared" si="8"/>
        <v>2</v>
      </c>
      <c r="U20" s="11" t="str">
        <f t="shared" si="9"/>
        <v>2</v>
      </c>
      <c r="V20" s="11" t="str">
        <f t="shared" si="10"/>
        <v>0</v>
      </c>
      <c r="W20" s="11" t="str">
        <f t="shared" si="11"/>
        <v>1</v>
      </c>
      <c r="X20" s="11" t="str">
        <f t="shared" si="12"/>
        <v>9</v>
      </c>
    </row>
    <row r="21" spans="1:24" x14ac:dyDescent="0.35">
      <c r="A21" s="5">
        <v>13881</v>
      </c>
      <c r="B21" s="5">
        <v>1120922020</v>
      </c>
      <c r="C21" s="5">
        <v>726062</v>
      </c>
      <c r="D21" s="5">
        <v>3764459</v>
      </c>
      <c r="E21" s="6" t="s">
        <v>70</v>
      </c>
      <c r="F21" s="6" t="s">
        <v>70</v>
      </c>
      <c r="G21" s="6" t="s">
        <v>70</v>
      </c>
      <c r="H21" s="7"/>
      <c r="I21" s="34" t="str">
        <f t="shared" si="0"/>
        <v>120922</v>
      </c>
      <c r="J21" s="31" t="str">
        <f t="shared" si="1"/>
        <v>01</v>
      </c>
      <c r="N21" s="12">
        <f t="shared" si="2"/>
        <v>0</v>
      </c>
      <c r="O21" s="11" t="str">
        <f t="shared" si="3"/>
        <v>1</v>
      </c>
      <c r="P21" s="11" t="str">
        <f t="shared" si="4"/>
        <v>1</v>
      </c>
      <c r="Q21" s="11" t="str">
        <f t="shared" si="5"/>
        <v>2</v>
      </c>
      <c r="R21" s="11" t="str">
        <f t="shared" si="6"/>
        <v>0</v>
      </c>
      <c r="S21" s="11" t="str">
        <f t="shared" si="7"/>
        <v>9</v>
      </c>
      <c r="T21" s="11" t="str">
        <f t="shared" si="8"/>
        <v>2</v>
      </c>
      <c r="U21" s="11" t="str">
        <f t="shared" si="9"/>
        <v>2</v>
      </c>
      <c r="V21" s="11" t="str">
        <f t="shared" si="10"/>
        <v>0</v>
      </c>
      <c r="W21" s="11" t="str">
        <f t="shared" si="11"/>
        <v>2</v>
      </c>
      <c r="X21" s="11" t="str">
        <f t="shared" si="12"/>
        <v>0</v>
      </c>
    </row>
    <row r="22" spans="1:24" x14ac:dyDescent="0.35">
      <c r="A22" s="5">
        <v>13882</v>
      </c>
      <c r="B22" s="5">
        <v>1120922021</v>
      </c>
      <c r="C22" s="5">
        <v>726139</v>
      </c>
      <c r="D22" s="5">
        <v>3764459</v>
      </c>
      <c r="E22" s="6" t="s">
        <v>70</v>
      </c>
      <c r="F22" s="6" t="s">
        <v>70</v>
      </c>
      <c r="G22" s="6" t="s">
        <v>70</v>
      </c>
      <c r="H22" s="7"/>
      <c r="I22" s="34" t="str">
        <f t="shared" si="0"/>
        <v>120922</v>
      </c>
      <c r="J22" s="31" t="str">
        <f t="shared" si="1"/>
        <v>01</v>
      </c>
      <c r="N22" s="12">
        <f t="shared" si="2"/>
        <v>0</v>
      </c>
      <c r="O22" s="11" t="str">
        <f t="shared" si="3"/>
        <v>1</v>
      </c>
      <c r="P22" s="11" t="str">
        <f t="shared" si="4"/>
        <v>1</v>
      </c>
      <c r="Q22" s="11" t="str">
        <f t="shared" si="5"/>
        <v>2</v>
      </c>
      <c r="R22" s="11" t="str">
        <f t="shared" si="6"/>
        <v>0</v>
      </c>
      <c r="S22" s="11" t="str">
        <f t="shared" si="7"/>
        <v>9</v>
      </c>
      <c r="T22" s="11" t="str">
        <f t="shared" si="8"/>
        <v>2</v>
      </c>
      <c r="U22" s="11" t="str">
        <f t="shared" si="9"/>
        <v>2</v>
      </c>
      <c r="V22" s="11" t="str">
        <f t="shared" si="10"/>
        <v>0</v>
      </c>
      <c r="W22" s="11" t="str">
        <f t="shared" si="11"/>
        <v>2</v>
      </c>
      <c r="X22" s="11" t="str">
        <f t="shared" si="12"/>
        <v>1</v>
      </c>
    </row>
    <row r="23" spans="1:24" x14ac:dyDescent="0.35">
      <c r="A23" s="5">
        <v>13883</v>
      </c>
      <c r="B23" s="5">
        <v>1120922022</v>
      </c>
      <c r="C23" s="5">
        <v>726220</v>
      </c>
      <c r="D23" s="5">
        <v>3764456</v>
      </c>
      <c r="E23" s="6" t="s">
        <v>70</v>
      </c>
      <c r="F23" s="6" t="s">
        <v>70</v>
      </c>
      <c r="G23" s="6" t="s">
        <v>70</v>
      </c>
      <c r="H23" s="7"/>
      <c r="I23" s="34" t="str">
        <f t="shared" si="0"/>
        <v>120922</v>
      </c>
      <c r="J23" s="31" t="str">
        <f t="shared" si="1"/>
        <v>01</v>
      </c>
      <c r="N23" s="12">
        <f t="shared" si="2"/>
        <v>0</v>
      </c>
      <c r="O23" s="11" t="str">
        <f t="shared" si="3"/>
        <v>1</v>
      </c>
      <c r="P23" s="11" t="str">
        <f t="shared" si="4"/>
        <v>1</v>
      </c>
      <c r="Q23" s="11" t="str">
        <f t="shared" si="5"/>
        <v>2</v>
      </c>
      <c r="R23" s="11" t="str">
        <f t="shared" si="6"/>
        <v>0</v>
      </c>
      <c r="S23" s="11" t="str">
        <f t="shared" si="7"/>
        <v>9</v>
      </c>
      <c r="T23" s="11" t="str">
        <f t="shared" si="8"/>
        <v>2</v>
      </c>
      <c r="U23" s="11" t="str">
        <f t="shared" si="9"/>
        <v>2</v>
      </c>
      <c r="V23" s="11" t="str">
        <f t="shared" si="10"/>
        <v>0</v>
      </c>
      <c r="W23" s="11" t="str">
        <f t="shared" si="11"/>
        <v>2</v>
      </c>
      <c r="X23" s="11" t="str">
        <f t="shared" si="12"/>
        <v>2</v>
      </c>
    </row>
    <row r="24" spans="1:24" x14ac:dyDescent="0.35">
      <c r="A24" s="5">
        <v>13884</v>
      </c>
      <c r="B24" s="5">
        <v>1120922023</v>
      </c>
      <c r="C24" s="5">
        <v>726302</v>
      </c>
      <c r="D24" s="5">
        <v>3764450</v>
      </c>
      <c r="E24" s="6" t="s">
        <v>70</v>
      </c>
      <c r="F24" s="6" t="s">
        <v>70</v>
      </c>
      <c r="G24" s="6" t="s">
        <v>70</v>
      </c>
      <c r="H24" s="7"/>
      <c r="I24" s="34" t="str">
        <f t="shared" si="0"/>
        <v>120922</v>
      </c>
      <c r="J24" s="31" t="str">
        <f t="shared" si="1"/>
        <v>01</v>
      </c>
      <c r="N24" s="12">
        <f t="shared" si="2"/>
        <v>0</v>
      </c>
      <c r="O24" s="11" t="str">
        <f t="shared" si="3"/>
        <v>1</v>
      </c>
      <c r="P24" s="11" t="str">
        <f t="shared" si="4"/>
        <v>1</v>
      </c>
      <c r="Q24" s="11" t="str">
        <f t="shared" si="5"/>
        <v>2</v>
      </c>
      <c r="R24" s="11" t="str">
        <f t="shared" si="6"/>
        <v>0</v>
      </c>
      <c r="S24" s="11" t="str">
        <f t="shared" si="7"/>
        <v>9</v>
      </c>
      <c r="T24" s="11" t="str">
        <f t="shared" si="8"/>
        <v>2</v>
      </c>
      <c r="U24" s="11" t="str">
        <f t="shared" si="9"/>
        <v>2</v>
      </c>
      <c r="V24" s="11" t="str">
        <f t="shared" si="10"/>
        <v>0</v>
      </c>
      <c r="W24" s="11" t="str">
        <f t="shared" si="11"/>
        <v>2</v>
      </c>
      <c r="X24" s="11" t="str">
        <f t="shared" si="12"/>
        <v>3</v>
      </c>
    </row>
    <row r="25" spans="1:24" x14ac:dyDescent="0.35">
      <c r="A25" s="5">
        <v>13885</v>
      </c>
      <c r="B25" s="5">
        <v>1120922024</v>
      </c>
      <c r="C25" s="5">
        <v>726302</v>
      </c>
      <c r="D25" s="5">
        <v>3764450</v>
      </c>
      <c r="E25" s="6" t="s">
        <v>70</v>
      </c>
      <c r="F25" s="6" t="s">
        <v>70</v>
      </c>
      <c r="G25" s="6" t="s">
        <v>70</v>
      </c>
      <c r="H25" s="7"/>
      <c r="I25" s="34" t="str">
        <f t="shared" si="0"/>
        <v>120922</v>
      </c>
      <c r="J25" s="31" t="str">
        <f t="shared" si="1"/>
        <v>01</v>
      </c>
      <c r="N25" s="12">
        <f t="shared" si="2"/>
        <v>0</v>
      </c>
      <c r="O25" s="11" t="str">
        <f t="shared" si="3"/>
        <v>1</v>
      </c>
      <c r="P25" s="11" t="str">
        <f t="shared" si="4"/>
        <v>1</v>
      </c>
      <c r="Q25" s="11" t="str">
        <f t="shared" si="5"/>
        <v>2</v>
      </c>
      <c r="R25" s="11" t="str">
        <f t="shared" si="6"/>
        <v>0</v>
      </c>
      <c r="S25" s="11" t="str">
        <f t="shared" si="7"/>
        <v>9</v>
      </c>
      <c r="T25" s="11" t="str">
        <f t="shared" si="8"/>
        <v>2</v>
      </c>
      <c r="U25" s="11" t="str">
        <f t="shared" si="9"/>
        <v>2</v>
      </c>
      <c r="V25" s="11" t="str">
        <f t="shared" si="10"/>
        <v>0</v>
      </c>
      <c r="W25" s="11" t="str">
        <f t="shared" si="11"/>
        <v>2</v>
      </c>
      <c r="X25" s="11" t="str">
        <f t="shared" si="12"/>
        <v>4</v>
      </c>
    </row>
    <row r="26" spans="1:24" x14ac:dyDescent="0.35">
      <c r="A26" s="5">
        <v>13886</v>
      </c>
      <c r="B26" s="5">
        <v>1120922025</v>
      </c>
      <c r="C26" s="5">
        <v>726302</v>
      </c>
      <c r="D26" s="5">
        <v>3764450</v>
      </c>
      <c r="E26" s="6" t="s">
        <v>70</v>
      </c>
      <c r="F26" s="6" t="s">
        <v>70</v>
      </c>
      <c r="G26" s="6" t="s">
        <v>70</v>
      </c>
      <c r="H26" s="7"/>
      <c r="I26" s="34" t="str">
        <f t="shared" si="0"/>
        <v>120922</v>
      </c>
      <c r="J26" s="31" t="str">
        <f t="shared" si="1"/>
        <v>01</v>
      </c>
      <c r="N26" s="12">
        <f t="shared" si="2"/>
        <v>0</v>
      </c>
      <c r="O26" s="11" t="str">
        <f t="shared" si="3"/>
        <v>1</v>
      </c>
      <c r="P26" s="11" t="str">
        <f t="shared" si="4"/>
        <v>1</v>
      </c>
      <c r="Q26" s="11" t="str">
        <f t="shared" si="5"/>
        <v>2</v>
      </c>
      <c r="R26" s="11" t="str">
        <f t="shared" si="6"/>
        <v>0</v>
      </c>
      <c r="S26" s="11" t="str">
        <f t="shared" si="7"/>
        <v>9</v>
      </c>
      <c r="T26" s="11" t="str">
        <f t="shared" si="8"/>
        <v>2</v>
      </c>
      <c r="U26" s="11" t="str">
        <f t="shared" si="9"/>
        <v>2</v>
      </c>
      <c r="V26" s="11" t="str">
        <f t="shared" si="10"/>
        <v>0</v>
      </c>
      <c r="W26" s="11" t="str">
        <f t="shared" si="11"/>
        <v>2</v>
      </c>
      <c r="X26" s="11" t="str">
        <f t="shared" si="12"/>
        <v>5</v>
      </c>
    </row>
    <row r="27" spans="1:24" x14ac:dyDescent="0.35">
      <c r="A27" s="5">
        <v>13887</v>
      </c>
      <c r="B27" s="5">
        <v>1120922026</v>
      </c>
      <c r="C27" s="5">
        <v>726381</v>
      </c>
      <c r="D27" s="5">
        <v>3764444</v>
      </c>
      <c r="E27" s="6" t="s">
        <v>70</v>
      </c>
      <c r="F27" s="6" t="s">
        <v>70</v>
      </c>
      <c r="G27" s="6" t="s">
        <v>70</v>
      </c>
      <c r="H27" s="7"/>
      <c r="I27" s="34" t="str">
        <f t="shared" si="0"/>
        <v>120922</v>
      </c>
      <c r="J27" s="31" t="str">
        <f t="shared" si="1"/>
        <v>01</v>
      </c>
      <c r="N27" s="12">
        <f t="shared" si="2"/>
        <v>0</v>
      </c>
      <c r="O27" s="11" t="str">
        <f t="shared" si="3"/>
        <v>1</v>
      </c>
      <c r="P27" s="11" t="str">
        <f t="shared" si="4"/>
        <v>1</v>
      </c>
      <c r="Q27" s="11" t="str">
        <f t="shared" si="5"/>
        <v>2</v>
      </c>
      <c r="R27" s="11" t="str">
        <f t="shared" si="6"/>
        <v>0</v>
      </c>
      <c r="S27" s="11" t="str">
        <f t="shared" si="7"/>
        <v>9</v>
      </c>
      <c r="T27" s="11" t="str">
        <f t="shared" si="8"/>
        <v>2</v>
      </c>
      <c r="U27" s="11" t="str">
        <f t="shared" si="9"/>
        <v>2</v>
      </c>
      <c r="V27" s="11" t="str">
        <f t="shared" si="10"/>
        <v>0</v>
      </c>
      <c r="W27" s="11" t="str">
        <f t="shared" si="11"/>
        <v>2</v>
      </c>
      <c r="X27" s="11" t="str">
        <f t="shared" si="12"/>
        <v>6</v>
      </c>
    </row>
    <row r="28" spans="1:24" x14ac:dyDescent="0.35">
      <c r="A28" s="5">
        <v>13888</v>
      </c>
      <c r="B28" s="5">
        <v>1120922027</v>
      </c>
      <c r="C28" s="5">
        <v>726441</v>
      </c>
      <c r="D28" s="5">
        <v>3764436</v>
      </c>
      <c r="E28" s="6" t="s">
        <v>70</v>
      </c>
      <c r="F28" s="6" t="s">
        <v>70</v>
      </c>
      <c r="G28" s="6" t="s">
        <v>70</v>
      </c>
      <c r="H28" s="7"/>
      <c r="I28" s="34" t="str">
        <f t="shared" si="0"/>
        <v>120922</v>
      </c>
      <c r="J28" s="31" t="str">
        <f t="shared" si="1"/>
        <v>01</v>
      </c>
      <c r="N28" s="12">
        <f t="shared" si="2"/>
        <v>0</v>
      </c>
      <c r="O28" s="11" t="str">
        <f t="shared" si="3"/>
        <v>1</v>
      </c>
      <c r="P28" s="11" t="str">
        <f t="shared" si="4"/>
        <v>1</v>
      </c>
      <c r="Q28" s="11" t="str">
        <f t="shared" si="5"/>
        <v>2</v>
      </c>
      <c r="R28" s="11" t="str">
        <f t="shared" si="6"/>
        <v>0</v>
      </c>
      <c r="S28" s="11" t="str">
        <f t="shared" si="7"/>
        <v>9</v>
      </c>
      <c r="T28" s="11" t="str">
        <f t="shared" si="8"/>
        <v>2</v>
      </c>
      <c r="U28" s="11" t="str">
        <f t="shared" si="9"/>
        <v>2</v>
      </c>
      <c r="V28" s="11" t="str">
        <f t="shared" si="10"/>
        <v>0</v>
      </c>
      <c r="W28" s="11" t="str">
        <f t="shared" si="11"/>
        <v>2</v>
      </c>
      <c r="X28" s="11" t="str">
        <f t="shared" si="12"/>
        <v>7</v>
      </c>
    </row>
    <row r="29" spans="1:24" x14ac:dyDescent="0.35">
      <c r="A29" s="5">
        <v>13889</v>
      </c>
      <c r="B29" s="5">
        <v>1120922028</v>
      </c>
      <c r="C29" s="5">
        <v>726505</v>
      </c>
      <c r="D29" s="5">
        <v>3764439</v>
      </c>
      <c r="E29" s="6" t="s">
        <v>70</v>
      </c>
      <c r="F29" s="6" t="s">
        <v>70</v>
      </c>
      <c r="G29" s="6" t="s">
        <v>70</v>
      </c>
      <c r="H29" s="7"/>
      <c r="I29" s="34" t="str">
        <f t="shared" si="0"/>
        <v>120922</v>
      </c>
      <c r="J29" s="31" t="str">
        <f t="shared" si="1"/>
        <v>01</v>
      </c>
      <c r="N29" s="12">
        <f t="shared" si="2"/>
        <v>0</v>
      </c>
      <c r="O29" s="11" t="str">
        <f t="shared" si="3"/>
        <v>1</v>
      </c>
      <c r="P29" s="11" t="str">
        <f t="shared" si="4"/>
        <v>1</v>
      </c>
      <c r="Q29" s="11" t="str">
        <f t="shared" si="5"/>
        <v>2</v>
      </c>
      <c r="R29" s="11" t="str">
        <f t="shared" si="6"/>
        <v>0</v>
      </c>
      <c r="S29" s="11" t="str">
        <f t="shared" si="7"/>
        <v>9</v>
      </c>
      <c r="T29" s="11" t="str">
        <f t="shared" si="8"/>
        <v>2</v>
      </c>
      <c r="U29" s="11" t="str">
        <f t="shared" si="9"/>
        <v>2</v>
      </c>
      <c r="V29" s="11" t="str">
        <f t="shared" si="10"/>
        <v>0</v>
      </c>
      <c r="W29" s="11" t="str">
        <f t="shared" si="11"/>
        <v>2</v>
      </c>
      <c r="X29" s="11" t="str">
        <f t="shared" si="12"/>
        <v>8</v>
      </c>
    </row>
    <row r="30" spans="1:24" x14ac:dyDescent="0.35">
      <c r="A30" s="5">
        <v>13890</v>
      </c>
      <c r="B30" s="5">
        <v>1120922029</v>
      </c>
      <c r="C30" s="5">
        <v>726545</v>
      </c>
      <c r="D30" s="5">
        <v>3764438</v>
      </c>
      <c r="E30" s="6" t="s">
        <v>70</v>
      </c>
      <c r="F30" s="6" t="s">
        <v>70</v>
      </c>
      <c r="G30" s="6" t="s">
        <v>70</v>
      </c>
      <c r="H30" s="7"/>
      <c r="I30" s="34" t="str">
        <f t="shared" si="0"/>
        <v>120922</v>
      </c>
      <c r="J30" s="31" t="str">
        <f t="shared" si="1"/>
        <v>01</v>
      </c>
      <c r="N30" s="12">
        <f t="shared" si="2"/>
        <v>0</v>
      </c>
      <c r="O30" s="11" t="str">
        <f t="shared" si="3"/>
        <v>1</v>
      </c>
      <c r="P30" s="11" t="str">
        <f t="shared" si="4"/>
        <v>1</v>
      </c>
      <c r="Q30" s="11" t="str">
        <f t="shared" si="5"/>
        <v>2</v>
      </c>
      <c r="R30" s="11" t="str">
        <f t="shared" si="6"/>
        <v>0</v>
      </c>
      <c r="S30" s="11" t="str">
        <f t="shared" si="7"/>
        <v>9</v>
      </c>
      <c r="T30" s="11" t="str">
        <f t="shared" si="8"/>
        <v>2</v>
      </c>
      <c r="U30" s="11" t="str">
        <f t="shared" si="9"/>
        <v>2</v>
      </c>
      <c r="V30" s="11" t="str">
        <f t="shared" si="10"/>
        <v>0</v>
      </c>
      <c r="W30" s="11" t="str">
        <f t="shared" si="11"/>
        <v>2</v>
      </c>
      <c r="X30" s="11" t="str">
        <f t="shared" si="12"/>
        <v>9</v>
      </c>
    </row>
    <row r="31" spans="1:24" x14ac:dyDescent="0.35">
      <c r="A31" s="5">
        <v>13891</v>
      </c>
      <c r="B31" s="5">
        <v>1120922030</v>
      </c>
      <c r="C31" s="5">
        <v>726614</v>
      </c>
      <c r="D31" s="5">
        <v>3764431</v>
      </c>
      <c r="E31" s="6" t="s">
        <v>70</v>
      </c>
      <c r="F31" s="6" t="s">
        <v>70</v>
      </c>
      <c r="G31" s="6" t="s">
        <v>70</v>
      </c>
      <c r="H31" s="7"/>
      <c r="I31" s="34" t="str">
        <f t="shared" si="0"/>
        <v>120922</v>
      </c>
      <c r="J31" s="31" t="str">
        <f t="shared" si="1"/>
        <v>01</v>
      </c>
      <c r="N31" s="12">
        <f t="shared" si="2"/>
        <v>0</v>
      </c>
      <c r="O31" s="11" t="str">
        <f t="shared" si="3"/>
        <v>1</v>
      </c>
      <c r="P31" s="11" t="str">
        <f t="shared" si="4"/>
        <v>1</v>
      </c>
      <c r="Q31" s="11" t="str">
        <f t="shared" si="5"/>
        <v>2</v>
      </c>
      <c r="R31" s="11" t="str">
        <f t="shared" si="6"/>
        <v>0</v>
      </c>
      <c r="S31" s="11" t="str">
        <f t="shared" si="7"/>
        <v>9</v>
      </c>
      <c r="T31" s="11" t="str">
        <f t="shared" si="8"/>
        <v>2</v>
      </c>
      <c r="U31" s="11" t="str">
        <f t="shared" si="9"/>
        <v>2</v>
      </c>
      <c r="V31" s="11" t="str">
        <f t="shared" si="10"/>
        <v>0</v>
      </c>
      <c r="W31" s="11" t="str">
        <f t="shared" si="11"/>
        <v>3</v>
      </c>
      <c r="X31" s="11" t="str">
        <f t="shared" si="12"/>
        <v>0</v>
      </c>
    </row>
    <row r="32" spans="1:24" x14ac:dyDescent="0.35">
      <c r="A32" s="5">
        <v>13892</v>
      </c>
      <c r="B32" s="5">
        <v>1120922031</v>
      </c>
      <c r="C32" s="5">
        <v>726700</v>
      </c>
      <c r="D32" s="5">
        <v>3764434</v>
      </c>
      <c r="E32" s="6" t="s">
        <v>70</v>
      </c>
      <c r="F32" s="6" t="s">
        <v>70</v>
      </c>
      <c r="G32" s="6" t="s">
        <v>70</v>
      </c>
      <c r="H32" s="7"/>
      <c r="I32" s="34" t="str">
        <f t="shared" si="0"/>
        <v>120922</v>
      </c>
      <c r="J32" s="31" t="str">
        <f t="shared" si="1"/>
        <v>01</v>
      </c>
      <c r="N32" s="12">
        <f t="shared" si="2"/>
        <v>0</v>
      </c>
      <c r="O32" s="11" t="str">
        <f t="shared" si="3"/>
        <v>1</v>
      </c>
      <c r="P32" s="11" t="str">
        <f t="shared" si="4"/>
        <v>1</v>
      </c>
      <c r="Q32" s="11" t="str">
        <f t="shared" si="5"/>
        <v>2</v>
      </c>
      <c r="R32" s="11" t="str">
        <f t="shared" si="6"/>
        <v>0</v>
      </c>
      <c r="S32" s="11" t="str">
        <f t="shared" si="7"/>
        <v>9</v>
      </c>
      <c r="T32" s="11" t="str">
        <f t="shared" si="8"/>
        <v>2</v>
      </c>
      <c r="U32" s="11" t="str">
        <f t="shared" si="9"/>
        <v>2</v>
      </c>
      <c r="V32" s="11" t="str">
        <f t="shared" si="10"/>
        <v>0</v>
      </c>
      <c r="W32" s="11" t="str">
        <f t="shared" si="11"/>
        <v>3</v>
      </c>
      <c r="X32" s="11" t="str">
        <f t="shared" si="12"/>
        <v>1</v>
      </c>
    </row>
    <row r="33" spans="1:24" x14ac:dyDescent="0.35">
      <c r="A33" s="5">
        <v>13893</v>
      </c>
      <c r="B33" s="5">
        <v>1120922032</v>
      </c>
      <c r="C33" s="5">
        <v>726781</v>
      </c>
      <c r="D33" s="5">
        <v>3764429</v>
      </c>
      <c r="E33" s="6" t="s">
        <v>70</v>
      </c>
      <c r="F33" s="6" t="s">
        <v>70</v>
      </c>
      <c r="G33" s="6" t="s">
        <v>70</v>
      </c>
      <c r="H33" s="7"/>
      <c r="I33" s="34" t="str">
        <f t="shared" si="0"/>
        <v>120922</v>
      </c>
      <c r="J33" s="31" t="str">
        <f t="shared" si="1"/>
        <v>01</v>
      </c>
      <c r="N33" s="12">
        <f t="shared" si="2"/>
        <v>0</v>
      </c>
      <c r="O33" s="11" t="str">
        <f t="shared" si="3"/>
        <v>1</v>
      </c>
      <c r="P33" s="11" t="str">
        <f t="shared" si="4"/>
        <v>1</v>
      </c>
      <c r="Q33" s="11" t="str">
        <f t="shared" si="5"/>
        <v>2</v>
      </c>
      <c r="R33" s="11" t="str">
        <f t="shared" si="6"/>
        <v>0</v>
      </c>
      <c r="S33" s="11" t="str">
        <f t="shared" si="7"/>
        <v>9</v>
      </c>
      <c r="T33" s="11" t="str">
        <f t="shared" si="8"/>
        <v>2</v>
      </c>
      <c r="U33" s="11" t="str">
        <f t="shared" si="9"/>
        <v>2</v>
      </c>
      <c r="V33" s="11" t="str">
        <f t="shared" si="10"/>
        <v>0</v>
      </c>
      <c r="W33" s="11" t="str">
        <f t="shared" si="11"/>
        <v>3</v>
      </c>
      <c r="X33" s="11" t="str">
        <f t="shared" si="12"/>
        <v>2</v>
      </c>
    </row>
    <row r="34" spans="1:24" x14ac:dyDescent="0.35">
      <c r="A34" s="5">
        <v>13894</v>
      </c>
      <c r="B34" s="5">
        <v>1120922033</v>
      </c>
      <c r="C34" s="5">
        <v>726857</v>
      </c>
      <c r="D34" s="5">
        <v>3764422</v>
      </c>
      <c r="E34" s="6" t="s">
        <v>70</v>
      </c>
      <c r="F34" s="6" t="s">
        <v>70</v>
      </c>
      <c r="G34" s="6" t="s">
        <v>70</v>
      </c>
      <c r="H34" s="7"/>
      <c r="I34" s="34" t="str">
        <f t="shared" si="0"/>
        <v>120922</v>
      </c>
      <c r="J34" s="31" t="str">
        <f t="shared" si="1"/>
        <v>01</v>
      </c>
      <c r="N34" s="12">
        <f t="shared" si="2"/>
        <v>0</v>
      </c>
      <c r="O34" s="11" t="str">
        <f t="shared" si="3"/>
        <v>1</v>
      </c>
      <c r="P34" s="11" t="str">
        <f t="shared" si="4"/>
        <v>1</v>
      </c>
      <c r="Q34" s="11" t="str">
        <f t="shared" si="5"/>
        <v>2</v>
      </c>
      <c r="R34" s="11" t="str">
        <f t="shared" si="6"/>
        <v>0</v>
      </c>
      <c r="S34" s="11" t="str">
        <f t="shared" si="7"/>
        <v>9</v>
      </c>
      <c r="T34" s="11" t="str">
        <f t="shared" si="8"/>
        <v>2</v>
      </c>
      <c r="U34" s="11" t="str">
        <f t="shared" si="9"/>
        <v>2</v>
      </c>
      <c r="V34" s="11" t="str">
        <f t="shared" si="10"/>
        <v>0</v>
      </c>
      <c r="W34" s="11" t="str">
        <f t="shared" si="11"/>
        <v>3</v>
      </c>
      <c r="X34" s="11" t="str">
        <f t="shared" si="12"/>
        <v>3</v>
      </c>
    </row>
    <row r="35" spans="1:24" x14ac:dyDescent="0.35">
      <c r="A35" s="5">
        <v>13895</v>
      </c>
      <c r="B35" s="5">
        <v>1120922034</v>
      </c>
      <c r="C35" s="5">
        <v>726914</v>
      </c>
      <c r="D35" s="5">
        <v>3764409</v>
      </c>
      <c r="E35" s="6" t="s">
        <v>70</v>
      </c>
      <c r="F35" s="6" t="s">
        <v>70</v>
      </c>
      <c r="G35" s="6" t="s">
        <v>70</v>
      </c>
      <c r="H35" s="7"/>
      <c r="I35" s="34" t="str">
        <f t="shared" si="0"/>
        <v>120922</v>
      </c>
      <c r="J35" s="31" t="str">
        <f t="shared" si="1"/>
        <v>01</v>
      </c>
      <c r="N35" s="12">
        <f t="shared" si="2"/>
        <v>0</v>
      </c>
      <c r="O35" s="11" t="str">
        <f t="shared" si="3"/>
        <v>1</v>
      </c>
      <c r="P35" s="11" t="str">
        <f t="shared" si="4"/>
        <v>1</v>
      </c>
      <c r="Q35" s="11" t="str">
        <f t="shared" si="5"/>
        <v>2</v>
      </c>
      <c r="R35" s="11" t="str">
        <f t="shared" si="6"/>
        <v>0</v>
      </c>
      <c r="S35" s="11" t="str">
        <f t="shared" si="7"/>
        <v>9</v>
      </c>
      <c r="T35" s="11" t="str">
        <f t="shared" si="8"/>
        <v>2</v>
      </c>
      <c r="U35" s="11" t="str">
        <f t="shared" si="9"/>
        <v>2</v>
      </c>
      <c r="V35" s="11" t="str">
        <f t="shared" si="10"/>
        <v>0</v>
      </c>
      <c r="W35" s="11" t="str">
        <f t="shared" si="11"/>
        <v>3</v>
      </c>
      <c r="X35" s="11" t="str">
        <f t="shared" si="12"/>
        <v>4</v>
      </c>
    </row>
    <row r="36" spans="1:24" x14ac:dyDescent="0.35">
      <c r="A36" s="5">
        <v>13896</v>
      </c>
      <c r="B36" s="5">
        <v>1120922035</v>
      </c>
      <c r="C36" s="5">
        <v>726960</v>
      </c>
      <c r="D36" s="5">
        <v>3764409</v>
      </c>
      <c r="E36" s="6" t="s">
        <v>70</v>
      </c>
      <c r="F36" s="6" t="s">
        <v>70</v>
      </c>
      <c r="G36" s="6" t="s">
        <v>70</v>
      </c>
      <c r="H36" s="7"/>
      <c r="I36" s="34" t="str">
        <f t="shared" si="0"/>
        <v>120922</v>
      </c>
      <c r="J36" s="31" t="str">
        <f t="shared" si="1"/>
        <v>01</v>
      </c>
      <c r="N36" s="12">
        <f t="shared" si="2"/>
        <v>0</v>
      </c>
      <c r="O36" s="11" t="str">
        <f t="shared" si="3"/>
        <v>1</v>
      </c>
      <c r="P36" s="11" t="str">
        <f t="shared" si="4"/>
        <v>1</v>
      </c>
      <c r="Q36" s="11" t="str">
        <f t="shared" si="5"/>
        <v>2</v>
      </c>
      <c r="R36" s="11" t="str">
        <f t="shared" si="6"/>
        <v>0</v>
      </c>
      <c r="S36" s="11" t="str">
        <f t="shared" si="7"/>
        <v>9</v>
      </c>
      <c r="T36" s="11" t="str">
        <f t="shared" si="8"/>
        <v>2</v>
      </c>
      <c r="U36" s="11" t="str">
        <f t="shared" si="9"/>
        <v>2</v>
      </c>
      <c r="V36" s="11" t="str">
        <f t="shared" si="10"/>
        <v>0</v>
      </c>
      <c r="W36" s="11" t="str">
        <f t="shared" si="11"/>
        <v>3</v>
      </c>
      <c r="X36" s="11" t="str">
        <f t="shared" si="12"/>
        <v>5</v>
      </c>
    </row>
    <row r="37" spans="1:24" x14ac:dyDescent="0.35">
      <c r="A37" s="5">
        <v>13897</v>
      </c>
      <c r="B37" s="5">
        <v>1120922036</v>
      </c>
      <c r="C37" s="5">
        <v>727048</v>
      </c>
      <c r="D37" s="5">
        <v>3764370</v>
      </c>
      <c r="E37" s="6" t="s">
        <v>70</v>
      </c>
      <c r="F37" s="6" t="s">
        <v>70</v>
      </c>
      <c r="G37" s="6" t="s">
        <v>70</v>
      </c>
      <c r="H37" s="7"/>
      <c r="I37" s="34" t="str">
        <f t="shared" si="0"/>
        <v>120922</v>
      </c>
      <c r="J37" s="31" t="str">
        <f t="shared" si="1"/>
        <v>01</v>
      </c>
      <c r="N37" s="12">
        <f t="shared" si="2"/>
        <v>0</v>
      </c>
      <c r="O37" s="11" t="str">
        <f t="shared" si="3"/>
        <v>1</v>
      </c>
      <c r="P37" s="11" t="str">
        <f t="shared" si="4"/>
        <v>1</v>
      </c>
      <c r="Q37" s="11" t="str">
        <f t="shared" si="5"/>
        <v>2</v>
      </c>
      <c r="R37" s="11" t="str">
        <f t="shared" si="6"/>
        <v>0</v>
      </c>
      <c r="S37" s="11" t="str">
        <f t="shared" si="7"/>
        <v>9</v>
      </c>
      <c r="T37" s="11" t="str">
        <f t="shared" si="8"/>
        <v>2</v>
      </c>
      <c r="U37" s="11" t="str">
        <f t="shared" si="9"/>
        <v>2</v>
      </c>
      <c r="V37" s="11" t="str">
        <f t="shared" si="10"/>
        <v>0</v>
      </c>
      <c r="W37" s="11" t="str">
        <f t="shared" si="11"/>
        <v>3</v>
      </c>
      <c r="X37" s="11" t="str">
        <f t="shared" si="12"/>
        <v>6</v>
      </c>
    </row>
    <row r="38" spans="1:24" x14ac:dyDescent="0.35">
      <c r="A38" s="5">
        <v>13898</v>
      </c>
      <c r="B38" s="5">
        <v>1120922037</v>
      </c>
      <c r="C38" s="5">
        <v>727018</v>
      </c>
      <c r="D38" s="5">
        <v>3764314</v>
      </c>
      <c r="E38" s="6" t="s">
        <v>70</v>
      </c>
      <c r="F38" s="6" t="s">
        <v>70</v>
      </c>
      <c r="G38" s="6" t="s">
        <v>70</v>
      </c>
      <c r="H38" s="7"/>
      <c r="I38" s="34" t="str">
        <f t="shared" si="0"/>
        <v>120922</v>
      </c>
      <c r="J38" s="31" t="str">
        <f t="shared" si="1"/>
        <v>01</v>
      </c>
      <c r="N38" s="12">
        <f t="shared" si="2"/>
        <v>0</v>
      </c>
      <c r="O38" s="11" t="str">
        <f t="shared" si="3"/>
        <v>1</v>
      </c>
      <c r="P38" s="11" t="str">
        <f t="shared" si="4"/>
        <v>1</v>
      </c>
      <c r="Q38" s="11" t="str">
        <f t="shared" si="5"/>
        <v>2</v>
      </c>
      <c r="R38" s="11" t="str">
        <f t="shared" si="6"/>
        <v>0</v>
      </c>
      <c r="S38" s="11" t="str">
        <f t="shared" si="7"/>
        <v>9</v>
      </c>
      <c r="T38" s="11" t="str">
        <f t="shared" si="8"/>
        <v>2</v>
      </c>
      <c r="U38" s="11" t="str">
        <f t="shared" si="9"/>
        <v>2</v>
      </c>
      <c r="V38" s="11" t="str">
        <f t="shared" si="10"/>
        <v>0</v>
      </c>
      <c r="W38" s="11" t="str">
        <f t="shared" si="11"/>
        <v>3</v>
      </c>
      <c r="X38" s="11" t="str">
        <f t="shared" si="12"/>
        <v>7</v>
      </c>
    </row>
    <row r="39" spans="1:24" x14ac:dyDescent="0.35">
      <c r="A39" s="5">
        <v>13899</v>
      </c>
      <c r="B39" s="5">
        <v>1120922038</v>
      </c>
      <c r="C39" s="5">
        <v>726991</v>
      </c>
      <c r="D39" s="5">
        <v>3764269</v>
      </c>
      <c r="E39" s="6" t="s">
        <v>70</v>
      </c>
      <c r="F39" s="6" t="s">
        <v>70</v>
      </c>
      <c r="G39" s="6" t="s">
        <v>70</v>
      </c>
      <c r="H39" s="7"/>
      <c r="I39" s="34" t="str">
        <f t="shared" si="0"/>
        <v>120922</v>
      </c>
      <c r="J39" s="31" t="str">
        <f t="shared" si="1"/>
        <v>01</v>
      </c>
      <c r="N39" s="12">
        <f t="shared" si="2"/>
        <v>0</v>
      </c>
      <c r="O39" s="11" t="str">
        <f t="shared" si="3"/>
        <v>1</v>
      </c>
      <c r="P39" s="11" t="str">
        <f t="shared" si="4"/>
        <v>1</v>
      </c>
      <c r="Q39" s="11" t="str">
        <f t="shared" si="5"/>
        <v>2</v>
      </c>
      <c r="R39" s="11" t="str">
        <f t="shared" si="6"/>
        <v>0</v>
      </c>
      <c r="S39" s="11" t="str">
        <f t="shared" si="7"/>
        <v>9</v>
      </c>
      <c r="T39" s="11" t="str">
        <f t="shared" si="8"/>
        <v>2</v>
      </c>
      <c r="U39" s="11" t="str">
        <f t="shared" si="9"/>
        <v>2</v>
      </c>
      <c r="V39" s="11" t="str">
        <f t="shared" si="10"/>
        <v>0</v>
      </c>
      <c r="W39" s="11" t="str">
        <f t="shared" si="11"/>
        <v>3</v>
      </c>
      <c r="X39" s="11" t="str">
        <f t="shared" si="12"/>
        <v>8</v>
      </c>
    </row>
    <row r="40" spans="1:24" x14ac:dyDescent="0.35">
      <c r="A40" s="5">
        <v>13900</v>
      </c>
      <c r="B40" s="5">
        <v>1120922039</v>
      </c>
      <c r="C40" s="5">
        <v>726968</v>
      </c>
      <c r="D40" s="5">
        <v>3764218</v>
      </c>
      <c r="E40" s="6" t="s">
        <v>70</v>
      </c>
      <c r="F40" s="6" t="s">
        <v>70</v>
      </c>
      <c r="G40" s="6" t="s">
        <v>70</v>
      </c>
      <c r="H40" s="7"/>
      <c r="I40" s="34" t="str">
        <f t="shared" si="0"/>
        <v>120922</v>
      </c>
      <c r="J40" s="31" t="str">
        <f t="shared" si="1"/>
        <v>01</v>
      </c>
      <c r="N40" s="12">
        <f t="shared" si="2"/>
        <v>0</v>
      </c>
      <c r="O40" s="11" t="str">
        <f t="shared" si="3"/>
        <v>1</v>
      </c>
      <c r="P40" s="11" t="str">
        <f t="shared" si="4"/>
        <v>1</v>
      </c>
      <c r="Q40" s="11" t="str">
        <f t="shared" si="5"/>
        <v>2</v>
      </c>
      <c r="R40" s="11" t="str">
        <f t="shared" si="6"/>
        <v>0</v>
      </c>
      <c r="S40" s="11" t="str">
        <f t="shared" si="7"/>
        <v>9</v>
      </c>
      <c r="T40" s="11" t="str">
        <f t="shared" si="8"/>
        <v>2</v>
      </c>
      <c r="U40" s="11" t="str">
        <f t="shared" si="9"/>
        <v>2</v>
      </c>
      <c r="V40" s="11" t="str">
        <f t="shared" si="10"/>
        <v>0</v>
      </c>
      <c r="W40" s="11" t="str">
        <f t="shared" si="11"/>
        <v>3</v>
      </c>
      <c r="X40" s="11" t="str">
        <f t="shared" si="12"/>
        <v>9</v>
      </c>
    </row>
    <row r="41" spans="1:24" x14ac:dyDescent="0.35">
      <c r="A41" s="5">
        <v>13901</v>
      </c>
      <c r="B41" s="5">
        <v>1120922040</v>
      </c>
      <c r="C41" s="5">
        <v>726942</v>
      </c>
      <c r="D41" s="5">
        <v>3764167</v>
      </c>
      <c r="E41" s="6" t="s">
        <v>70</v>
      </c>
      <c r="F41" s="6" t="s">
        <v>70</v>
      </c>
      <c r="G41" s="6" t="s">
        <v>70</v>
      </c>
      <c r="H41" s="7"/>
      <c r="I41" s="34" t="str">
        <f t="shared" si="0"/>
        <v>120922</v>
      </c>
      <c r="J41" s="31" t="str">
        <f t="shared" si="1"/>
        <v>01</v>
      </c>
      <c r="N41" s="12">
        <f t="shared" si="2"/>
        <v>0</v>
      </c>
      <c r="O41" s="11" t="str">
        <f t="shared" si="3"/>
        <v>1</v>
      </c>
      <c r="P41" s="11" t="str">
        <f t="shared" si="4"/>
        <v>1</v>
      </c>
      <c r="Q41" s="11" t="str">
        <f t="shared" si="5"/>
        <v>2</v>
      </c>
      <c r="R41" s="11" t="str">
        <f t="shared" si="6"/>
        <v>0</v>
      </c>
      <c r="S41" s="11" t="str">
        <f t="shared" si="7"/>
        <v>9</v>
      </c>
      <c r="T41" s="11" t="str">
        <f t="shared" si="8"/>
        <v>2</v>
      </c>
      <c r="U41" s="11" t="str">
        <f t="shared" si="9"/>
        <v>2</v>
      </c>
      <c r="V41" s="11" t="str">
        <f t="shared" si="10"/>
        <v>0</v>
      </c>
      <c r="W41" s="11" t="str">
        <f t="shared" si="11"/>
        <v>4</v>
      </c>
      <c r="X41" s="11" t="str">
        <f t="shared" si="12"/>
        <v>0</v>
      </c>
    </row>
    <row r="42" spans="1:24" x14ac:dyDescent="0.35">
      <c r="A42" s="5">
        <v>13902</v>
      </c>
      <c r="B42" s="5">
        <v>1120922041</v>
      </c>
      <c r="C42" s="5">
        <v>726916</v>
      </c>
      <c r="D42" s="5">
        <v>3764112</v>
      </c>
      <c r="E42" s="6" t="s">
        <v>70</v>
      </c>
      <c r="F42" s="6" t="s">
        <v>70</v>
      </c>
      <c r="G42" s="6" t="s">
        <v>70</v>
      </c>
      <c r="H42" s="7"/>
      <c r="I42" s="34" t="str">
        <f t="shared" si="0"/>
        <v>120922</v>
      </c>
      <c r="J42" s="31" t="str">
        <f t="shared" si="1"/>
        <v>01</v>
      </c>
      <c r="N42" s="12">
        <f t="shared" si="2"/>
        <v>0</v>
      </c>
      <c r="O42" s="11" t="str">
        <f t="shared" si="3"/>
        <v>1</v>
      </c>
      <c r="P42" s="11" t="str">
        <f t="shared" si="4"/>
        <v>1</v>
      </c>
      <c r="Q42" s="11" t="str">
        <f t="shared" si="5"/>
        <v>2</v>
      </c>
      <c r="R42" s="11" t="str">
        <f t="shared" si="6"/>
        <v>0</v>
      </c>
      <c r="S42" s="11" t="str">
        <f t="shared" si="7"/>
        <v>9</v>
      </c>
      <c r="T42" s="11" t="str">
        <f t="shared" si="8"/>
        <v>2</v>
      </c>
      <c r="U42" s="11" t="str">
        <f t="shared" si="9"/>
        <v>2</v>
      </c>
      <c r="V42" s="11" t="str">
        <f t="shared" si="10"/>
        <v>0</v>
      </c>
      <c r="W42" s="11" t="str">
        <f t="shared" si="11"/>
        <v>4</v>
      </c>
      <c r="X42" s="11" t="str">
        <f t="shared" si="12"/>
        <v>1</v>
      </c>
    </row>
    <row r="43" spans="1:24" x14ac:dyDescent="0.35">
      <c r="A43" s="5">
        <v>13903</v>
      </c>
      <c r="B43" s="5">
        <v>1120922042</v>
      </c>
      <c r="C43" s="5">
        <v>726895</v>
      </c>
      <c r="D43" s="5">
        <v>3764062</v>
      </c>
      <c r="E43" s="6" t="s">
        <v>70</v>
      </c>
      <c r="F43" s="6" t="s">
        <v>70</v>
      </c>
      <c r="G43" s="6" t="s">
        <v>70</v>
      </c>
      <c r="H43" s="7"/>
      <c r="I43" s="34" t="str">
        <f t="shared" si="0"/>
        <v>120922</v>
      </c>
      <c r="J43" s="31" t="str">
        <f t="shared" si="1"/>
        <v>01</v>
      </c>
      <c r="N43" s="12">
        <f t="shared" si="2"/>
        <v>0</v>
      </c>
      <c r="O43" s="11" t="str">
        <f t="shared" si="3"/>
        <v>1</v>
      </c>
      <c r="P43" s="11" t="str">
        <f t="shared" si="4"/>
        <v>1</v>
      </c>
      <c r="Q43" s="11" t="str">
        <f t="shared" si="5"/>
        <v>2</v>
      </c>
      <c r="R43" s="11" t="str">
        <f t="shared" si="6"/>
        <v>0</v>
      </c>
      <c r="S43" s="11" t="str">
        <f t="shared" si="7"/>
        <v>9</v>
      </c>
      <c r="T43" s="11" t="str">
        <f t="shared" si="8"/>
        <v>2</v>
      </c>
      <c r="U43" s="11" t="str">
        <f t="shared" si="9"/>
        <v>2</v>
      </c>
      <c r="V43" s="11" t="str">
        <f t="shared" si="10"/>
        <v>0</v>
      </c>
      <c r="W43" s="11" t="str">
        <f t="shared" si="11"/>
        <v>4</v>
      </c>
      <c r="X43" s="11" t="str">
        <f t="shared" si="12"/>
        <v>2</v>
      </c>
    </row>
    <row r="44" spans="1:24" x14ac:dyDescent="0.35">
      <c r="A44" s="5">
        <v>13904</v>
      </c>
      <c r="B44" s="5">
        <v>1120922043</v>
      </c>
      <c r="C44" s="5">
        <v>726877</v>
      </c>
      <c r="D44" s="5">
        <v>3764021</v>
      </c>
      <c r="E44" s="6" t="s">
        <v>70</v>
      </c>
      <c r="F44" s="6" t="s">
        <v>70</v>
      </c>
      <c r="G44" s="6" t="s">
        <v>70</v>
      </c>
      <c r="H44" s="7"/>
      <c r="I44" s="34" t="str">
        <f t="shared" si="0"/>
        <v>120922</v>
      </c>
      <c r="J44" s="31" t="str">
        <f t="shared" si="1"/>
        <v>01</v>
      </c>
      <c r="N44" s="12">
        <f t="shared" si="2"/>
        <v>0</v>
      </c>
      <c r="O44" s="11" t="str">
        <f t="shared" si="3"/>
        <v>1</v>
      </c>
      <c r="P44" s="11" t="str">
        <f t="shared" si="4"/>
        <v>1</v>
      </c>
      <c r="Q44" s="11" t="str">
        <f t="shared" si="5"/>
        <v>2</v>
      </c>
      <c r="R44" s="11" t="str">
        <f t="shared" si="6"/>
        <v>0</v>
      </c>
      <c r="S44" s="11" t="str">
        <f t="shared" si="7"/>
        <v>9</v>
      </c>
      <c r="T44" s="11" t="str">
        <f t="shared" si="8"/>
        <v>2</v>
      </c>
      <c r="U44" s="11" t="str">
        <f t="shared" si="9"/>
        <v>2</v>
      </c>
      <c r="V44" s="11" t="str">
        <f t="shared" si="10"/>
        <v>0</v>
      </c>
      <c r="W44" s="11" t="str">
        <f t="shared" si="11"/>
        <v>4</v>
      </c>
      <c r="X44" s="11" t="str">
        <f t="shared" si="12"/>
        <v>3</v>
      </c>
    </row>
    <row r="45" spans="1:24" x14ac:dyDescent="0.35">
      <c r="A45" s="5">
        <v>13905</v>
      </c>
      <c r="B45" s="5">
        <v>1120922044</v>
      </c>
      <c r="C45" s="5">
        <v>726855</v>
      </c>
      <c r="D45" s="5">
        <v>3763980</v>
      </c>
      <c r="E45" s="6" t="s">
        <v>70</v>
      </c>
      <c r="F45" s="6" t="s">
        <v>70</v>
      </c>
      <c r="G45" s="6" t="s">
        <v>70</v>
      </c>
      <c r="H45" s="7"/>
      <c r="I45" s="34" t="str">
        <f t="shared" si="0"/>
        <v>120922</v>
      </c>
      <c r="J45" s="31" t="str">
        <f t="shared" si="1"/>
        <v>01</v>
      </c>
      <c r="N45" s="12">
        <f t="shared" si="2"/>
        <v>0</v>
      </c>
      <c r="O45" s="11" t="str">
        <f t="shared" si="3"/>
        <v>1</v>
      </c>
      <c r="P45" s="11" t="str">
        <f t="shared" si="4"/>
        <v>1</v>
      </c>
      <c r="Q45" s="11" t="str">
        <f t="shared" si="5"/>
        <v>2</v>
      </c>
      <c r="R45" s="11" t="str">
        <f t="shared" si="6"/>
        <v>0</v>
      </c>
      <c r="S45" s="11" t="str">
        <f t="shared" si="7"/>
        <v>9</v>
      </c>
      <c r="T45" s="11" t="str">
        <f t="shared" si="8"/>
        <v>2</v>
      </c>
      <c r="U45" s="11" t="str">
        <f t="shared" si="9"/>
        <v>2</v>
      </c>
      <c r="V45" s="11" t="str">
        <f t="shared" si="10"/>
        <v>0</v>
      </c>
      <c r="W45" s="11" t="str">
        <f t="shared" si="11"/>
        <v>4</v>
      </c>
      <c r="X45" s="11" t="str">
        <f t="shared" si="12"/>
        <v>4</v>
      </c>
    </row>
    <row r="46" spans="1:24" x14ac:dyDescent="0.35">
      <c r="A46" s="5">
        <v>13906</v>
      </c>
      <c r="B46" s="5">
        <v>1120922045</v>
      </c>
      <c r="C46" s="5">
        <v>726837</v>
      </c>
      <c r="D46" s="5">
        <v>3763948</v>
      </c>
      <c r="E46" s="6" t="s">
        <v>70</v>
      </c>
      <c r="F46" s="6" t="s">
        <v>70</v>
      </c>
      <c r="G46" s="6" t="s">
        <v>70</v>
      </c>
      <c r="H46" s="7"/>
      <c r="I46" s="34" t="str">
        <f t="shared" si="0"/>
        <v>120922</v>
      </c>
      <c r="J46" s="31" t="str">
        <f t="shared" si="1"/>
        <v>01</v>
      </c>
      <c r="N46" s="12">
        <f t="shared" si="2"/>
        <v>0</v>
      </c>
      <c r="O46" s="11" t="str">
        <f t="shared" si="3"/>
        <v>1</v>
      </c>
      <c r="P46" s="11" t="str">
        <f t="shared" si="4"/>
        <v>1</v>
      </c>
      <c r="Q46" s="11" t="str">
        <f t="shared" si="5"/>
        <v>2</v>
      </c>
      <c r="R46" s="11" t="str">
        <f t="shared" si="6"/>
        <v>0</v>
      </c>
      <c r="S46" s="11" t="str">
        <f t="shared" si="7"/>
        <v>9</v>
      </c>
      <c r="T46" s="11" t="str">
        <f t="shared" si="8"/>
        <v>2</v>
      </c>
      <c r="U46" s="11" t="str">
        <f t="shared" si="9"/>
        <v>2</v>
      </c>
      <c r="V46" s="11" t="str">
        <f t="shared" si="10"/>
        <v>0</v>
      </c>
      <c r="W46" s="11" t="str">
        <f t="shared" si="11"/>
        <v>4</v>
      </c>
      <c r="X46" s="11" t="str">
        <f t="shared" si="12"/>
        <v>5</v>
      </c>
    </row>
    <row r="47" spans="1:24" x14ac:dyDescent="0.35">
      <c r="A47" s="5">
        <v>13907</v>
      </c>
      <c r="B47" s="5">
        <v>1120922046</v>
      </c>
      <c r="C47" s="5">
        <v>726812</v>
      </c>
      <c r="D47" s="5">
        <v>3763903</v>
      </c>
      <c r="E47" s="6" t="s">
        <v>70</v>
      </c>
      <c r="F47" s="6" t="s">
        <v>70</v>
      </c>
      <c r="G47" s="6" t="s">
        <v>70</v>
      </c>
      <c r="H47" s="7"/>
      <c r="I47" s="34" t="str">
        <f t="shared" si="0"/>
        <v>120922</v>
      </c>
      <c r="J47" s="31" t="str">
        <f t="shared" si="1"/>
        <v>01</v>
      </c>
      <c r="N47" s="12">
        <f t="shared" si="2"/>
        <v>0</v>
      </c>
      <c r="O47" s="11" t="str">
        <f t="shared" si="3"/>
        <v>1</v>
      </c>
      <c r="P47" s="11" t="str">
        <f t="shared" si="4"/>
        <v>1</v>
      </c>
      <c r="Q47" s="11" t="str">
        <f t="shared" si="5"/>
        <v>2</v>
      </c>
      <c r="R47" s="11" t="str">
        <f t="shared" si="6"/>
        <v>0</v>
      </c>
      <c r="S47" s="11" t="str">
        <f t="shared" si="7"/>
        <v>9</v>
      </c>
      <c r="T47" s="11" t="str">
        <f t="shared" si="8"/>
        <v>2</v>
      </c>
      <c r="U47" s="11" t="str">
        <f t="shared" si="9"/>
        <v>2</v>
      </c>
      <c r="V47" s="11" t="str">
        <f t="shared" si="10"/>
        <v>0</v>
      </c>
      <c r="W47" s="11" t="str">
        <f t="shared" si="11"/>
        <v>4</v>
      </c>
      <c r="X47" s="11" t="str">
        <f t="shared" si="12"/>
        <v>6</v>
      </c>
    </row>
    <row r="48" spans="1:24" x14ac:dyDescent="0.35">
      <c r="A48" s="8">
        <v>13908</v>
      </c>
      <c r="B48" s="8">
        <v>1120922047</v>
      </c>
      <c r="C48" s="8">
        <v>726844</v>
      </c>
      <c r="D48" s="8">
        <v>3763884</v>
      </c>
      <c r="E48" s="6" t="s">
        <v>70</v>
      </c>
      <c r="F48" s="6" t="s">
        <v>70</v>
      </c>
      <c r="G48" s="6" t="s">
        <v>70</v>
      </c>
      <c r="H48" s="7"/>
      <c r="I48" s="34" t="str">
        <f t="shared" si="0"/>
        <v>120922</v>
      </c>
      <c r="J48" s="31" t="str">
        <f t="shared" si="1"/>
        <v>01</v>
      </c>
      <c r="N48" s="12">
        <f t="shared" si="2"/>
        <v>0</v>
      </c>
      <c r="O48" s="11" t="str">
        <f t="shared" si="3"/>
        <v>1</v>
      </c>
      <c r="P48" s="11" t="str">
        <f t="shared" si="4"/>
        <v>1</v>
      </c>
      <c r="Q48" s="11" t="str">
        <f t="shared" si="5"/>
        <v>2</v>
      </c>
      <c r="R48" s="11" t="str">
        <f t="shared" si="6"/>
        <v>0</v>
      </c>
      <c r="S48" s="11" t="str">
        <f t="shared" si="7"/>
        <v>9</v>
      </c>
      <c r="T48" s="11" t="str">
        <f t="shared" si="8"/>
        <v>2</v>
      </c>
      <c r="U48" s="11" t="str">
        <f t="shared" si="9"/>
        <v>2</v>
      </c>
      <c r="V48" s="11" t="str">
        <f t="shared" si="10"/>
        <v>0</v>
      </c>
      <c r="W48" s="11" t="str">
        <f t="shared" si="11"/>
        <v>4</v>
      </c>
      <c r="X48" s="11" t="str">
        <f t="shared" si="12"/>
        <v>7</v>
      </c>
    </row>
    <row r="49" spans="1:24" x14ac:dyDescent="0.35">
      <c r="A49" s="8">
        <v>13909</v>
      </c>
      <c r="B49" s="8">
        <v>1130922048</v>
      </c>
      <c r="C49" s="8">
        <v>726636</v>
      </c>
      <c r="D49" s="8">
        <v>3764484</v>
      </c>
      <c r="E49" s="22" t="s">
        <v>70</v>
      </c>
      <c r="F49" s="22" t="s">
        <v>70</v>
      </c>
      <c r="G49" s="22" t="s">
        <v>70</v>
      </c>
      <c r="H49" s="23"/>
      <c r="I49" s="34" t="str">
        <f t="shared" si="0"/>
        <v>130922</v>
      </c>
      <c r="J49" s="31" t="str">
        <f t="shared" si="1"/>
        <v>01</v>
      </c>
      <c r="K49" s="19"/>
      <c r="L49" s="19"/>
      <c r="M49" s="19"/>
      <c r="N49" s="24">
        <f t="shared" si="2"/>
        <v>0</v>
      </c>
      <c r="O49" s="25" t="str">
        <f t="shared" si="3"/>
        <v>1</v>
      </c>
      <c r="P49" s="25" t="str">
        <f t="shared" si="4"/>
        <v>1</v>
      </c>
      <c r="Q49" s="25" t="str">
        <f t="shared" si="5"/>
        <v>3</v>
      </c>
      <c r="R49" s="25" t="str">
        <f t="shared" si="6"/>
        <v>0</v>
      </c>
      <c r="S49" s="25" t="str">
        <f t="shared" si="7"/>
        <v>9</v>
      </c>
      <c r="T49" s="25" t="str">
        <f t="shared" si="8"/>
        <v>2</v>
      </c>
      <c r="U49" s="25" t="str">
        <f t="shared" si="9"/>
        <v>2</v>
      </c>
      <c r="V49" s="25" t="str">
        <f t="shared" si="10"/>
        <v>0</v>
      </c>
      <c r="W49" s="25" t="str">
        <f t="shared" si="11"/>
        <v>4</v>
      </c>
      <c r="X49" s="25" t="str">
        <f t="shared" si="12"/>
        <v>8</v>
      </c>
    </row>
    <row r="50" spans="1:24" x14ac:dyDescent="0.35">
      <c r="A50" s="5">
        <v>13910</v>
      </c>
      <c r="B50" s="5">
        <v>1130922049</v>
      </c>
      <c r="C50" s="5">
        <v>726643</v>
      </c>
      <c r="D50" s="5">
        <v>3764518</v>
      </c>
      <c r="E50" s="6" t="s">
        <v>70</v>
      </c>
      <c r="F50" s="6" t="s">
        <v>70</v>
      </c>
      <c r="G50" s="6" t="s">
        <v>70</v>
      </c>
      <c r="H50" s="7"/>
      <c r="I50" s="34" t="str">
        <f t="shared" si="0"/>
        <v>130922</v>
      </c>
      <c r="J50" s="31" t="str">
        <f t="shared" si="1"/>
        <v>01</v>
      </c>
      <c r="N50" s="12">
        <f t="shared" si="2"/>
        <v>0</v>
      </c>
      <c r="O50" s="11" t="str">
        <f t="shared" si="3"/>
        <v>1</v>
      </c>
      <c r="P50" s="11" t="str">
        <f t="shared" si="4"/>
        <v>1</v>
      </c>
      <c r="Q50" s="11" t="str">
        <f t="shared" si="5"/>
        <v>3</v>
      </c>
      <c r="R50" s="11" t="str">
        <f t="shared" si="6"/>
        <v>0</v>
      </c>
      <c r="S50" s="11" t="str">
        <f t="shared" si="7"/>
        <v>9</v>
      </c>
      <c r="T50" s="11" t="str">
        <f t="shared" si="8"/>
        <v>2</v>
      </c>
      <c r="U50" s="11" t="str">
        <f t="shared" si="9"/>
        <v>2</v>
      </c>
      <c r="V50" s="11" t="str">
        <f t="shared" si="10"/>
        <v>0</v>
      </c>
      <c r="W50" s="11" t="str">
        <f t="shared" si="11"/>
        <v>4</v>
      </c>
      <c r="X50" s="11" t="str">
        <f t="shared" si="12"/>
        <v>9</v>
      </c>
    </row>
    <row r="51" spans="1:24" x14ac:dyDescent="0.35">
      <c r="A51" s="5">
        <v>13911</v>
      </c>
      <c r="B51" s="5">
        <v>1130922050</v>
      </c>
      <c r="C51" s="5">
        <v>726645</v>
      </c>
      <c r="D51" s="5">
        <v>3764517</v>
      </c>
      <c r="E51" s="6" t="s">
        <v>70</v>
      </c>
      <c r="F51" s="6" t="s">
        <v>70</v>
      </c>
      <c r="G51" s="6" t="s">
        <v>70</v>
      </c>
      <c r="H51" s="7"/>
      <c r="I51" s="34" t="str">
        <f t="shared" si="0"/>
        <v>130922</v>
      </c>
      <c r="J51" s="31" t="str">
        <f t="shared" si="1"/>
        <v>01</v>
      </c>
      <c r="N51" s="12">
        <f t="shared" si="2"/>
        <v>0</v>
      </c>
      <c r="O51" s="11" t="str">
        <f t="shared" si="3"/>
        <v>1</v>
      </c>
      <c r="P51" s="11" t="str">
        <f t="shared" si="4"/>
        <v>1</v>
      </c>
      <c r="Q51" s="11" t="str">
        <f t="shared" si="5"/>
        <v>3</v>
      </c>
      <c r="R51" s="11" t="str">
        <f t="shared" si="6"/>
        <v>0</v>
      </c>
      <c r="S51" s="11" t="str">
        <f t="shared" si="7"/>
        <v>9</v>
      </c>
      <c r="T51" s="11" t="str">
        <f t="shared" si="8"/>
        <v>2</v>
      </c>
      <c r="U51" s="11" t="str">
        <f t="shared" si="9"/>
        <v>2</v>
      </c>
      <c r="V51" s="11" t="str">
        <f t="shared" si="10"/>
        <v>0</v>
      </c>
      <c r="W51" s="11" t="str">
        <f t="shared" si="11"/>
        <v>5</v>
      </c>
      <c r="X51" s="11" t="str">
        <f t="shared" si="12"/>
        <v>0</v>
      </c>
    </row>
    <row r="52" spans="1:24" x14ac:dyDescent="0.35">
      <c r="A52" s="5">
        <v>13912</v>
      </c>
      <c r="B52" s="5">
        <v>1130922051</v>
      </c>
      <c r="C52" s="5">
        <v>726646</v>
      </c>
      <c r="D52" s="5">
        <v>3764518</v>
      </c>
      <c r="E52" s="6" t="s">
        <v>70</v>
      </c>
      <c r="F52" s="6" t="s">
        <v>70</v>
      </c>
      <c r="G52" s="6" t="s">
        <v>70</v>
      </c>
      <c r="H52" s="7"/>
      <c r="I52" s="34" t="str">
        <f t="shared" si="0"/>
        <v>130922</v>
      </c>
      <c r="J52" s="31" t="str">
        <f t="shared" si="1"/>
        <v>01</v>
      </c>
      <c r="N52" s="12">
        <f t="shared" si="2"/>
        <v>0</v>
      </c>
      <c r="O52" s="11" t="str">
        <f t="shared" si="3"/>
        <v>1</v>
      </c>
      <c r="P52" s="11" t="str">
        <f t="shared" si="4"/>
        <v>1</v>
      </c>
      <c r="Q52" s="11" t="str">
        <f t="shared" si="5"/>
        <v>3</v>
      </c>
      <c r="R52" s="11" t="str">
        <f t="shared" si="6"/>
        <v>0</v>
      </c>
      <c r="S52" s="11" t="str">
        <f t="shared" si="7"/>
        <v>9</v>
      </c>
      <c r="T52" s="11" t="str">
        <f t="shared" si="8"/>
        <v>2</v>
      </c>
      <c r="U52" s="11" t="str">
        <f t="shared" si="9"/>
        <v>2</v>
      </c>
      <c r="V52" s="11" t="str">
        <f t="shared" si="10"/>
        <v>0</v>
      </c>
      <c r="W52" s="11" t="str">
        <f t="shared" si="11"/>
        <v>5</v>
      </c>
      <c r="X52" s="11" t="str">
        <f t="shared" si="12"/>
        <v>1</v>
      </c>
    </row>
    <row r="53" spans="1:24" x14ac:dyDescent="0.35">
      <c r="A53" s="5">
        <v>13913</v>
      </c>
      <c r="B53" s="5">
        <v>1130922052</v>
      </c>
      <c r="C53" s="5">
        <v>726666</v>
      </c>
      <c r="D53" s="5">
        <v>3764552</v>
      </c>
      <c r="E53" s="6" t="s">
        <v>70</v>
      </c>
      <c r="F53" s="6" t="s">
        <v>70</v>
      </c>
      <c r="G53" s="6" t="s">
        <v>70</v>
      </c>
      <c r="H53" s="7"/>
      <c r="I53" s="34" t="str">
        <f t="shared" si="0"/>
        <v>130922</v>
      </c>
      <c r="J53" s="31" t="str">
        <f t="shared" si="1"/>
        <v>01</v>
      </c>
      <c r="N53" s="12">
        <f t="shared" si="2"/>
        <v>0</v>
      </c>
      <c r="O53" s="11" t="str">
        <f t="shared" si="3"/>
        <v>1</v>
      </c>
      <c r="P53" s="11" t="str">
        <f t="shared" si="4"/>
        <v>1</v>
      </c>
      <c r="Q53" s="11" t="str">
        <f t="shared" si="5"/>
        <v>3</v>
      </c>
      <c r="R53" s="11" t="str">
        <f t="shared" si="6"/>
        <v>0</v>
      </c>
      <c r="S53" s="11" t="str">
        <f t="shared" si="7"/>
        <v>9</v>
      </c>
      <c r="T53" s="11" t="str">
        <f t="shared" si="8"/>
        <v>2</v>
      </c>
      <c r="U53" s="11" t="str">
        <f t="shared" si="9"/>
        <v>2</v>
      </c>
      <c r="V53" s="11" t="str">
        <f t="shared" si="10"/>
        <v>0</v>
      </c>
      <c r="W53" s="11" t="str">
        <f t="shared" si="11"/>
        <v>5</v>
      </c>
      <c r="X53" s="11" t="str">
        <f t="shared" si="12"/>
        <v>2</v>
      </c>
    </row>
    <row r="54" spans="1:24" x14ac:dyDescent="0.35">
      <c r="A54" s="5">
        <v>13914</v>
      </c>
      <c r="B54" s="5">
        <v>1130922053</v>
      </c>
      <c r="C54" s="5">
        <v>726667</v>
      </c>
      <c r="D54" s="5">
        <v>3764553</v>
      </c>
      <c r="E54" s="6" t="s">
        <v>70</v>
      </c>
      <c r="F54" s="6" t="s">
        <v>70</v>
      </c>
      <c r="G54" s="6" t="s">
        <v>70</v>
      </c>
      <c r="H54" s="7"/>
      <c r="I54" s="34" t="str">
        <f t="shared" si="0"/>
        <v>130922</v>
      </c>
      <c r="J54" s="31" t="str">
        <f t="shared" si="1"/>
        <v>01</v>
      </c>
      <c r="N54" s="12">
        <f t="shared" si="2"/>
        <v>0</v>
      </c>
      <c r="O54" s="11" t="str">
        <f t="shared" si="3"/>
        <v>1</v>
      </c>
      <c r="P54" s="11" t="str">
        <f t="shared" si="4"/>
        <v>1</v>
      </c>
      <c r="Q54" s="11" t="str">
        <f t="shared" si="5"/>
        <v>3</v>
      </c>
      <c r="R54" s="11" t="str">
        <f t="shared" si="6"/>
        <v>0</v>
      </c>
      <c r="S54" s="11" t="str">
        <f t="shared" si="7"/>
        <v>9</v>
      </c>
      <c r="T54" s="11" t="str">
        <f t="shared" si="8"/>
        <v>2</v>
      </c>
      <c r="U54" s="11" t="str">
        <f t="shared" si="9"/>
        <v>2</v>
      </c>
      <c r="V54" s="11" t="str">
        <f t="shared" si="10"/>
        <v>0</v>
      </c>
      <c r="W54" s="11" t="str">
        <f t="shared" si="11"/>
        <v>5</v>
      </c>
      <c r="X54" s="11" t="str">
        <f t="shared" si="12"/>
        <v>3</v>
      </c>
    </row>
    <row r="55" spans="1:24" x14ac:dyDescent="0.35">
      <c r="A55" s="5">
        <v>13915</v>
      </c>
      <c r="B55" s="5">
        <v>1130922054</v>
      </c>
      <c r="C55" s="5">
        <v>726667</v>
      </c>
      <c r="D55" s="5">
        <v>3764552</v>
      </c>
      <c r="E55" s="6" t="s">
        <v>70</v>
      </c>
      <c r="F55" s="6" t="s">
        <v>70</v>
      </c>
      <c r="G55" s="6" t="s">
        <v>70</v>
      </c>
      <c r="H55" s="7"/>
      <c r="I55" s="34" t="str">
        <f t="shared" si="0"/>
        <v>130922</v>
      </c>
      <c r="J55" s="31" t="str">
        <f t="shared" si="1"/>
        <v>01</v>
      </c>
      <c r="N55" s="12">
        <f t="shared" si="2"/>
        <v>0</v>
      </c>
      <c r="O55" s="11" t="str">
        <f t="shared" si="3"/>
        <v>1</v>
      </c>
      <c r="P55" s="11" t="str">
        <f t="shared" si="4"/>
        <v>1</v>
      </c>
      <c r="Q55" s="11" t="str">
        <f t="shared" si="5"/>
        <v>3</v>
      </c>
      <c r="R55" s="11" t="str">
        <f t="shared" si="6"/>
        <v>0</v>
      </c>
      <c r="S55" s="11" t="str">
        <f t="shared" si="7"/>
        <v>9</v>
      </c>
      <c r="T55" s="11" t="str">
        <f t="shared" si="8"/>
        <v>2</v>
      </c>
      <c r="U55" s="11" t="str">
        <f t="shared" si="9"/>
        <v>2</v>
      </c>
      <c r="V55" s="11" t="str">
        <f t="shared" si="10"/>
        <v>0</v>
      </c>
      <c r="W55" s="11" t="str">
        <f t="shared" si="11"/>
        <v>5</v>
      </c>
      <c r="X55" s="11" t="str">
        <f t="shared" si="12"/>
        <v>4</v>
      </c>
    </row>
    <row r="56" spans="1:24" x14ac:dyDescent="0.35">
      <c r="A56" s="5">
        <v>13916</v>
      </c>
      <c r="B56" s="5">
        <v>1130922055</v>
      </c>
      <c r="C56" s="5">
        <v>726668</v>
      </c>
      <c r="D56" s="5">
        <v>3764552</v>
      </c>
      <c r="E56" s="6" t="s">
        <v>70</v>
      </c>
      <c r="F56" s="6" t="s">
        <v>70</v>
      </c>
      <c r="G56" s="6" t="s">
        <v>70</v>
      </c>
      <c r="H56" s="7"/>
      <c r="I56" s="34" t="str">
        <f t="shared" si="0"/>
        <v>130922</v>
      </c>
      <c r="J56" s="31" t="str">
        <f t="shared" si="1"/>
        <v>01</v>
      </c>
      <c r="N56" s="12">
        <f t="shared" si="2"/>
        <v>0</v>
      </c>
      <c r="O56" s="11" t="str">
        <f t="shared" si="3"/>
        <v>1</v>
      </c>
      <c r="P56" s="11" t="str">
        <f t="shared" si="4"/>
        <v>1</v>
      </c>
      <c r="Q56" s="11" t="str">
        <f t="shared" si="5"/>
        <v>3</v>
      </c>
      <c r="R56" s="11" t="str">
        <f t="shared" si="6"/>
        <v>0</v>
      </c>
      <c r="S56" s="11" t="str">
        <f t="shared" si="7"/>
        <v>9</v>
      </c>
      <c r="T56" s="11" t="str">
        <f t="shared" si="8"/>
        <v>2</v>
      </c>
      <c r="U56" s="11" t="str">
        <f t="shared" si="9"/>
        <v>2</v>
      </c>
      <c r="V56" s="11" t="str">
        <f t="shared" si="10"/>
        <v>0</v>
      </c>
      <c r="W56" s="11" t="str">
        <f t="shared" si="11"/>
        <v>5</v>
      </c>
      <c r="X56" s="11" t="str">
        <f t="shared" si="12"/>
        <v>5</v>
      </c>
    </row>
    <row r="57" spans="1:24" x14ac:dyDescent="0.35">
      <c r="A57" s="5">
        <v>13917</v>
      </c>
      <c r="B57" s="5">
        <v>1130922056</v>
      </c>
      <c r="C57" s="5">
        <v>726669</v>
      </c>
      <c r="D57" s="5">
        <v>3764553</v>
      </c>
      <c r="E57" s="6" t="s">
        <v>70</v>
      </c>
      <c r="F57" s="6" t="s">
        <v>70</v>
      </c>
      <c r="G57" s="6" t="s">
        <v>70</v>
      </c>
      <c r="H57" s="7"/>
      <c r="I57" s="34" t="str">
        <f t="shared" si="0"/>
        <v>130922</v>
      </c>
      <c r="J57" s="31" t="str">
        <f t="shared" si="1"/>
        <v>01</v>
      </c>
      <c r="N57" s="12">
        <f t="shared" si="2"/>
        <v>0</v>
      </c>
      <c r="O57" s="11" t="str">
        <f t="shared" si="3"/>
        <v>1</v>
      </c>
      <c r="P57" s="11" t="str">
        <f t="shared" si="4"/>
        <v>1</v>
      </c>
      <c r="Q57" s="11" t="str">
        <f t="shared" si="5"/>
        <v>3</v>
      </c>
      <c r="R57" s="11" t="str">
        <f t="shared" si="6"/>
        <v>0</v>
      </c>
      <c r="S57" s="11" t="str">
        <f t="shared" si="7"/>
        <v>9</v>
      </c>
      <c r="T57" s="11" t="str">
        <f t="shared" si="8"/>
        <v>2</v>
      </c>
      <c r="U57" s="11" t="str">
        <f t="shared" si="9"/>
        <v>2</v>
      </c>
      <c r="V57" s="11" t="str">
        <f t="shared" si="10"/>
        <v>0</v>
      </c>
      <c r="W57" s="11" t="str">
        <f t="shared" si="11"/>
        <v>5</v>
      </c>
      <c r="X57" s="11" t="str">
        <f t="shared" si="12"/>
        <v>6</v>
      </c>
    </row>
    <row r="58" spans="1:24" x14ac:dyDescent="0.35">
      <c r="A58" s="5">
        <v>13918</v>
      </c>
      <c r="B58" s="5">
        <v>1130922057</v>
      </c>
      <c r="C58" s="5">
        <v>726868</v>
      </c>
      <c r="D58" s="5">
        <v>3764462</v>
      </c>
      <c r="E58" s="6" t="s">
        <v>70</v>
      </c>
      <c r="F58" s="6" t="s">
        <v>70</v>
      </c>
      <c r="G58" s="6" t="s">
        <v>70</v>
      </c>
      <c r="H58" s="7"/>
      <c r="I58" s="34" t="str">
        <f t="shared" si="0"/>
        <v>130922</v>
      </c>
      <c r="J58" s="31" t="str">
        <f t="shared" si="1"/>
        <v>01</v>
      </c>
      <c r="N58" s="12">
        <f t="shared" si="2"/>
        <v>0</v>
      </c>
      <c r="O58" s="11" t="str">
        <f t="shared" si="3"/>
        <v>1</v>
      </c>
      <c r="P58" s="11" t="str">
        <f t="shared" si="4"/>
        <v>1</v>
      </c>
      <c r="Q58" s="11" t="str">
        <f t="shared" si="5"/>
        <v>3</v>
      </c>
      <c r="R58" s="11" t="str">
        <f t="shared" si="6"/>
        <v>0</v>
      </c>
      <c r="S58" s="11" t="str">
        <f t="shared" si="7"/>
        <v>9</v>
      </c>
      <c r="T58" s="11" t="str">
        <f t="shared" si="8"/>
        <v>2</v>
      </c>
      <c r="U58" s="11" t="str">
        <f t="shared" si="9"/>
        <v>2</v>
      </c>
      <c r="V58" s="11" t="str">
        <f t="shared" si="10"/>
        <v>0</v>
      </c>
      <c r="W58" s="11" t="str">
        <f t="shared" si="11"/>
        <v>5</v>
      </c>
      <c r="X58" s="11" t="str">
        <f t="shared" si="12"/>
        <v>7</v>
      </c>
    </row>
    <row r="59" spans="1:24" x14ac:dyDescent="0.35">
      <c r="A59" s="5">
        <v>13919</v>
      </c>
      <c r="B59" s="5">
        <v>1130922058</v>
      </c>
      <c r="C59" s="5">
        <v>726869</v>
      </c>
      <c r="D59" s="5">
        <v>3764462</v>
      </c>
      <c r="E59" s="6" t="s">
        <v>70</v>
      </c>
      <c r="F59" s="6" t="s">
        <v>70</v>
      </c>
      <c r="G59" s="6" t="s">
        <v>70</v>
      </c>
      <c r="H59" s="7"/>
      <c r="I59" s="34" t="str">
        <f t="shared" si="0"/>
        <v>130922</v>
      </c>
      <c r="J59" s="31" t="str">
        <f t="shared" si="1"/>
        <v>01</v>
      </c>
      <c r="N59" s="12">
        <f t="shared" si="2"/>
        <v>0</v>
      </c>
      <c r="O59" s="11" t="str">
        <f t="shared" si="3"/>
        <v>1</v>
      </c>
      <c r="P59" s="11" t="str">
        <f t="shared" si="4"/>
        <v>1</v>
      </c>
      <c r="Q59" s="11" t="str">
        <f t="shared" si="5"/>
        <v>3</v>
      </c>
      <c r="R59" s="11" t="str">
        <f t="shared" si="6"/>
        <v>0</v>
      </c>
      <c r="S59" s="11" t="str">
        <f t="shared" si="7"/>
        <v>9</v>
      </c>
      <c r="T59" s="11" t="str">
        <f t="shared" si="8"/>
        <v>2</v>
      </c>
      <c r="U59" s="11" t="str">
        <f t="shared" si="9"/>
        <v>2</v>
      </c>
      <c r="V59" s="11" t="str">
        <f t="shared" si="10"/>
        <v>0</v>
      </c>
      <c r="W59" s="11" t="str">
        <f t="shared" si="11"/>
        <v>5</v>
      </c>
      <c r="X59" s="11" t="str">
        <f t="shared" si="12"/>
        <v>8</v>
      </c>
    </row>
    <row r="60" spans="1:24" x14ac:dyDescent="0.35">
      <c r="A60" s="5">
        <v>13920</v>
      </c>
      <c r="B60" s="5">
        <v>1130922059</v>
      </c>
      <c r="C60" s="5">
        <v>726869</v>
      </c>
      <c r="D60" s="5">
        <v>3764462</v>
      </c>
      <c r="E60" s="6" t="s">
        <v>70</v>
      </c>
      <c r="F60" s="6" t="s">
        <v>70</v>
      </c>
      <c r="G60" s="6" t="s">
        <v>70</v>
      </c>
      <c r="H60" s="7"/>
      <c r="I60" s="34" t="str">
        <f t="shared" si="0"/>
        <v>130922</v>
      </c>
      <c r="J60" s="31" t="str">
        <f t="shared" si="1"/>
        <v>01</v>
      </c>
      <c r="N60" s="12">
        <f t="shared" si="2"/>
        <v>0</v>
      </c>
      <c r="O60" s="11" t="str">
        <f t="shared" si="3"/>
        <v>1</v>
      </c>
      <c r="P60" s="11" t="str">
        <f t="shared" si="4"/>
        <v>1</v>
      </c>
      <c r="Q60" s="11" t="str">
        <f t="shared" si="5"/>
        <v>3</v>
      </c>
      <c r="R60" s="11" t="str">
        <f t="shared" si="6"/>
        <v>0</v>
      </c>
      <c r="S60" s="11" t="str">
        <f t="shared" si="7"/>
        <v>9</v>
      </c>
      <c r="T60" s="11" t="str">
        <f t="shared" si="8"/>
        <v>2</v>
      </c>
      <c r="U60" s="11" t="str">
        <f t="shared" si="9"/>
        <v>2</v>
      </c>
      <c r="V60" s="11" t="str">
        <f t="shared" si="10"/>
        <v>0</v>
      </c>
      <c r="W60" s="11" t="str">
        <f t="shared" si="11"/>
        <v>5</v>
      </c>
      <c r="X60" s="11" t="str">
        <f t="shared" si="12"/>
        <v>9</v>
      </c>
    </row>
    <row r="61" spans="1:24" x14ac:dyDescent="0.35">
      <c r="A61" s="5">
        <v>13921</v>
      </c>
      <c r="B61" s="5">
        <v>1130922060</v>
      </c>
      <c r="C61" s="5">
        <v>726959</v>
      </c>
      <c r="D61" s="5">
        <v>3764105</v>
      </c>
      <c r="E61" s="6" t="s">
        <v>70</v>
      </c>
      <c r="F61" s="6" t="s">
        <v>70</v>
      </c>
      <c r="G61" s="6" t="s">
        <v>70</v>
      </c>
      <c r="H61" s="7"/>
      <c r="I61" s="34" t="str">
        <f t="shared" si="0"/>
        <v>130922</v>
      </c>
      <c r="J61" s="31" t="str">
        <f t="shared" si="1"/>
        <v>01</v>
      </c>
      <c r="N61" s="12">
        <f t="shared" si="2"/>
        <v>0</v>
      </c>
      <c r="O61" s="11" t="str">
        <f t="shared" si="3"/>
        <v>1</v>
      </c>
      <c r="P61" s="11" t="str">
        <f t="shared" si="4"/>
        <v>1</v>
      </c>
      <c r="Q61" s="11" t="str">
        <f t="shared" si="5"/>
        <v>3</v>
      </c>
      <c r="R61" s="11" t="str">
        <f t="shared" si="6"/>
        <v>0</v>
      </c>
      <c r="S61" s="11" t="str">
        <f t="shared" si="7"/>
        <v>9</v>
      </c>
      <c r="T61" s="11" t="str">
        <f t="shared" si="8"/>
        <v>2</v>
      </c>
      <c r="U61" s="11" t="str">
        <f t="shared" si="9"/>
        <v>2</v>
      </c>
      <c r="V61" s="11" t="str">
        <f t="shared" si="10"/>
        <v>0</v>
      </c>
      <c r="W61" s="11" t="str">
        <f t="shared" si="11"/>
        <v>6</v>
      </c>
      <c r="X61" s="11" t="str">
        <f t="shared" si="12"/>
        <v>0</v>
      </c>
    </row>
    <row r="62" spans="1:24" x14ac:dyDescent="0.35">
      <c r="A62" s="5">
        <v>13922</v>
      </c>
      <c r="B62" s="5">
        <v>1130922061</v>
      </c>
      <c r="C62" s="5">
        <v>726987</v>
      </c>
      <c r="D62" s="5">
        <v>3764104</v>
      </c>
      <c r="E62" s="6" t="s">
        <v>70</v>
      </c>
      <c r="F62" s="6" t="s">
        <v>70</v>
      </c>
      <c r="G62" s="6" t="s">
        <v>70</v>
      </c>
      <c r="H62" s="7"/>
      <c r="I62" s="34" t="str">
        <f t="shared" si="0"/>
        <v>130922</v>
      </c>
      <c r="J62" s="31" t="str">
        <f t="shared" si="1"/>
        <v>01</v>
      </c>
      <c r="N62" s="12">
        <f t="shared" si="2"/>
        <v>0</v>
      </c>
      <c r="O62" s="11" t="str">
        <f t="shared" si="3"/>
        <v>1</v>
      </c>
      <c r="P62" s="11" t="str">
        <f t="shared" si="4"/>
        <v>1</v>
      </c>
      <c r="Q62" s="11" t="str">
        <f t="shared" si="5"/>
        <v>3</v>
      </c>
      <c r="R62" s="11" t="str">
        <f t="shared" si="6"/>
        <v>0</v>
      </c>
      <c r="S62" s="11" t="str">
        <f t="shared" si="7"/>
        <v>9</v>
      </c>
      <c r="T62" s="11" t="str">
        <f t="shared" si="8"/>
        <v>2</v>
      </c>
      <c r="U62" s="11" t="str">
        <f t="shared" si="9"/>
        <v>2</v>
      </c>
      <c r="V62" s="11" t="str">
        <f t="shared" si="10"/>
        <v>0</v>
      </c>
      <c r="W62" s="11" t="str">
        <f t="shared" si="11"/>
        <v>6</v>
      </c>
      <c r="X62" s="11" t="str">
        <f t="shared" si="12"/>
        <v>1</v>
      </c>
    </row>
    <row r="63" spans="1:24" x14ac:dyDescent="0.35">
      <c r="A63" s="5">
        <v>13923</v>
      </c>
      <c r="B63" s="5">
        <v>1130922062</v>
      </c>
      <c r="C63" s="5">
        <v>727025</v>
      </c>
      <c r="D63" s="5">
        <v>3764097</v>
      </c>
      <c r="E63" s="6" t="s">
        <v>70</v>
      </c>
      <c r="F63" s="6" t="s">
        <v>70</v>
      </c>
      <c r="G63" s="6" t="s">
        <v>70</v>
      </c>
      <c r="H63" s="7"/>
      <c r="I63" s="34" t="str">
        <f t="shared" si="0"/>
        <v>130922</v>
      </c>
      <c r="J63" s="31" t="str">
        <f t="shared" si="1"/>
        <v>01</v>
      </c>
      <c r="N63" s="12">
        <f t="shared" si="2"/>
        <v>0</v>
      </c>
      <c r="O63" s="11" t="str">
        <f t="shared" si="3"/>
        <v>1</v>
      </c>
      <c r="P63" s="11" t="str">
        <f t="shared" si="4"/>
        <v>1</v>
      </c>
      <c r="Q63" s="11" t="str">
        <f t="shared" si="5"/>
        <v>3</v>
      </c>
      <c r="R63" s="11" t="str">
        <f t="shared" si="6"/>
        <v>0</v>
      </c>
      <c r="S63" s="11" t="str">
        <f t="shared" si="7"/>
        <v>9</v>
      </c>
      <c r="T63" s="11" t="str">
        <f t="shared" si="8"/>
        <v>2</v>
      </c>
      <c r="U63" s="11" t="str">
        <f t="shared" si="9"/>
        <v>2</v>
      </c>
      <c r="V63" s="11" t="str">
        <f t="shared" si="10"/>
        <v>0</v>
      </c>
      <c r="W63" s="11" t="str">
        <f t="shared" si="11"/>
        <v>6</v>
      </c>
      <c r="X63" s="11" t="str">
        <f t="shared" si="12"/>
        <v>2</v>
      </c>
    </row>
    <row r="64" spans="1:24" x14ac:dyDescent="0.35">
      <c r="A64" s="5">
        <v>13924</v>
      </c>
      <c r="B64" s="5">
        <v>1130922063</v>
      </c>
      <c r="C64" s="5">
        <v>727025</v>
      </c>
      <c r="D64" s="5">
        <v>3764095</v>
      </c>
      <c r="E64" s="6" t="s">
        <v>70</v>
      </c>
      <c r="F64" s="6" t="s">
        <v>70</v>
      </c>
      <c r="G64" s="6" t="s">
        <v>70</v>
      </c>
      <c r="H64" s="7"/>
      <c r="I64" s="34" t="str">
        <f t="shared" si="0"/>
        <v>130922</v>
      </c>
      <c r="J64" s="31" t="str">
        <f t="shared" si="1"/>
        <v>01</v>
      </c>
      <c r="N64" s="12">
        <f t="shared" si="2"/>
        <v>0</v>
      </c>
      <c r="O64" s="11" t="str">
        <f t="shared" si="3"/>
        <v>1</v>
      </c>
      <c r="P64" s="11" t="str">
        <f t="shared" si="4"/>
        <v>1</v>
      </c>
      <c r="Q64" s="11" t="str">
        <f t="shared" si="5"/>
        <v>3</v>
      </c>
      <c r="R64" s="11" t="str">
        <f t="shared" si="6"/>
        <v>0</v>
      </c>
      <c r="S64" s="11" t="str">
        <f t="shared" si="7"/>
        <v>9</v>
      </c>
      <c r="T64" s="11" t="str">
        <f t="shared" si="8"/>
        <v>2</v>
      </c>
      <c r="U64" s="11" t="str">
        <f t="shared" si="9"/>
        <v>2</v>
      </c>
      <c r="V64" s="11" t="str">
        <f t="shared" si="10"/>
        <v>0</v>
      </c>
      <c r="W64" s="11" t="str">
        <f t="shared" si="11"/>
        <v>6</v>
      </c>
      <c r="X64" s="11" t="str">
        <f t="shared" si="12"/>
        <v>3</v>
      </c>
    </row>
    <row r="65" spans="1:24" x14ac:dyDescent="0.35">
      <c r="A65" s="5">
        <v>13925</v>
      </c>
      <c r="B65" s="5">
        <v>1130922064</v>
      </c>
      <c r="C65" s="5">
        <v>727025</v>
      </c>
      <c r="D65" s="5">
        <v>3764094</v>
      </c>
      <c r="E65" s="6" t="s">
        <v>70</v>
      </c>
      <c r="F65" s="6" t="s">
        <v>70</v>
      </c>
      <c r="G65" s="6" t="s">
        <v>70</v>
      </c>
      <c r="H65" s="7"/>
      <c r="I65" s="34" t="str">
        <f t="shared" si="0"/>
        <v>130922</v>
      </c>
      <c r="J65" s="31" t="str">
        <f t="shared" si="1"/>
        <v>01</v>
      </c>
      <c r="N65" s="12">
        <f t="shared" si="2"/>
        <v>0</v>
      </c>
      <c r="O65" s="11" t="str">
        <f t="shared" si="3"/>
        <v>1</v>
      </c>
      <c r="P65" s="11" t="str">
        <f t="shared" si="4"/>
        <v>1</v>
      </c>
      <c r="Q65" s="11" t="str">
        <f t="shared" si="5"/>
        <v>3</v>
      </c>
      <c r="R65" s="11" t="str">
        <f t="shared" si="6"/>
        <v>0</v>
      </c>
      <c r="S65" s="11" t="str">
        <f t="shared" si="7"/>
        <v>9</v>
      </c>
      <c r="T65" s="11" t="str">
        <f t="shared" si="8"/>
        <v>2</v>
      </c>
      <c r="U65" s="11" t="str">
        <f t="shared" si="9"/>
        <v>2</v>
      </c>
      <c r="V65" s="11" t="str">
        <f t="shared" si="10"/>
        <v>0</v>
      </c>
      <c r="W65" s="11" t="str">
        <f t="shared" si="11"/>
        <v>6</v>
      </c>
      <c r="X65" s="11" t="str">
        <f t="shared" si="12"/>
        <v>4</v>
      </c>
    </row>
    <row r="66" spans="1:24" x14ac:dyDescent="0.35">
      <c r="A66" s="5">
        <v>13926</v>
      </c>
      <c r="B66" s="5">
        <v>1130922065</v>
      </c>
      <c r="C66" s="5">
        <v>727028</v>
      </c>
      <c r="D66" s="5">
        <v>3764186</v>
      </c>
      <c r="E66" s="6" t="s">
        <v>70</v>
      </c>
      <c r="F66" s="6" t="s">
        <v>70</v>
      </c>
      <c r="G66" s="6" t="s">
        <v>70</v>
      </c>
      <c r="H66" s="7"/>
      <c r="I66" s="34" t="str">
        <f t="shared" si="0"/>
        <v>130922</v>
      </c>
      <c r="J66" s="31" t="str">
        <f t="shared" si="1"/>
        <v>01</v>
      </c>
      <c r="N66" s="12">
        <f t="shared" si="2"/>
        <v>0</v>
      </c>
      <c r="O66" s="11" t="str">
        <f t="shared" si="3"/>
        <v>1</v>
      </c>
      <c r="P66" s="11" t="str">
        <f t="shared" si="4"/>
        <v>1</v>
      </c>
      <c r="Q66" s="11" t="str">
        <f t="shared" si="5"/>
        <v>3</v>
      </c>
      <c r="R66" s="11" t="str">
        <f t="shared" si="6"/>
        <v>0</v>
      </c>
      <c r="S66" s="11" t="str">
        <f t="shared" si="7"/>
        <v>9</v>
      </c>
      <c r="T66" s="11" t="str">
        <f t="shared" si="8"/>
        <v>2</v>
      </c>
      <c r="U66" s="11" t="str">
        <f t="shared" si="9"/>
        <v>2</v>
      </c>
      <c r="V66" s="11" t="str">
        <f t="shared" si="10"/>
        <v>0</v>
      </c>
      <c r="W66" s="11" t="str">
        <f t="shared" si="11"/>
        <v>6</v>
      </c>
      <c r="X66" s="11" t="str">
        <f t="shared" si="12"/>
        <v>5</v>
      </c>
    </row>
    <row r="67" spans="1:24" x14ac:dyDescent="0.35">
      <c r="A67" s="5">
        <v>13927</v>
      </c>
      <c r="B67" s="5">
        <v>1130922066</v>
      </c>
      <c r="C67" s="5">
        <v>727045</v>
      </c>
      <c r="D67" s="5">
        <v>3764222</v>
      </c>
      <c r="E67" s="6" t="s">
        <v>70</v>
      </c>
      <c r="F67" s="6" t="s">
        <v>70</v>
      </c>
      <c r="G67" s="6" t="s">
        <v>70</v>
      </c>
      <c r="H67" s="7"/>
      <c r="I67" s="34" t="str">
        <f t="shared" ref="I67:I130" si="13">MID(B67,IF(LEN(B67)=10,2,3),6)</f>
        <v>130922</v>
      </c>
      <c r="J67" s="31" t="str">
        <f t="shared" ref="J67:J130" si="14">TEXT(MID(B67,1,IF(LEN(B67)=10,1,2)),"00")</f>
        <v>01</v>
      </c>
      <c r="N67" s="12">
        <f t="shared" ref="N67:N130" si="15">IFERROR(MID($B67,LEN($B67)-10,1),0)</f>
        <v>0</v>
      </c>
      <c r="O67" s="11" t="str">
        <f t="shared" ref="O67:O130" si="16">MID($B67,LEN($B67)-9,1)</f>
        <v>1</v>
      </c>
      <c r="P67" s="11" t="str">
        <f t="shared" ref="P67:P130" si="17">MID($B67,LEN($B67)-8,1)</f>
        <v>1</v>
      </c>
      <c r="Q67" s="11" t="str">
        <f t="shared" ref="Q67:Q130" si="18">MID($B67,LEN($B67)-7,1)</f>
        <v>3</v>
      </c>
      <c r="R67" s="11" t="str">
        <f t="shared" ref="R67:R130" si="19">MID($B67,LEN($B67)-6,1)</f>
        <v>0</v>
      </c>
      <c r="S67" s="11" t="str">
        <f t="shared" ref="S67:S130" si="20">MID($B67,LEN($B67)-5,1)</f>
        <v>9</v>
      </c>
      <c r="T67" s="11" t="str">
        <f t="shared" ref="T67:T130" si="21">MID($B67,LEN($B67)-4,1)</f>
        <v>2</v>
      </c>
      <c r="U67" s="11" t="str">
        <f t="shared" ref="U67:U130" si="22">MID($B67,LEN($B67)-3,1)</f>
        <v>2</v>
      </c>
      <c r="V67" s="11" t="str">
        <f t="shared" ref="V67:V130" si="23">MID($B67,LEN($B67)-2,1)</f>
        <v>0</v>
      </c>
      <c r="W67" s="11" t="str">
        <f t="shared" ref="W67:W130" si="24">MID($B67,LEN($B67)-1,1)</f>
        <v>6</v>
      </c>
      <c r="X67" s="11" t="str">
        <f t="shared" ref="X67:X130" si="25">MID($B67,LEN($B67)-0,1)</f>
        <v>6</v>
      </c>
    </row>
    <row r="68" spans="1:24" x14ac:dyDescent="0.35">
      <c r="A68" s="5">
        <v>13928</v>
      </c>
      <c r="B68" s="5">
        <v>1130922067</v>
      </c>
      <c r="C68" s="5">
        <v>727062</v>
      </c>
      <c r="D68" s="5">
        <v>3764258</v>
      </c>
      <c r="E68" s="6" t="s">
        <v>70</v>
      </c>
      <c r="F68" s="6" t="s">
        <v>70</v>
      </c>
      <c r="G68" s="6" t="s">
        <v>70</v>
      </c>
      <c r="H68" s="7"/>
      <c r="I68" s="34" t="str">
        <f t="shared" si="13"/>
        <v>130922</v>
      </c>
      <c r="J68" s="31" t="str">
        <f t="shared" si="14"/>
        <v>01</v>
      </c>
      <c r="N68" s="12">
        <f t="shared" si="15"/>
        <v>0</v>
      </c>
      <c r="O68" s="11" t="str">
        <f t="shared" si="16"/>
        <v>1</v>
      </c>
      <c r="P68" s="11" t="str">
        <f t="shared" si="17"/>
        <v>1</v>
      </c>
      <c r="Q68" s="11" t="str">
        <f t="shared" si="18"/>
        <v>3</v>
      </c>
      <c r="R68" s="11" t="str">
        <f t="shared" si="19"/>
        <v>0</v>
      </c>
      <c r="S68" s="11" t="str">
        <f t="shared" si="20"/>
        <v>9</v>
      </c>
      <c r="T68" s="11" t="str">
        <f t="shared" si="21"/>
        <v>2</v>
      </c>
      <c r="U68" s="11" t="str">
        <f t="shared" si="22"/>
        <v>2</v>
      </c>
      <c r="V68" s="11" t="str">
        <f t="shared" si="23"/>
        <v>0</v>
      </c>
      <c r="W68" s="11" t="str">
        <f t="shared" si="24"/>
        <v>6</v>
      </c>
      <c r="X68" s="11" t="str">
        <f t="shared" si="25"/>
        <v>7</v>
      </c>
    </row>
    <row r="69" spans="1:24" x14ac:dyDescent="0.35">
      <c r="A69" s="5">
        <v>13929</v>
      </c>
      <c r="B69" s="5">
        <v>1130922068</v>
      </c>
      <c r="C69" s="5">
        <v>727079</v>
      </c>
      <c r="D69" s="5">
        <v>3764303</v>
      </c>
      <c r="E69" s="6" t="s">
        <v>70</v>
      </c>
      <c r="F69" s="6" t="s">
        <v>70</v>
      </c>
      <c r="G69" s="6" t="s">
        <v>70</v>
      </c>
      <c r="H69" s="7"/>
      <c r="I69" s="34" t="str">
        <f t="shared" si="13"/>
        <v>130922</v>
      </c>
      <c r="J69" s="31" t="str">
        <f t="shared" si="14"/>
        <v>01</v>
      </c>
      <c r="N69" s="12">
        <f t="shared" si="15"/>
        <v>0</v>
      </c>
      <c r="O69" s="11" t="str">
        <f t="shared" si="16"/>
        <v>1</v>
      </c>
      <c r="P69" s="11" t="str">
        <f t="shared" si="17"/>
        <v>1</v>
      </c>
      <c r="Q69" s="11" t="str">
        <f t="shared" si="18"/>
        <v>3</v>
      </c>
      <c r="R69" s="11" t="str">
        <f t="shared" si="19"/>
        <v>0</v>
      </c>
      <c r="S69" s="11" t="str">
        <f t="shared" si="20"/>
        <v>9</v>
      </c>
      <c r="T69" s="11" t="str">
        <f t="shared" si="21"/>
        <v>2</v>
      </c>
      <c r="U69" s="11" t="str">
        <f t="shared" si="22"/>
        <v>2</v>
      </c>
      <c r="V69" s="11" t="str">
        <f t="shared" si="23"/>
        <v>0</v>
      </c>
      <c r="W69" s="11" t="str">
        <f t="shared" si="24"/>
        <v>6</v>
      </c>
      <c r="X69" s="11" t="str">
        <f t="shared" si="25"/>
        <v>8</v>
      </c>
    </row>
    <row r="70" spans="1:24" x14ac:dyDescent="0.35">
      <c r="A70" s="5">
        <v>13930</v>
      </c>
      <c r="B70" s="5">
        <v>1130922069</v>
      </c>
      <c r="C70" s="5">
        <v>727079</v>
      </c>
      <c r="D70" s="5">
        <v>3764302</v>
      </c>
      <c r="E70" s="6" t="s">
        <v>70</v>
      </c>
      <c r="F70" s="6" t="s">
        <v>70</v>
      </c>
      <c r="G70" s="6" t="s">
        <v>70</v>
      </c>
      <c r="H70" s="7"/>
      <c r="I70" s="34" t="str">
        <f t="shared" si="13"/>
        <v>130922</v>
      </c>
      <c r="J70" s="31" t="str">
        <f t="shared" si="14"/>
        <v>01</v>
      </c>
      <c r="N70" s="12">
        <f t="shared" si="15"/>
        <v>0</v>
      </c>
      <c r="O70" s="11" t="str">
        <f t="shared" si="16"/>
        <v>1</v>
      </c>
      <c r="P70" s="11" t="str">
        <f t="shared" si="17"/>
        <v>1</v>
      </c>
      <c r="Q70" s="11" t="str">
        <f t="shared" si="18"/>
        <v>3</v>
      </c>
      <c r="R70" s="11" t="str">
        <f t="shared" si="19"/>
        <v>0</v>
      </c>
      <c r="S70" s="11" t="str">
        <f t="shared" si="20"/>
        <v>9</v>
      </c>
      <c r="T70" s="11" t="str">
        <f t="shared" si="21"/>
        <v>2</v>
      </c>
      <c r="U70" s="11" t="str">
        <f t="shared" si="22"/>
        <v>2</v>
      </c>
      <c r="V70" s="11" t="str">
        <f t="shared" si="23"/>
        <v>0</v>
      </c>
      <c r="W70" s="11" t="str">
        <f t="shared" si="24"/>
        <v>6</v>
      </c>
      <c r="X70" s="11" t="str">
        <f t="shared" si="25"/>
        <v>9</v>
      </c>
    </row>
    <row r="71" spans="1:24" x14ac:dyDescent="0.35">
      <c r="A71" s="5">
        <v>13931</v>
      </c>
      <c r="B71" s="5">
        <v>1130922070</v>
      </c>
      <c r="C71" s="5">
        <v>727080</v>
      </c>
      <c r="D71" s="5">
        <v>3764302</v>
      </c>
      <c r="E71" s="6" t="s">
        <v>70</v>
      </c>
      <c r="F71" s="6" t="s">
        <v>70</v>
      </c>
      <c r="G71" s="6" t="s">
        <v>70</v>
      </c>
      <c r="H71" s="7"/>
      <c r="I71" s="34" t="str">
        <f t="shared" si="13"/>
        <v>130922</v>
      </c>
      <c r="J71" s="31" t="str">
        <f t="shared" si="14"/>
        <v>01</v>
      </c>
      <c r="N71" s="12">
        <f t="shared" si="15"/>
        <v>0</v>
      </c>
      <c r="O71" s="11" t="str">
        <f t="shared" si="16"/>
        <v>1</v>
      </c>
      <c r="P71" s="11" t="str">
        <f t="shared" si="17"/>
        <v>1</v>
      </c>
      <c r="Q71" s="11" t="str">
        <f t="shared" si="18"/>
        <v>3</v>
      </c>
      <c r="R71" s="11" t="str">
        <f t="shared" si="19"/>
        <v>0</v>
      </c>
      <c r="S71" s="11" t="str">
        <f t="shared" si="20"/>
        <v>9</v>
      </c>
      <c r="T71" s="11" t="str">
        <f t="shared" si="21"/>
        <v>2</v>
      </c>
      <c r="U71" s="11" t="str">
        <f t="shared" si="22"/>
        <v>2</v>
      </c>
      <c r="V71" s="11" t="str">
        <f t="shared" si="23"/>
        <v>0</v>
      </c>
      <c r="W71" s="11" t="str">
        <f t="shared" si="24"/>
        <v>7</v>
      </c>
      <c r="X71" s="11" t="str">
        <f t="shared" si="25"/>
        <v>0</v>
      </c>
    </row>
    <row r="72" spans="1:24" x14ac:dyDescent="0.35">
      <c r="A72" s="5">
        <v>13932</v>
      </c>
      <c r="B72" s="5">
        <v>1130922071</v>
      </c>
      <c r="C72" s="5">
        <v>726816</v>
      </c>
      <c r="D72" s="5">
        <v>3763849</v>
      </c>
      <c r="E72" s="6" t="s">
        <v>70</v>
      </c>
      <c r="F72" s="6" t="s">
        <v>70</v>
      </c>
      <c r="G72" s="6" t="s">
        <v>70</v>
      </c>
      <c r="H72" s="7"/>
      <c r="I72" s="34" t="str">
        <f t="shared" si="13"/>
        <v>130922</v>
      </c>
      <c r="J72" s="31" t="str">
        <f t="shared" si="14"/>
        <v>01</v>
      </c>
      <c r="N72" s="12">
        <f t="shared" si="15"/>
        <v>0</v>
      </c>
      <c r="O72" s="11" t="str">
        <f t="shared" si="16"/>
        <v>1</v>
      </c>
      <c r="P72" s="11" t="str">
        <f t="shared" si="17"/>
        <v>1</v>
      </c>
      <c r="Q72" s="11" t="str">
        <f t="shared" si="18"/>
        <v>3</v>
      </c>
      <c r="R72" s="11" t="str">
        <f t="shared" si="19"/>
        <v>0</v>
      </c>
      <c r="S72" s="11" t="str">
        <f t="shared" si="20"/>
        <v>9</v>
      </c>
      <c r="T72" s="11" t="str">
        <f t="shared" si="21"/>
        <v>2</v>
      </c>
      <c r="U72" s="11" t="str">
        <f t="shared" si="22"/>
        <v>2</v>
      </c>
      <c r="V72" s="11" t="str">
        <f t="shared" si="23"/>
        <v>0</v>
      </c>
      <c r="W72" s="11" t="str">
        <f t="shared" si="24"/>
        <v>7</v>
      </c>
      <c r="X72" s="11" t="str">
        <f t="shared" si="25"/>
        <v>1</v>
      </c>
    </row>
    <row r="73" spans="1:24" x14ac:dyDescent="0.35">
      <c r="A73" s="5">
        <v>13933</v>
      </c>
      <c r="B73" s="5">
        <v>1130922072</v>
      </c>
      <c r="C73" s="5">
        <v>726816</v>
      </c>
      <c r="D73" s="5">
        <v>3763848</v>
      </c>
      <c r="E73" s="6" t="s">
        <v>70</v>
      </c>
      <c r="F73" s="6" t="s">
        <v>70</v>
      </c>
      <c r="G73" s="6" t="s">
        <v>70</v>
      </c>
      <c r="H73" s="7"/>
      <c r="I73" s="34" t="str">
        <f t="shared" si="13"/>
        <v>130922</v>
      </c>
      <c r="J73" s="31" t="str">
        <f t="shared" si="14"/>
        <v>01</v>
      </c>
      <c r="N73" s="12">
        <f t="shared" si="15"/>
        <v>0</v>
      </c>
      <c r="O73" s="11" t="str">
        <f t="shared" si="16"/>
        <v>1</v>
      </c>
      <c r="P73" s="11" t="str">
        <f t="shared" si="17"/>
        <v>1</v>
      </c>
      <c r="Q73" s="11" t="str">
        <f t="shared" si="18"/>
        <v>3</v>
      </c>
      <c r="R73" s="11" t="str">
        <f t="shared" si="19"/>
        <v>0</v>
      </c>
      <c r="S73" s="11" t="str">
        <f t="shared" si="20"/>
        <v>9</v>
      </c>
      <c r="T73" s="11" t="str">
        <f t="shared" si="21"/>
        <v>2</v>
      </c>
      <c r="U73" s="11" t="str">
        <f t="shared" si="22"/>
        <v>2</v>
      </c>
      <c r="V73" s="11" t="str">
        <f t="shared" si="23"/>
        <v>0</v>
      </c>
      <c r="W73" s="11" t="str">
        <f t="shared" si="24"/>
        <v>7</v>
      </c>
      <c r="X73" s="11" t="str">
        <f t="shared" si="25"/>
        <v>2</v>
      </c>
    </row>
    <row r="74" spans="1:24" x14ac:dyDescent="0.35">
      <c r="A74" s="5">
        <v>13934</v>
      </c>
      <c r="B74" s="5">
        <v>1130922073</v>
      </c>
      <c r="C74" s="5">
        <v>726816</v>
      </c>
      <c r="D74" s="5">
        <v>3763847</v>
      </c>
      <c r="E74" s="6" t="s">
        <v>70</v>
      </c>
      <c r="F74" s="6" t="s">
        <v>70</v>
      </c>
      <c r="G74" s="6" t="s">
        <v>70</v>
      </c>
      <c r="H74" s="7"/>
      <c r="I74" s="34" t="str">
        <f t="shared" si="13"/>
        <v>130922</v>
      </c>
      <c r="J74" s="31" t="str">
        <f t="shared" si="14"/>
        <v>01</v>
      </c>
      <c r="N74" s="12">
        <f t="shared" si="15"/>
        <v>0</v>
      </c>
      <c r="O74" s="11" t="str">
        <f t="shared" si="16"/>
        <v>1</v>
      </c>
      <c r="P74" s="11" t="str">
        <f t="shared" si="17"/>
        <v>1</v>
      </c>
      <c r="Q74" s="11" t="str">
        <f t="shared" si="18"/>
        <v>3</v>
      </c>
      <c r="R74" s="11" t="str">
        <f t="shared" si="19"/>
        <v>0</v>
      </c>
      <c r="S74" s="11" t="str">
        <f t="shared" si="20"/>
        <v>9</v>
      </c>
      <c r="T74" s="11" t="str">
        <f t="shared" si="21"/>
        <v>2</v>
      </c>
      <c r="U74" s="11" t="str">
        <f t="shared" si="22"/>
        <v>2</v>
      </c>
      <c r="V74" s="11" t="str">
        <f t="shared" si="23"/>
        <v>0</v>
      </c>
      <c r="W74" s="11" t="str">
        <f t="shared" si="24"/>
        <v>7</v>
      </c>
      <c r="X74" s="11" t="str">
        <f t="shared" si="25"/>
        <v>3</v>
      </c>
    </row>
    <row r="75" spans="1:24" x14ac:dyDescent="0.35">
      <c r="A75" s="5">
        <v>13935</v>
      </c>
      <c r="B75" s="5">
        <v>1130922074</v>
      </c>
      <c r="C75" s="5">
        <v>726791</v>
      </c>
      <c r="D75" s="5">
        <v>3763823</v>
      </c>
      <c r="E75" s="6" t="s">
        <v>70</v>
      </c>
      <c r="F75" s="6" t="s">
        <v>70</v>
      </c>
      <c r="G75" s="6" t="s">
        <v>70</v>
      </c>
      <c r="H75" s="7"/>
      <c r="I75" s="34" t="str">
        <f t="shared" si="13"/>
        <v>130922</v>
      </c>
      <c r="J75" s="31" t="str">
        <f t="shared" si="14"/>
        <v>01</v>
      </c>
      <c r="N75" s="12">
        <f t="shared" si="15"/>
        <v>0</v>
      </c>
      <c r="O75" s="11" t="str">
        <f t="shared" si="16"/>
        <v>1</v>
      </c>
      <c r="P75" s="11" t="str">
        <f t="shared" si="17"/>
        <v>1</v>
      </c>
      <c r="Q75" s="11" t="str">
        <f t="shared" si="18"/>
        <v>3</v>
      </c>
      <c r="R75" s="11" t="str">
        <f t="shared" si="19"/>
        <v>0</v>
      </c>
      <c r="S75" s="11" t="str">
        <f t="shared" si="20"/>
        <v>9</v>
      </c>
      <c r="T75" s="11" t="str">
        <f t="shared" si="21"/>
        <v>2</v>
      </c>
      <c r="U75" s="11" t="str">
        <f t="shared" si="22"/>
        <v>2</v>
      </c>
      <c r="V75" s="11" t="str">
        <f t="shared" si="23"/>
        <v>0</v>
      </c>
      <c r="W75" s="11" t="str">
        <f t="shared" si="24"/>
        <v>7</v>
      </c>
      <c r="X75" s="11" t="str">
        <f t="shared" si="25"/>
        <v>4</v>
      </c>
    </row>
    <row r="76" spans="1:24" x14ac:dyDescent="0.35">
      <c r="A76" s="5">
        <v>13936</v>
      </c>
      <c r="B76" s="5">
        <v>1130922075</v>
      </c>
      <c r="C76" s="5">
        <v>726791</v>
      </c>
      <c r="D76" s="5">
        <v>3763823</v>
      </c>
      <c r="E76" s="6" t="s">
        <v>70</v>
      </c>
      <c r="F76" s="6" t="s">
        <v>70</v>
      </c>
      <c r="G76" s="6" t="s">
        <v>70</v>
      </c>
      <c r="H76" s="7"/>
      <c r="I76" s="34" t="str">
        <f t="shared" si="13"/>
        <v>130922</v>
      </c>
      <c r="J76" s="31" t="str">
        <f t="shared" si="14"/>
        <v>01</v>
      </c>
      <c r="N76" s="12">
        <f t="shared" si="15"/>
        <v>0</v>
      </c>
      <c r="O76" s="11" t="str">
        <f t="shared" si="16"/>
        <v>1</v>
      </c>
      <c r="P76" s="11" t="str">
        <f t="shared" si="17"/>
        <v>1</v>
      </c>
      <c r="Q76" s="11" t="str">
        <f t="shared" si="18"/>
        <v>3</v>
      </c>
      <c r="R76" s="11" t="str">
        <f t="shared" si="19"/>
        <v>0</v>
      </c>
      <c r="S76" s="11" t="str">
        <f t="shared" si="20"/>
        <v>9</v>
      </c>
      <c r="T76" s="11" t="str">
        <f t="shared" si="21"/>
        <v>2</v>
      </c>
      <c r="U76" s="11" t="str">
        <f t="shared" si="22"/>
        <v>2</v>
      </c>
      <c r="V76" s="11" t="str">
        <f t="shared" si="23"/>
        <v>0</v>
      </c>
      <c r="W76" s="11" t="str">
        <f t="shared" si="24"/>
        <v>7</v>
      </c>
      <c r="X76" s="11" t="str">
        <f t="shared" si="25"/>
        <v>5</v>
      </c>
    </row>
    <row r="77" spans="1:24" x14ac:dyDescent="0.35">
      <c r="A77" s="5">
        <v>13937</v>
      </c>
      <c r="B77" s="5">
        <v>1130922076</v>
      </c>
      <c r="C77" s="5">
        <v>726840</v>
      </c>
      <c r="D77" s="5">
        <v>3763839</v>
      </c>
      <c r="E77" s="6" t="s">
        <v>70</v>
      </c>
      <c r="F77" s="6" t="s">
        <v>70</v>
      </c>
      <c r="G77" s="6" t="s">
        <v>70</v>
      </c>
      <c r="H77" s="7"/>
      <c r="I77" s="34" t="str">
        <f t="shared" si="13"/>
        <v>130922</v>
      </c>
      <c r="J77" s="31" t="str">
        <f t="shared" si="14"/>
        <v>01</v>
      </c>
      <c r="N77" s="12">
        <f t="shared" si="15"/>
        <v>0</v>
      </c>
      <c r="O77" s="11" t="str">
        <f t="shared" si="16"/>
        <v>1</v>
      </c>
      <c r="P77" s="11" t="str">
        <f t="shared" si="17"/>
        <v>1</v>
      </c>
      <c r="Q77" s="11" t="str">
        <f t="shared" si="18"/>
        <v>3</v>
      </c>
      <c r="R77" s="11" t="str">
        <f t="shared" si="19"/>
        <v>0</v>
      </c>
      <c r="S77" s="11" t="str">
        <f t="shared" si="20"/>
        <v>9</v>
      </c>
      <c r="T77" s="11" t="str">
        <f t="shared" si="21"/>
        <v>2</v>
      </c>
      <c r="U77" s="11" t="str">
        <f t="shared" si="22"/>
        <v>2</v>
      </c>
      <c r="V77" s="11" t="str">
        <f t="shared" si="23"/>
        <v>0</v>
      </c>
      <c r="W77" s="11" t="str">
        <f t="shared" si="24"/>
        <v>7</v>
      </c>
      <c r="X77" s="11" t="str">
        <f t="shared" si="25"/>
        <v>6</v>
      </c>
    </row>
    <row r="78" spans="1:24" x14ac:dyDescent="0.35">
      <c r="A78" s="5">
        <v>13938</v>
      </c>
      <c r="B78" s="5">
        <v>1130922077</v>
      </c>
      <c r="C78" s="5">
        <v>726878</v>
      </c>
      <c r="D78" s="5">
        <v>3763821</v>
      </c>
      <c r="E78" s="6" t="s">
        <v>70</v>
      </c>
      <c r="F78" s="6" t="s">
        <v>70</v>
      </c>
      <c r="G78" s="6" t="s">
        <v>70</v>
      </c>
      <c r="H78" s="7"/>
      <c r="I78" s="34" t="str">
        <f t="shared" si="13"/>
        <v>130922</v>
      </c>
      <c r="J78" s="31" t="str">
        <f t="shared" si="14"/>
        <v>01</v>
      </c>
      <c r="N78" s="12">
        <f t="shared" si="15"/>
        <v>0</v>
      </c>
      <c r="O78" s="11" t="str">
        <f t="shared" si="16"/>
        <v>1</v>
      </c>
      <c r="P78" s="11" t="str">
        <f t="shared" si="17"/>
        <v>1</v>
      </c>
      <c r="Q78" s="11" t="str">
        <f t="shared" si="18"/>
        <v>3</v>
      </c>
      <c r="R78" s="11" t="str">
        <f t="shared" si="19"/>
        <v>0</v>
      </c>
      <c r="S78" s="11" t="str">
        <f t="shared" si="20"/>
        <v>9</v>
      </c>
      <c r="T78" s="11" t="str">
        <f t="shared" si="21"/>
        <v>2</v>
      </c>
      <c r="U78" s="11" t="str">
        <f t="shared" si="22"/>
        <v>2</v>
      </c>
      <c r="V78" s="11" t="str">
        <f t="shared" si="23"/>
        <v>0</v>
      </c>
      <c r="W78" s="11" t="str">
        <f t="shared" si="24"/>
        <v>7</v>
      </c>
      <c r="X78" s="11" t="str">
        <f t="shared" si="25"/>
        <v>7</v>
      </c>
    </row>
    <row r="79" spans="1:24" x14ac:dyDescent="0.35">
      <c r="A79" s="5">
        <v>13939</v>
      </c>
      <c r="B79" s="5">
        <v>1130922078</v>
      </c>
      <c r="C79" s="5">
        <v>726910</v>
      </c>
      <c r="D79" s="5">
        <v>3763802</v>
      </c>
      <c r="E79" s="6" t="s">
        <v>70</v>
      </c>
      <c r="F79" s="6" t="s">
        <v>70</v>
      </c>
      <c r="G79" s="6" t="s">
        <v>70</v>
      </c>
      <c r="H79" s="7"/>
      <c r="I79" s="34" t="str">
        <f t="shared" si="13"/>
        <v>130922</v>
      </c>
      <c r="J79" s="31" t="str">
        <f t="shared" si="14"/>
        <v>01</v>
      </c>
      <c r="N79" s="12">
        <f t="shared" si="15"/>
        <v>0</v>
      </c>
      <c r="O79" s="11" t="str">
        <f t="shared" si="16"/>
        <v>1</v>
      </c>
      <c r="P79" s="11" t="str">
        <f t="shared" si="17"/>
        <v>1</v>
      </c>
      <c r="Q79" s="11" t="str">
        <f t="shared" si="18"/>
        <v>3</v>
      </c>
      <c r="R79" s="11" t="str">
        <f t="shared" si="19"/>
        <v>0</v>
      </c>
      <c r="S79" s="11" t="str">
        <f t="shared" si="20"/>
        <v>9</v>
      </c>
      <c r="T79" s="11" t="str">
        <f t="shared" si="21"/>
        <v>2</v>
      </c>
      <c r="U79" s="11" t="str">
        <f t="shared" si="22"/>
        <v>2</v>
      </c>
      <c r="V79" s="11" t="str">
        <f t="shared" si="23"/>
        <v>0</v>
      </c>
      <c r="W79" s="11" t="str">
        <f t="shared" si="24"/>
        <v>7</v>
      </c>
      <c r="X79" s="11" t="str">
        <f t="shared" si="25"/>
        <v>8</v>
      </c>
    </row>
    <row r="80" spans="1:24" x14ac:dyDescent="0.35">
      <c r="A80" s="5">
        <v>13940</v>
      </c>
      <c r="B80" s="5">
        <v>1130922079</v>
      </c>
      <c r="C80" s="5">
        <v>726778</v>
      </c>
      <c r="D80" s="5">
        <v>3763793</v>
      </c>
      <c r="E80" s="6" t="s">
        <v>70</v>
      </c>
      <c r="F80" s="6" t="s">
        <v>70</v>
      </c>
      <c r="G80" s="6" t="s">
        <v>70</v>
      </c>
      <c r="H80" s="7"/>
      <c r="I80" s="34" t="str">
        <f t="shared" si="13"/>
        <v>130922</v>
      </c>
      <c r="J80" s="31" t="str">
        <f t="shared" si="14"/>
        <v>01</v>
      </c>
      <c r="N80" s="12">
        <f t="shared" si="15"/>
        <v>0</v>
      </c>
      <c r="O80" s="11" t="str">
        <f t="shared" si="16"/>
        <v>1</v>
      </c>
      <c r="P80" s="11" t="str">
        <f t="shared" si="17"/>
        <v>1</v>
      </c>
      <c r="Q80" s="11" t="str">
        <f t="shared" si="18"/>
        <v>3</v>
      </c>
      <c r="R80" s="11" t="str">
        <f t="shared" si="19"/>
        <v>0</v>
      </c>
      <c r="S80" s="11" t="str">
        <f t="shared" si="20"/>
        <v>9</v>
      </c>
      <c r="T80" s="11" t="str">
        <f t="shared" si="21"/>
        <v>2</v>
      </c>
      <c r="U80" s="11" t="str">
        <f t="shared" si="22"/>
        <v>2</v>
      </c>
      <c r="V80" s="11" t="str">
        <f t="shared" si="23"/>
        <v>0</v>
      </c>
      <c r="W80" s="11" t="str">
        <f t="shared" si="24"/>
        <v>7</v>
      </c>
      <c r="X80" s="11" t="str">
        <f t="shared" si="25"/>
        <v>9</v>
      </c>
    </row>
    <row r="81" spans="1:24" x14ac:dyDescent="0.35">
      <c r="A81" s="5">
        <v>13941</v>
      </c>
      <c r="B81" s="5">
        <v>1130922080</v>
      </c>
      <c r="C81" s="5">
        <v>726775</v>
      </c>
      <c r="D81" s="5">
        <v>3763794</v>
      </c>
      <c r="E81" s="6" t="s">
        <v>70</v>
      </c>
      <c r="F81" s="6" t="s">
        <v>70</v>
      </c>
      <c r="G81" s="6" t="s">
        <v>70</v>
      </c>
      <c r="H81" s="7"/>
      <c r="I81" s="34" t="str">
        <f t="shared" si="13"/>
        <v>130922</v>
      </c>
      <c r="J81" s="31" t="str">
        <f t="shared" si="14"/>
        <v>01</v>
      </c>
      <c r="N81" s="12">
        <f t="shared" si="15"/>
        <v>0</v>
      </c>
      <c r="O81" s="11" t="str">
        <f t="shared" si="16"/>
        <v>1</v>
      </c>
      <c r="P81" s="11" t="str">
        <f t="shared" si="17"/>
        <v>1</v>
      </c>
      <c r="Q81" s="11" t="str">
        <f t="shared" si="18"/>
        <v>3</v>
      </c>
      <c r="R81" s="11" t="str">
        <f t="shared" si="19"/>
        <v>0</v>
      </c>
      <c r="S81" s="11" t="str">
        <f t="shared" si="20"/>
        <v>9</v>
      </c>
      <c r="T81" s="11" t="str">
        <f t="shared" si="21"/>
        <v>2</v>
      </c>
      <c r="U81" s="11" t="str">
        <f t="shared" si="22"/>
        <v>2</v>
      </c>
      <c r="V81" s="11" t="str">
        <f t="shared" si="23"/>
        <v>0</v>
      </c>
      <c r="W81" s="11" t="str">
        <f t="shared" si="24"/>
        <v>8</v>
      </c>
      <c r="X81" s="11" t="str">
        <f t="shared" si="25"/>
        <v>0</v>
      </c>
    </row>
    <row r="82" spans="1:24" x14ac:dyDescent="0.35">
      <c r="A82" s="5">
        <v>13942</v>
      </c>
      <c r="B82" s="5">
        <v>1130922081</v>
      </c>
      <c r="C82" s="5">
        <v>726775</v>
      </c>
      <c r="D82" s="5">
        <v>3763794</v>
      </c>
      <c r="E82" s="6" t="s">
        <v>70</v>
      </c>
      <c r="F82" s="6" t="s">
        <v>70</v>
      </c>
      <c r="G82" s="6" t="s">
        <v>70</v>
      </c>
      <c r="H82" s="7"/>
      <c r="I82" s="34" t="str">
        <f t="shared" si="13"/>
        <v>130922</v>
      </c>
      <c r="J82" s="31" t="str">
        <f t="shared" si="14"/>
        <v>01</v>
      </c>
      <c r="N82" s="12">
        <f t="shared" si="15"/>
        <v>0</v>
      </c>
      <c r="O82" s="11" t="str">
        <f t="shared" si="16"/>
        <v>1</v>
      </c>
      <c r="P82" s="11" t="str">
        <f t="shared" si="17"/>
        <v>1</v>
      </c>
      <c r="Q82" s="11" t="str">
        <f t="shared" si="18"/>
        <v>3</v>
      </c>
      <c r="R82" s="11" t="str">
        <f t="shared" si="19"/>
        <v>0</v>
      </c>
      <c r="S82" s="11" t="str">
        <f t="shared" si="20"/>
        <v>9</v>
      </c>
      <c r="T82" s="11" t="str">
        <f t="shared" si="21"/>
        <v>2</v>
      </c>
      <c r="U82" s="11" t="str">
        <f t="shared" si="22"/>
        <v>2</v>
      </c>
      <c r="V82" s="11" t="str">
        <f t="shared" si="23"/>
        <v>0</v>
      </c>
      <c r="W82" s="11" t="str">
        <f t="shared" si="24"/>
        <v>8</v>
      </c>
      <c r="X82" s="11" t="str">
        <f t="shared" si="25"/>
        <v>1</v>
      </c>
    </row>
    <row r="83" spans="1:24" x14ac:dyDescent="0.35">
      <c r="A83" s="5">
        <v>13943</v>
      </c>
      <c r="B83" s="5">
        <v>1130922082</v>
      </c>
      <c r="C83" s="5">
        <v>726791</v>
      </c>
      <c r="D83" s="5">
        <v>3763818</v>
      </c>
      <c r="E83" s="6" t="s">
        <v>70</v>
      </c>
      <c r="F83" s="6" t="s">
        <v>70</v>
      </c>
      <c r="G83" s="6" t="s">
        <v>70</v>
      </c>
      <c r="H83" s="7"/>
      <c r="I83" s="34" t="str">
        <f t="shared" si="13"/>
        <v>130922</v>
      </c>
      <c r="J83" s="31" t="str">
        <f t="shared" si="14"/>
        <v>01</v>
      </c>
      <c r="N83" s="12">
        <f t="shared" si="15"/>
        <v>0</v>
      </c>
      <c r="O83" s="11" t="str">
        <f t="shared" si="16"/>
        <v>1</v>
      </c>
      <c r="P83" s="11" t="str">
        <f t="shared" si="17"/>
        <v>1</v>
      </c>
      <c r="Q83" s="11" t="str">
        <f t="shared" si="18"/>
        <v>3</v>
      </c>
      <c r="R83" s="11" t="str">
        <f t="shared" si="19"/>
        <v>0</v>
      </c>
      <c r="S83" s="11" t="str">
        <f t="shared" si="20"/>
        <v>9</v>
      </c>
      <c r="T83" s="11" t="str">
        <f t="shared" si="21"/>
        <v>2</v>
      </c>
      <c r="U83" s="11" t="str">
        <f t="shared" si="22"/>
        <v>2</v>
      </c>
      <c r="V83" s="11" t="str">
        <f t="shared" si="23"/>
        <v>0</v>
      </c>
      <c r="W83" s="11" t="str">
        <f t="shared" si="24"/>
        <v>8</v>
      </c>
      <c r="X83" s="11" t="str">
        <f t="shared" si="25"/>
        <v>2</v>
      </c>
    </row>
    <row r="84" spans="1:24" x14ac:dyDescent="0.35">
      <c r="A84" s="5">
        <v>13944</v>
      </c>
      <c r="B84" s="5">
        <v>1130922083</v>
      </c>
      <c r="C84" s="5">
        <v>726762</v>
      </c>
      <c r="D84" s="5">
        <v>3763789</v>
      </c>
      <c r="E84" s="6" t="s">
        <v>70</v>
      </c>
      <c r="F84" s="6" t="s">
        <v>70</v>
      </c>
      <c r="G84" s="6" t="s">
        <v>70</v>
      </c>
      <c r="H84" s="7"/>
      <c r="I84" s="34" t="str">
        <f t="shared" si="13"/>
        <v>130922</v>
      </c>
      <c r="J84" s="31" t="str">
        <f t="shared" si="14"/>
        <v>01</v>
      </c>
      <c r="N84" s="12">
        <f t="shared" si="15"/>
        <v>0</v>
      </c>
      <c r="O84" s="11" t="str">
        <f t="shared" si="16"/>
        <v>1</v>
      </c>
      <c r="P84" s="11" t="str">
        <f t="shared" si="17"/>
        <v>1</v>
      </c>
      <c r="Q84" s="11" t="str">
        <f t="shared" si="18"/>
        <v>3</v>
      </c>
      <c r="R84" s="11" t="str">
        <f t="shared" si="19"/>
        <v>0</v>
      </c>
      <c r="S84" s="11" t="str">
        <f t="shared" si="20"/>
        <v>9</v>
      </c>
      <c r="T84" s="11" t="str">
        <f t="shared" si="21"/>
        <v>2</v>
      </c>
      <c r="U84" s="11" t="str">
        <f t="shared" si="22"/>
        <v>2</v>
      </c>
      <c r="V84" s="11" t="str">
        <f t="shared" si="23"/>
        <v>0</v>
      </c>
      <c r="W84" s="11" t="str">
        <f t="shared" si="24"/>
        <v>8</v>
      </c>
      <c r="X84" s="11" t="str">
        <f t="shared" si="25"/>
        <v>3</v>
      </c>
    </row>
    <row r="85" spans="1:24" x14ac:dyDescent="0.35">
      <c r="A85" s="5">
        <v>13945</v>
      </c>
      <c r="B85" s="5">
        <v>1130922084</v>
      </c>
      <c r="C85" s="5">
        <v>726800</v>
      </c>
      <c r="D85" s="5">
        <v>3763762</v>
      </c>
      <c r="E85" s="6" t="s">
        <v>70</v>
      </c>
      <c r="F85" s="6" t="s">
        <v>70</v>
      </c>
      <c r="G85" s="6" t="s">
        <v>70</v>
      </c>
      <c r="H85" s="7"/>
      <c r="I85" s="34" t="str">
        <f t="shared" si="13"/>
        <v>130922</v>
      </c>
      <c r="J85" s="31" t="str">
        <f t="shared" si="14"/>
        <v>01</v>
      </c>
      <c r="N85" s="12">
        <f t="shared" si="15"/>
        <v>0</v>
      </c>
      <c r="O85" s="11" t="str">
        <f t="shared" si="16"/>
        <v>1</v>
      </c>
      <c r="P85" s="11" t="str">
        <f t="shared" si="17"/>
        <v>1</v>
      </c>
      <c r="Q85" s="11" t="str">
        <f t="shared" si="18"/>
        <v>3</v>
      </c>
      <c r="R85" s="11" t="str">
        <f t="shared" si="19"/>
        <v>0</v>
      </c>
      <c r="S85" s="11" t="str">
        <f t="shared" si="20"/>
        <v>9</v>
      </c>
      <c r="T85" s="11" t="str">
        <f t="shared" si="21"/>
        <v>2</v>
      </c>
      <c r="U85" s="11" t="str">
        <f t="shared" si="22"/>
        <v>2</v>
      </c>
      <c r="V85" s="11" t="str">
        <f t="shared" si="23"/>
        <v>0</v>
      </c>
      <c r="W85" s="11" t="str">
        <f t="shared" si="24"/>
        <v>8</v>
      </c>
      <c r="X85" s="11" t="str">
        <f t="shared" si="25"/>
        <v>4</v>
      </c>
    </row>
    <row r="86" spans="1:24" x14ac:dyDescent="0.35">
      <c r="A86" s="5">
        <v>13946</v>
      </c>
      <c r="B86" s="5">
        <v>1130922085</v>
      </c>
      <c r="C86" s="5">
        <v>726840</v>
      </c>
      <c r="D86" s="5">
        <v>3763747</v>
      </c>
      <c r="E86" s="6" t="s">
        <v>70</v>
      </c>
      <c r="F86" s="6" t="s">
        <v>70</v>
      </c>
      <c r="G86" s="6" t="s">
        <v>70</v>
      </c>
      <c r="H86" s="7"/>
      <c r="I86" s="34" t="str">
        <f t="shared" si="13"/>
        <v>130922</v>
      </c>
      <c r="J86" s="31" t="str">
        <f t="shared" si="14"/>
        <v>01</v>
      </c>
      <c r="N86" s="12">
        <f t="shared" si="15"/>
        <v>0</v>
      </c>
      <c r="O86" s="11" t="str">
        <f t="shared" si="16"/>
        <v>1</v>
      </c>
      <c r="P86" s="11" t="str">
        <f t="shared" si="17"/>
        <v>1</v>
      </c>
      <c r="Q86" s="11" t="str">
        <f t="shared" si="18"/>
        <v>3</v>
      </c>
      <c r="R86" s="11" t="str">
        <f t="shared" si="19"/>
        <v>0</v>
      </c>
      <c r="S86" s="11" t="str">
        <f t="shared" si="20"/>
        <v>9</v>
      </c>
      <c r="T86" s="11" t="str">
        <f t="shared" si="21"/>
        <v>2</v>
      </c>
      <c r="U86" s="11" t="str">
        <f t="shared" si="22"/>
        <v>2</v>
      </c>
      <c r="V86" s="11" t="str">
        <f t="shared" si="23"/>
        <v>0</v>
      </c>
      <c r="W86" s="11" t="str">
        <f t="shared" si="24"/>
        <v>8</v>
      </c>
      <c r="X86" s="11" t="str">
        <f t="shared" si="25"/>
        <v>5</v>
      </c>
    </row>
    <row r="87" spans="1:24" x14ac:dyDescent="0.35">
      <c r="A87" s="5">
        <v>13947</v>
      </c>
      <c r="B87" s="5">
        <v>1130922086</v>
      </c>
      <c r="C87" s="5">
        <v>726752</v>
      </c>
      <c r="D87" s="5">
        <v>3763763</v>
      </c>
      <c r="E87" s="6" t="s">
        <v>70</v>
      </c>
      <c r="F87" s="6" t="s">
        <v>70</v>
      </c>
      <c r="G87" s="6" t="s">
        <v>70</v>
      </c>
      <c r="H87" s="7"/>
      <c r="I87" s="34" t="str">
        <f t="shared" si="13"/>
        <v>130922</v>
      </c>
      <c r="J87" s="31" t="str">
        <f t="shared" si="14"/>
        <v>01</v>
      </c>
      <c r="N87" s="12">
        <f t="shared" si="15"/>
        <v>0</v>
      </c>
      <c r="O87" s="11" t="str">
        <f t="shared" si="16"/>
        <v>1</v>
      </c>
      <c r="P87" s="11" t="str">
        <f t="shared" si="17"/>
        <v>1</v>
      </c>
      <c r="Q87" s="11" t="str">
        <f t="shared" si="18"/>
        <v>3</v>
      </c>
      <c r="R87" s="11" t="str">
        <f t="shared" si="19"/>
        <v>0</v>
      </c>
      <c r="S87" s="11" t="str">
        <f t="shared" si="20"/>
        <v>9</v>
      </c>
      <c r="T87" s="11" t="str">
        <f t="shared" si="21"/>
        <v>2</v>
      </c>
      <c r="U87" s="11" t="str">
        <f t="shared" si="22"/>
        <v>2</v>
      </c>
      <c r="V87" s="11" t="str">
        <f t="shared" si="23"/>
        <v>0</v>
      </c>
      <c r="W87" s="11" t="str">
        <f t="shared" si="24"/>
        <v>8</v>
      </c>
      <c r="X87" s="11" t="str">
        <f t="shared" si="25"/>
        <v>6</v>
      </c>
    </row>
    <row r="88" spans="1:24" x14ac:dyDescent="0.35">
      <c r="A88" s="5">
        <v>13948</v>
      </c>
      <c r="B88" s="5">
        <v>1130922087</v>
      </c>
      <c r="C88" s="5">
        <v>726750</v>
      </c>
      <c r="D88" s="5">
        <v>3763763</v>
      </c>
      <c r="E88" s="6" t="s">
        <v>70</v>
      </c>
      <c r="F88" s="6" t="s">
        <v>70</v>
      </c>
      <c r="G88" s="6" t="s">
        <v>70</v>
      </c>
      <c r="H88" s="7"/>
      <c r="I88" s="34" t="str">
        <f t="shared" si="13"/>
        <v>130922</v>
      </c>
      <c r="J88" s="31" t="str">
        <f t="shared" si="14"/>
        <v>01</v>
      </c>
      <c r="N88" s="12">
        <f t="shared" si="15"/>
        <v>0</v>
      </c>
      <c r="O88" s="11" t="str">
        <f t="shared" si="16"/>
        <v>1</v>
      </c>
      <c r="P88" s="11" t="str">
        <f t="shared" si="17"/>
        <v>1</v>
      </c>
      <c r="Q88" s="11" t="str">
        <f t="shared" si="18"/>
        <v>3</v>
      </c>
      <c r="R88" s="11" t="str">
        <f t="shared" si="19"/>
        <v>0</v>
      </c>
      <c r="S88" s="11" t="str">
        <f t="shared" si="20"/>
        <v>9</v>
      </c>
      <c r="T88" s="11" t="str">
        <f t="shared" si="21"/>
        <v>2</v>
      </c>
      <c r="U88" s="11" t="str">
        <f t="shared" si="22"/>
        <v>2</v>
      </c>
      <c r="V88" s="11" t="str">
        <f t="shared" si="23"/>
        <v>0</v>
      </c>
      <c r="W88" s="11" t="str">
        <f t="shared" si="24"/>
        <v>8</v>
      </c>
      <c r="X88" s="11" t="str">
        <f t="shared" si="25"/>
        <v>7</v>
      </c>
    </row>
    <row r="89" spans="1:24" x14ac:dyDescent="0.35">
      <c r="A89" s="5">
        <v>13949</v>
      </c>
      <c r="B89" s="5">
        <v>1130922088</v>
      </c>
      <c r="C89" s="5">
        <v>726749</v>
      </c>
      <c r="D89" s="5">
        <v>3763763</v>
      </c>
      <c r="E89" s="6" t="s">
        <v>70</v>
      </c>
      <c r="F89" s="6" t="s">
        <v>70</v>
      </c>
      <c r="G89" s="6" t="s">
        <v>70</v>
      </c>
      <c r="H89" s="7"/>
      <c r="I89" s="34" t="str">
        <f t="shared" si="13"/>
        <v>130922</v>
      </c>
      <c r="J89" s="31" t="str">
        <f t="shared" si="14"/>
        <v>01</v>
      </c>
      <c r="N89" s="12">
        <f t="shared" si="15"/>
        <v>0</v>
      </c>
      <c r="O89" s="11" t="str">
        <f t="shared" si="16"/>
        <v>1</v>
      </c>
      <c r="P89" s="11" t="str">
        <f t="shared" si="17"/>
        <v>1</v>
      </c>
      <c r="Q89" s="11" t="str">
        <f t="shared" si="18"/>
        <v>3</v>
      </c>
      <c r="R89" s="11" t="str">
        <f t="shared" si="19"/>
        <v>0</v>
      </c>
      <c r="S89" s="11" t="str">
        <f t="shared" si="20"/>
        <v>9</v>
      </c>
      <c r="T89" s="11" t="str">
        <f t="shared" si="21"/>
        <v>2</v>
      </c>
      <c r="U89" s="11" t="str">
        <f t="shared" si="22"/>
        <v>2</v>
      </c>
      <c r="V89" s="11" t="str">
        <f t="shared" si="23"/>
        <v>0</v>
      </c>
      <c r="W89" s="11" t="str">
        <f t="shared" si="24"/>
        <v>8</v>
      </c>
      <c r="X89" s="11" t="str">
        <f t="shared" si="25"/>
        <v>8</v>
      </c>
    </row>
    <row r="90" spans="1:24" x14ac:dyDescent="0.35">
      <c r="A90" s="5">
        <v>13950</v>
      </c>
      <c r="B90" s="5">
        <v>1130922089</v>
      </c>
      <c r="C90" s="5">
        <v>726719</v>
      </c>
      <c r="D90" s="5">
        <v>3763717</v>
      </c>
      <c r="E90" s="6" t="s">
        <v>70</v>
      </c>
      <c r="F90" s="6" t="s">
        <v>70</v>
      </c>
      <c r="G90" s="6" t="s">
        <v>70</v>
      </c>
      <c r="H90" s="7"/>
      <c r="I90" s="34" t="str">
        <f t="shared" si="13"/>
        <v>130922</v>
      </c>
      <c r="J90" s="31" t="str">
        <f t="shared" si="14"/>
        <v>01</v>
      </c>
      <c r="N90" s="12">
        <f t="shared" si="15"/>
        <v>0</v>
      </c>
      <c r="O90" s="11" t="str">
        <f t="shared" si="16"/>
        <v>1</v>
      </c>
      <c r="P90" s="11" t="str">
        <f t="shared" si="17"/>
        <v>1</v>
      </c>
      <c r="Q90" s="11" t="str">
        <f t="shared" si="18"/>
        <v>3</v>
      </c>
      <c r="R90" s="11" t="str">
        <f t="shared" si="19"/>
        <v>0</v>
      </c>
      <c r="S90" s="11" t="str">
        <f t="shared" si="20"/>
        <v>9</v>
      </c>
      <c r="T90" s="11" t="str">
        <f t="shared" si="21"/>
        <v>2</v>
      </c>
      <c r="U90" s="11" t="str">
        <f t="shared" si="22"/>
        <v>2</v>
      </c>
      <c r="V90" s="11" t="str">
        <f t="shared" si="23"/>
        <v>0</v>
      </c>
      <c r="W90" s="11" t="str">
        <f t="shared" si="24"/>
        <v>8</v>
      </c>
      <c r="X90" s="11" t="str">
        <f t="shared" si="25"/>
        <v>9</v>
      </c>
    </row>
    <row r="91" spans="1:24" x14ac:dyDescent="0.35">
      <c r="A91" s="5">
        <v>13951</v>
      </c>
      <c r="B91" s="5">
        <v>1130922090</v>
      </c>
      <c r="C91" s="5">
        <v>726689</v>
      </c>
      <c r="D91" s="5">
        <v>3763674</v>
      </c>
      <c r="E91" s="6" t="s">
        <v>70</v>
      </c>
      <c r="F91" s="6" t="s">
        <v>70</v>
      </c>
      <c r="G91" s="6" t="s">
        <v>70</v>
      </c>
      <c r="H91" s="7"/>
      <c r="I91" s="34" t="str">
        <f t="shared" si="13"/>
        <v>130922</v>
      </c>
      <c r="J91" s="31" t="str">
        <f t="shared" si="14"/>
        <v>01</v>
      </c>
      <c r="N91" s="12">
        <f t="shared" si="15"/>
        <v>0</v>
      </c>
      <c r="O91" s="11" t="str">
        <f t="shared" si="16"/>
        <v>1</v>
      </c>
      <c r="P91" s="11" t="str">
        <f t="shared" si="17"/>
        <v>1</v>
      </c>
      <c r="Q91" s="11" t="str">
        <f t="shared" si="18"/>
        <v>3</v>
      </c>
      <c r="R91" s="11" t="str">
        <f t="shared" si="19"/>
        <v>0</v>
      </c>
      <c r="S91" s="11" t="str">
        <f t="shared" si="20"/>
        <v>9</v>
      </c>
      <c r="T91" s="11" t="str">
        <f t="shared" si="21"/>
        <v>2</v>
      </c>
      <c r="U91" s="11" t="str">
        <f t="shared" si="22"/>
        <v>2</v>
      </c>
      <c r="V91" s="11" t="str">
        <f t="shared" si="23"/>
        <v>0</v>
      </c>
      <c r="W91" s="11" t="str">
        <f t="shared" si="24"/>
        <v>9</v>
      </c>
      <c r="X91" s="11" t="str">
        <f t="shared" si="25"/>
        <v>0</v>
      </c>
    </row>
    <row r="92" spans="1:24" x14ac:dyDescent="0.35">
      <c r="A92" s="5">
        <v>13952</v>
      </c>
      <c r="B92" s="5">
        <v>1130922091</v>
      </c>
      <c r="C92" s="5">
        <v>726709</v>
      </c>
      <c r="D92" s="5">
        <v>3763660</v>
      </c>
      <c r="E92" s="6" t="s">
        <v>70</v>
      </c>
      <c r="F92" s="6" t="s">
        <v>70</v>
      </c>
      <c r="G92" s="6" t="s">
        <v>70</v>
      </c>
      <c r="H92" s="7"/>
      <c r="I92" s="34" t="str">
        <f t="shared" si="13"/>
        <v>130922</v>
      </c>
      <c r="J92" s="31" t="str">
        <f t="shared" si="14"/>
        <v>01</v>
      </c>
      <c r="N92" s="12">
        <f t="shared" si="15"/>
        <v>0</v>
      </c>
      <c r="O92" s="11" t="str">
        <f t="shared" si="16"/>
        <v>1</v>
      </c>
      <c r="P92" s="11" t="str">
        <f t="shared" si="17"/>
        <v>1</v>
      </c>
      <c r="Q92" s="11" t="str">
        <f t="shared" si="18"/>
        <v>3</v>
      </c>
      <c r="R92" s="11" t="str">
        <f t="shared" si="19"/>
        <v>0</v>
      </c>
      <c r="S92" s="11" t="str">
        <f t="shared" si="20"/>
        <v>9</v>
      </c>
      <c r="T92" s="11" t="str">
        <f t="shared" si="21"/>
        <v>2</v>
      </c>
      <c r="U92" s="11" t="str">
        <f t="shared" si="22"/>
        <v>2</v>
      </c>
      <c r="V92" s="11" t="str">
        <f t="shared" si="23"/>
        <v>0</v>
      </c>
      <c r="W92" s="11" t="str">
        <f t="shared" si="24"/>
        <v>9</v>
      </c>
      <c r="X92" s="11" t="str">
        <f t="shared" si="25"/>
        <v>1</v>
      </c>
    </row>
    <row r="93" spans="1:24" x14ac:dyDescent="0.35">
      <c r="A93" s="5">
        <v>13953</v>
      </c>
      <c r="B93" s="5">
        <v>1130922092</v>
      </c>
      <c r="C93" s="5">
        <v>726737</v>
      </c>
      <c r="D93" s="5">
        <v>3763631</v>
      </c>
      <c r="E93" s="6" t="s">
        <v>70</v>
      </c>
      <c r="F93" s="6" t="s">
        <v>70</v>
      </c>
      <c r="G93" s="6" t="s">
        <v>70</v>
      </c>
      <c r="H93" s="7"/>
      <c r="I93" s="34" t="str">
        <f t="shared" si="13"/>
        <v>130922</v>
      </c>
      <c r="J93" s="31" t="str">
        <f t="shared" si="14"/>
        <v>01</v>
      </c>
      <c r="N93" s="12">
        <f t="shared" si="15"/>
        <v>0</v>
      </c>
      <c r="O93" s="11" t="str">
        <f t="shared" si="16"/>
        <v>1</v>
      </c>
      <c r="P93" s="11" t="str">
        <f t="shared" si="17"/>
        <v>1</v>
      </c>
      <c r="Q93" s="11" t="str">
        <f t="shared" si="18"/>
        <v>3</v>
      </c>
      <c r="R93" s="11" t="str">
        <f t="shared" si="19"/>
        <v>0</v>
      </c>
      <c r="S93" s="11" t="str">
        <f t="shared" si="20"/>
        <v>9</v>
      </c>
      <c r="T93" s="11" t="str">
        <f t="shared" si="21"/>
        <v>2</v>
      </c>
      <c r="U93" s="11" t="str">
        <f t="shared" si="22"/>
        <v>2</v>
      </c>
      <c r="V93" s="11" t="str">
        <f t="shared" si="23"/>
        <v>0</v>
      </c>
      <c r="W93" s="11" t="str">
        <f t="shared" si="24"/>
        <v>9</v>
      </c>
      <c r="X93" s="11" t="str">
        <f t="shared" si="25"/>
        <v>2</v>
      </c>
    </row>
    <row r="94" spans="1:24" x14ac:dyDescent="0.35">
      <c r="A94" s="5">
        <v>13954</v>
      </c>
      <c r="B94" s="5">
        <v>1130922093</v>
      </c>
      <c r="C94" s="5">
        <v>726737</v>
      </c>
      <c r="D94" s="5">
        <v>3763632</v>
      </c>
      <c r="E94" s="6" t="s">
        <v>70</v>
      </c>
      <c r="F94" s="6" t="s">
        <v>70</v>
      </c>
      <c r="G94" s="6" t="s">
        <v>70</v>
      </c>
      <c r="H94" s="7"/>
      <c r="I94" s="34" t="str">
        <f t="shared" si="13"/>
        <v>130922</v>
      </c>
      <c r="J94" s="31" t="str">
        <f t="shared" si="14"/>
        <v>01</v>
      </c>
      <c r="N94" s="12">
        <f t="shared" si="15"/>
        <v>0</v>
      </c>
      <c r="O94" s="11" t="str">
        <f t="shared" si="16"/>
        <v>1</v>
      </c>
      <c r="P94" s="11" t="str">
        <f t="shared" si="17"/>
        <v>1</v>
      </c>
      <c r="Q94" s="11" t="str">
        <f t="shared" si="18"/>
        <v>3</v>
      </c>
      <c r="R94" s="11" t="str">
        <f t="shared" si="19"/>
        <v>0</v>
      </c>
      <c r="S94" s="11" t="str">
        <f t="shared" si="20"/>
        <v>9</v>
      </c>
      <c r="T94" s="11" t="str">
        <f t="shared" si="21"/>
        <v>2</v>
      </c>
      <c r="U94" s="11" t="str">
        <f t="shared" si="22"/>
        <v>2</v>
      </c>
      <c r="V94" s="11" t="str">
        <f t="shared" si="23"/>
        <v>0</v>
      </c>
      <c r="W94" s="11" t="str">
        <f t="shared" si="24"/>
        <v>9</v>
      </c>
      <c r="X94" s="11" t="str">
        <f t="shared" si="25"/>
        <v>3</v>
      </c>
    </row>
    <row r="95" spans="1:24" x14ac:dyDescent="0.35">
      <c r="A95" s="5">
        <v>13955</v>
      </c>
      <c r="B95" s="5">
        <v>1130922094</v>
      </c>
      <c r="C95" s="5">
        <v>726737</v>
      </c>
      <c r="D95" s="5">
        <v>3763632</v>
      </c>
      <c r="E95" s="6" t="s">
        <v>70</v>
      </c>
      <c r="F95" s="6" t="s">
        <v>70</v>
      </c>
      <c r="G95" s="6" t="s">
        <v>70</v>
      </c>
      <c r="H95" s="7"/>
      <c r="I95" s="34" t="str">
        <f t="shared" si="13"/>
        <v>130922</v>
      </c>
      <c r="J95" s="31" t="str">
        <f t="shared" si="14"/>
        <v>01</v>
      </c>
      <c r="N95" s="12">
        <f t="shared" si="15"/>
        <v>0</v>
      </c>
      <c r="O95" s="11" t="str">
        <f t="shared" si="16"/>
        <v>1</v>
      </c>
      <c r="P95" s="11" t="str">
        <f t="shared" si="17"/>
        <v>1</v>
      </c>
      <c r="Q95" s="11" t="str">
        <f t="shared" si="18"/>
        <v>3</v>
      </c>
      <c r="R95" s="11" t="str">
        <f t="shared" si="19"/>
        <v>0</v>
      </c>
      <c r="S95" s="11" t="str">
        <f t="shared" si="20"/>
        <v>9</v>
      </c>
      <c r="T95" s="11" t="str">
        <f t="shared" si="21"/>
        <v>2</v>
      </c>
      <c r="U95" s="11" t="str">
        <f t="shared" si="22"/>
        <v>2</v>
      </c>
      <c r="V95" s="11" t="str">
        <f t="shared" si="23"/>
        <v>0</v>
      </c>
      <c r="W95" s="11" t="str">
        <f t="shared" si="24"/>
        <v>9</v>
      </c>
      <c r="X95" s="11" t="str">
        <f t="shared" si="25"/>
        <v>4</v>
      </c>
    </row>
    <row r="96" spans="1:24" x14ac:dyDescent="0.35">
      <c r="A96" s="5">
        <v>13956</v>
      </c>
      <c r="B96" s="5">
        <v>1130922095</v>
      </c>
      <c r="C96" s="5">
        <v>726775</v>
      </c>
      <c r="D96" s="5">
        <v>3763605</v>
      </c>
      <c r="E96" s="6" t="s">
        <v>70</v>
      </c>
      <c r="F96" s="6" t="s">
        <v>70</v>
      </c>
      <c r="G96" s="6" t="s">
        <v>70</v>
      </c>
      <c r="H96" s="7"/>
      <c r="I96" s="34" t="str">
        <f t="shared" si="13"/>
        <v>130922</v>
      </c>
      <c r="J96" s="31" t="str">
        <f t="shared" si="14"/>
        <v>01</v>
      </c>
      <c r="N96" s="12">
        <f t="shared" si="15"/>
        <v>0</v>
      </c>
      <c r="O96" s="11" t="str">
        <f t="shared" si="16"/>
        <v>1</v>
      </c>
      <c r="P96" s="11" t="str">
        <f t="shared" si="17"/>
        <v>1</v>
      </c>
      <c r="Q96" s="11" t="str">
        <f t="shared" si="18"/>
        <v>3</v>
      </c>
      <c r="R96" s="11" t="str">
        <f t="shared" si="19"/>
        <v>0</v>
      </c>
      <c r="S96" s="11" t="str">
        <f t="shared" si="20"/>
        <v>9</v>
      </c>
      <c r="T96" s="11" t="str">
        <f t="shared" si="21"/>
        <v>2</v>
      </c>
      <c r="U96" s="11" t="str">
        <f t="shared" si="22"/>
        <v>2</v>
      </c>
      <c r="V96" s="11" t="str">
        <f t="shared" si="23"/>
        <v>0</v>
      </c>
      <c r="W96" s="11" t="str">
        <f t="shared" si="24"/>
        <v>9</v>
      </c>
      <c r="X96" s="11" t="str">
        <f t="shared" si="25"/>
        <v>5</v>
      </c>
    </row>
    <row r="97" spans="1:24" x14ac:dyDescent="0.35">
      <c r="A97" s="5">
        <v>13957</v>
      </c>
      <c r="B97" s="5">
        <v>1130922096</v>
      </c>
      <c r="C97" s="5">
        <v>726819</v>
      </c>
      <c r="D97" s="5">
        <v>3763583</v>
      </c>
      <c r="E97" s="6" t="s">
        <v>70</v>
      </c>
      <c r="F97" s="6" t="s">
        <v>70</v>
      </c>
      <c r="G97" s="6" t="s">
        <v>70</v>
      </c>
      <c r="H97" s="7"/>
      <c r="I97" s="34" t="str">
        <f t="shared" si="13"/>
        <v>130922</v>
      </c>
      <c r="J97" s="31" t="str">
        <f t="shared" si="14"/>
        <v>01</v>
      </c>
      <c r="N97" s="12">
        <f t="shared" si="15"/>
        <v>0</v>
      </c>
      <c r="O97" s="11" t="str">
        <f t="shared" si="16"/>
        <v>1</v>
      </c>
      <c r="P97" s="11" t="str">
        <f t="shared" si="17"/>
        <v>1</v>
      </c>
      <c r="Q97" s="11" t="str">
        <f t="shared" si="18"/>
        <v>3</v>
      </c>
      <c r="R97" s="11" t="str">
        <f t="shared" si="19"/>
        <v>0</v>
      </c>
      <c r="S97" s="11" t="str">
        <f t="shared" si="20"/>
        <v>9</v>
      </c>
      <c r="T97" s="11" t="str">
        <f t="shared" si="21"/>
        <v>2</v>
      </c>
      <c r="U97" s="11" t="str">
        <f t="shared" si="22"/>
        <v>2</v>
      </c>
      <c r="V97" s="11" t="str">
        <f t="shared" si="23"/>
        <v>0</v>
      </c>
      <c r="W97" s="11" t="str">
        <f t="shared" si="24"/>
        <v>9</v>
      </c>
      <c r="X97" s="11" t="str">
        <f t="shared" si="25"/>
        <v>6</v>
      </c>
    </row>
    <row r="98" spans="1:24" x14ac:dyDescent="0.35">
      <c r="A98" s="5">
        <v>13958</v>
      </c>
      <c r="B98" s="5">
        <v>1130922097</v>
      </c>
      <c r="C98" s="5">
        <v>726664</v>
      </c>
      <c r="D98" s="5">
        <v>3763638</v>
      </c>
      <c r="E98" s="6" t="s">
        <v>70</v>
      </c>
      <c r="F98" s="6" t="s">
        <v>70</v>
      </c>
      <c r="G98" s="6" t="s">
        <v>70</v>
      </c>
      <c r="H98" s="7"/>
      <c r="I98" s="34" t="str">
        <f t="shared" si="13"/>
        <v>130922</v>
      </c>
      <c r="J98" s="31" t="str">
        <f t="shared" si="14"/>
        <v>01</v>
      </c>
      <c r="N98" s="12">
        <f t="shared" si="15"/>
        <v>0</v>
      </c>
      <c r="O98" s="11" t="str">
        <f t="shared" si="16"/>
        <v>1</v>
      </c>
      <c r="P98" s="11" t="str">
        <f t="shared" si="17"/>
        <v>1</v>
      </c>
      <c r="Q98" s="11" t="str">
        <f t="shared" si="18"/>
        <v>3</v>
      </c>
      <c r="R98" s="11" t="str">
        <f t="shared" si="19"/>
        <v>0</v>
      </c>
      <c r="S98" s="11" t="str">
        <f t="shared" si="20"/>
        <v>9</v>
      </c>
      <c r="T98" s="11" t="str">
        <f t="shared" si="21"/>
        <v>2</v>
      </c>
      <c r="U98" s="11" t="str">
        <f t="shared" si="22"/>
        <v>2</v>
      </c>
      <c r="V98" s="11" t="str">
        <f t="shared" si="23"/>
        <v>0</v>
      </c>
      <c r="W98" s="11" t="str">
        <f t="shared" si="24"/>
        <v>9</v>
      </c>
      <c r="X98" s="11" t="str">
        <f t="shared" si="25"/>
        <v>7</v>
      </c>
    </row>
    <row r="99" spans="1:24" x14ac:dyDescent="0.35">
      <c r="A99" s="5">
        <v>13959</v>
      </c>
      <c r="B99" s="5">
        <v>1130922098</v>
      </c>
      <c r="C99" s="5">
        <v>726642</v>
      </c>
      <c r="D99" s="5">
        <v>3763609</v>
      </c>
      <c r="E99" s="6" t="s">
        <v>70</v>
      </c>
      <c r="F99" s="6" t="s">
        <v>70</v>
      </c>
      <c r="G99" s="6" t="s">
        <v>70</v>
      </c>
      <c r="H99" s="7"/>
      <c r="I99" s="34" t="str">
        <f t="shared" si="13"/>
        <v>130922</v>
      </c>
      <c r="J99" s="31" t="str">
        <f t="shared" si="14"/>
        <v>01</v>
      </c>
      <c r="N99" s="12">
        <f t="shared" si="15"/>
        <v>0</v>
      </c>
      <c r="O99" s="11" t="str">
        <f t="shared" si="16"/>
        <v>1</v>
      </c>
      <c r="P99" s="11" t="str">
        <f t="shared" si="17"/>
        <v>1</v>
      </c>
      <c r="Q99" s="11" t="str">
        <f t="shared" si="18"/>
        <v>3</v>
      </c>
      <c r="R99" s="11" t="str">
        <f t="shared" si="19"/>
        <v>0</v>
      </c>
      <c r="S99" s="11" t="str">
        <f t="shared" si="20"/>
        <v>9</v>
      </c>
      <c r="T99" s="11" t="str">
        <f t="shared" si="21"/>
        <v>2</v>
      </c>
      <c r="U99" s="11" t="str">
        <f t="shared" si="22"/>
        <v>2</v>
      </c>
      <c r="V99" s="11" t="str">
        <f t="shared" si="23"/>
        <v>0</v>
      </c>
      <c r="W99" s="11" t="str">
        <f t="shared" si="24"/>
        <v>9</v>
      </c>
      <c r="X99" s="11" t="str">
        <f t="shared" si="25"/>
        <v>8</v>
      </c>
    </row>
    <row r="100" spans="1:24" x14ac:dyDescent="0.35">
      <c r="A100" s="5">
        <v>13960</v>
      </c>
      <c r="B100" s="5">
        <v>1130922099</v>
      </c>
      <c r="C100" s="5">
        <v>726624</v>
      </c>
      <c r="D100" s="5">
        <v>3763583</v>
      </c>
      <c r="E100" s="6" t="s">
        <v>70</v>
      </c>
      <c r="F100" s="6" t="s">
        <v>70</v>
      </c>
      <c r="G100" s="6" t="s">
        <v>70</v>
      </c>
      <c r="H100" s="7"/>
      <c r="I100" s="34" t="str">
        <f t="shared" si="13"/>
        <v>130922</v>
      </c>
      <c r="J100" s="31" t="str">
        <f t="shared" si="14"/>
        <v>01</v>
      </c>
      <c r="N100" s="12">
        <f t="shared" si="15"/>
        <v>0</v>
      </c>
      <c r="O100" s="11" t="str">
        <f t="shared" si="16"/>
        <v>1</v>
      </c>
      <c r="P100" s="11" t="str">
        <f t="shared" si="17"/>
        <v>1</v>
      </c>
      <c r="Q100" s="11" t="str">
        <f t="shared" si="18"/>
        <v>3</v>
      </c>
      <c r="R100" s="11" t="str">
        <f t="shared" si="19"/>
        <v>0</v>
      </c>
      <c r="S100" s="11" t="str">
        <f t="shared" si="20"/>
        <v>9</v>
      </c>
      <c r="T100" s="11" t="str">
        <f t="shared" si="21"/>
        <v>2</v>
      </c>
      <c r="U100" s="11" t="str">
        <f t="shared" si="22"/>
        <v>2</v>
      </c>
      <c r="V100" s="11" t="str">
        <f t="shared" si="23"/>
        <v>0</v>
      </c>
      <c r="W100" s="11" t="str">
        <f t="shared" si="24"/>
        <v>9</v>
      </c>
      <c r="X100" s="11" t="str">
        <f t="shared" si="25"/>
        <v>9</v>
      </c>
    </row>
    <row r="101" spans="1:24" x14ac:dyDescent="0.35">
      <c r="A101" s="5">
        <v>13961</v>
      </c>
      <c r="B101" s="5">
        <v>1130922100</v>
      </c>
      <c r="C101" s="5">
        <v>726625</v>
      </c>
      <c r="D101" s="5">
        <v>3763583</v>
      </c>
      <c r="E101" s="6" t="s">
        <v>70</v>
      </c>
      <c r="F101" s="6" t="s">
        <v>70</v>
      </c>
      <c r="G101" s="6" t="s">
        <v>70</v>
      </c>
      <c r="H101" s="7"/>
      <c r="I101" s="34" t="str">
        <f t="shared" si="13"/>
        <v>130922</v>
      </c>
      <c r="J101" s="31" t="str">
        <f t="shared" si="14"/>
        <v>01</v>
      </c>
      <c r="N101" s="12">
        <f t="shared" si="15"/>
        <v>0</v>
      </c>
      <c r="O101" s="11" t="str">
        <f t="shared" si="16"/>
        <v>1</v>
      </c>
      <c r="P101" s="11" t="str">
        <f t="shared" si="17"/>
        <v>1</v>
      </c>
      <c r="Q101" s="11" t="str">
        <f t="shared" si="18"/>
        <v>3</v>
      </c>
      <c r="R101" s="11" t="str">
        <f t="shared" si="19"/>
        <v>0</v>
      </c>
      <c r="S101" s="11" t="str">
        <f t="shared" si="20"/>
        <v>9</v>
      </c>
      <c r="T101" s="11" t="str">
        <f t="shared" si="21"/>
        <v>2</v>
      </c>
      <c r="U101" s="11" t="str">
        <f t="shared" si="22"/>
        <v>2</v>
      </c>
      <c r="V101" s="11" t="str">
        <f t="shared" si="23"/>
        <v>1</v>
      </c>
      <c r="W101" s="11" t="str">
        <f t="shared" si="24"/>
        <v>0</v>
      </c>
      <c r="X101" s="11" t="str">
        <f t="shared" si="25"/>
        <v>0</v>
      </c>
    </row>
    <row r="102" spans="1:24" x14ac:dyDescent="0.35">
      <c r="A102" s="5">
        <v>13962</v>
      </c>
      <c r="B102" s="5">
        <v>1130922101</v>
      </c>
      <c r="C102" s="5">
        <v>726626</v>
      </c>
      <c r="D102" s="5">
        <v>3763582</v>
      </c>
      <c r="E102" s="6" t="s">
        <v>70</v>
      </c>
      <c r="F102" s="6" t="s">
        <v>70</v>
      </c>
      <c r="G102" s="6" t="s">
        <v>70</v>
      </c>
      <c r="H102" s="7"/>
      <c r="I102" s="34" t="str">
        <f t="shared" si="13"/>
        <v>130922</v>
      </c>
      <c r="J102" s="31" t="str">
        <f t="shared" si="14"/>
        <v>01</v>
      </c>
      <c r="N102" s="12">
        <f t="shared" si="15"/>
        <v>0</v>
      </c>
      <c r="O102" s="11" t="str">
        <f t="shared" si="16"/>
        <v>1</v>
      </c>
      <c r="P102" s="11" t="str">
        <f t="shared" si="17"/>
        <v>1</v>
      </c>
      <c r="Q102" s="11" t="str">
        <f t="shared" si="18"/>
        <v>3</v>
      </c>
      <c r="R102" s="11" t="str">
        <f t="shared" si="19"/>
        <v>0</v>
      </c>
      <c r="S102" s="11" t="str">
        <f t="shared" si="20"/>
        <v>9</v>
      </c>
      <c r="T102" s="11" t="str">
        <f t="shared" si="21"/>
        <v>2</v>
      </c>
      <c r="U102" s="11" t="str">
        <f t="shared" si="22"/>
        <v>2</v>
      </c>
      <c r="V102" s="11" t="str">
        <f t="shared" si="23"/>
        <v>1</v>
      </c>
      <c r="W102" s="11" t="str">
        <f t="shared" si="24"/>
        <v>0</v>
      </c>
      <c r="X102" s="11" t="str">
        <f t="shared" si="25"/>
        <v>1</v>
      </c>
    </row>
    <row r="103" spans="1:24" x14ac:dyDescent="0.35">
      <c r="A103" s="5">
        <v>13963</v>
      </c>
      <c r="B103" s="5">
        <v>1130922102</v>
      </c>
      <c r="C103" s="5">
        <v>726650</v>
      </c>
      <c r="D103" s="5">
        <v>3763565</v>
      </c>
      <c r="E103" s="6" t="s">
        <v>70</v>
      </c>
      <c r="F103" s="6" t="s">
        <v>70</v>
      </c>
      <c r="G103" s="6" t="s">
        <v>70</v>
      </c>
      <c r="H103" s="7"/>
      <c r="I103" s="34" t="str">
        <f t="shared" si="13"/>
        <v>130922</v>
      </c>
      <c r="J103" s="31" t="str">
        <f t="shared" si="14"/>
        <v>01</v>
      </c>
      <c r="N103" s="12">
        <f t="shared" si="15"/>
        <v>0</v>
      </c>
      <c r="O103" s="11" t="str">
        <f t="shared" si="16"/>
        <v>1</v>
      </c>
      <c r="P103" s="11" t="str">
        <f t="shared" si="17"/>
        <v>1</v>
      </c>
      <c r="Q103" s="11" t="str">
        <f t="shared" si="18"/>
        <v>3</v>
      </c>
      <c r="R103" s="11" t="str">
        <f t="shared" si="19"/>
        <v>0</v>
      </c>
      <c r="S103" s="11" t="str">
        <f t="shared" si="20"/>
        <v>9</v>
      </c>
      <c r="T103" s="11" t="str">
        <f t="shared" si="21"/>
        <v>2</v>
      </c>
      <c r="U103" s="11" t="str">
        <f t="shared" si="22"/>
        <v>2</v>
      </c>
      <c r="V103" s="11" t="str">
        <f t="shared" si="23"/>
        <v>1</v>
      </c>
      <c r="W103" s="11" t="str">
        <f t="shared" si="24"/>
        <v>0</v>
      </c>
      <c r="X103" s="11" t="str">
        <f t="shared" si="25"/>
        <v>2</v>
      </c>
    </row>
    <row r="104" spans="1:24" x14ac:dyDescent="0.35">
      <c r="A104" s="5">
        <v>13964</v>
      </c>
      <c r="B104" s="5">
        <v>1130922103</v>
      </c>
      <c r="C104" s="5">
        <v>726685</v>
      </c>
      <c r="D104" s="5">
        <v>3763539</v>
      </c>
      <c r="E104" s="6" t="s">
        <v>70</v>
      </c>
      <c r="F104" s="6" t="s">
        <v>70</v>
      </c>
      <c r="G104" s="6" t="s">
        <v>70</v>
      </c>
      <c r="H104" s="7"/>
      <c r="I104" s="34" t="str">
        <f t="shared" si="13"/>
        <v>130922</v>
      </c>
      <c r="J104" s="31" t="str">
        <f t="shared" si="14"/>
        <v>01</v>
      </c>
      <c r="N104" s="12">
        <f t="shared" si="15"/>
        <v>0</v>
      </c>
      <c r="O104" s="11" t="str">
        <f t="shared" si="16"/>
        <v>1</v>
      </c>
      <c r="P104" s="11" t="str">
        <f t="shared" si="17"/>
        <v>1</v>
      </c>
      <c r="Q104" s="11" t="str">
        <f t="shared" si="18"/>
        <v>3</v>
      </c>
      <c r="R104" s="11" t="str">
        <f t="shared" si="19"/>
        <v>0</v>
      </c>
      <c r="S104" s="11" t="str">
        <f t="shared" si="20"/>
        <v>9</v>
      </c>
      <c r="T104" s="11" t="str">
        <f t="shared" si="21"/>
        <v>2</v>
      </c>
      <c r="U104" s="11" t="str">
        <f t="shared" si="22"/>
        <v>2</v>
      </c>
      <c r="V104" s="11" t="str">
        <f t="shared" si="23"/>
        <v>1</v>
      </c>
      <c r="W104" s="11" t="str">
        <f t="shared" si="24"/>
        <v>0</v>
      </c>
      <c r="X104" s="11" t="str">
        <f t="shared" si="25"/>
        <v>3</v>
      </c>
    </row>
    <row r="105" spans="1:24" x14ac:dyDescent="0.35">
      <c r="A105" s="5">
        <v>13965</v>
      </c>
      <c r="B105" s="5">
        <v>1130922104</v>
      </c>
      <c r="C105" s="5">
        <v>726727</v>
      </c>
      <c r="D105" s="5">
        <v>3763513</v>
      </c>
      <c r="E105" s="6" t="s">
        <v>70</v>
      </c>
      <c r="F105" s="6" t="s">
        <v>70</v>
      </c>
      <c r="G105" s="6" t="s">
        <v>70</v>
      </c>
      <c r="H105" s="7"/>
      <c r="I105" s="34" t="str">
        <f t="shared" si="13"/>
        <v>130922</v>
      </c>
      <c r="J105" s="31" t="str">
        <f t="shared" si="14"/>
        <v>01</v>
      </c>
      <c r="N105" s="12">
        <f t="shared" si="15"/>
        <v>0</v>
      </c>
      <c r="O105" s="11" t="str">
        <f t="shared" si="16"/>
        <v>1</v>
      </c>
      <c r="P105" s="11" t="str">
        <f t="shared" si="17"/>
        <v>1</v>
      </c>
      <c r="Q105" s="11" t="str">
        <f t="shared" si="18"/>
        <v>3</v>
      </c>
      <c r="R105" s="11" t="str">
        <f t="shared" si="19"/>
        <v>0</v>
      </c>
      <c r="S105" s="11" t="str">
        <f t="shared" si="20"/>
        <v>9</v>
      </c>
      <c r="T105" s="11" t="str">
        <f t="shared" si="21"/>
        <v>2</v>
      </c>
      <c r="U105" s="11" t="str">
        <f t="shared" si="22"/>
        <v>2</v>
      </c>
      <c r="V105" s="11" t="str">
        <f t="shared" si="23"/>
        <v>1</v>
      </c>
      <c r="W105" s="11" t="str">
        <f t="shared" si="24"/>
        <v>0</v>
      </c>
      <c r="X105" s="11" t="str">
        <f t="shared" si="25"/>
        <v>4</v>
      </c>
    </row>
    <row r="106" spans="1:24" x14ac:dyDescent="0.35">
      <c r="A106" s="5">
        <v>13966</v>
      </c>
      <c r="B106" s="5">
        <v>1130922105</v>
      </c>
      <c r="C106" s="5">
        <v>726767</v>
      </c>
      <c r="D106" s="5">
        <v>3763487</v>
      </c>
      <c r="E106" s="6" t="s">
        <v>70</v>
      </c>
      <c r="F106" s="6" t="s">
        <v>70</v>
      </c>
      <c r="G106" s="6" t="s">
        <v>70</v>
      </c>
      <c r="H106" s="7"/>
      <c r="I106" s="34" t="str">
        <f t="shared" si="13"/>
        <v>130922</v>
      </c>
      <c r="J106" s="31" t="str">
        <f t="shared" si="14"/>
        <v>01</v>
      </c>
      <c r="N106" s="12">
        <f t="shared" si="15"/>
        <v>0</v>
      </c>
      <c r="O106" s="11" t="str">
        <f t="shared" si="16"/>
        <v>1</v>
      </c>
      <c r="P106" s="11" t="str">
        <f t="shared" si="17"/>
        <v>1</v>
      </c>
      <c r="Q106" s="11" t="str">
        <f t="shared" si="18"/>
        <v>3</v>
      </c>
      <c r="R106" s="11" t="str">
        <f t="shared" si="19"/>
        <v>0</v>
      </c>
      <c r="S106" s="11" t="str">
        <f t="shared" si="20"/>
        <v>9</v>
      </c>
      <c r="T106" s="11" t="str">
        <f t="shared" si="21"/>
        <v>2</v>
      </c>
      <c r="U106" s="11" t="str">
        <f t="shared" si="22"/>
        <v>2</v>
      </c>
      <c r="V106" s="11" t="str">
        <f t="shared" si="23"/>
        <v>1</v>
      </c>
      <c r="W106" s="11" t="str">
        <f t="shared" si="24"/>
        <v>0</v>
      </c>
      <c r="X106" s="11" t="str">
        <f t="shared" si="25"/>
        <v>5</v>
      </c>
    </row>
    <row r="107" spans="1:24" x14ac:dyDescent="0.35">
      <c r="A107" s="5">
        <v>13967</v>
      </c>
      <c r="B107" s="5">
        <v>1130922106</v>
      </c>
      <c r="C107" s="5">
        <v>726581</v>
      </c>
      <c r="D107" s="5">
        <v>3763543</v>
      </c>
      <c r="E107" s="6" t="s">
        <v>70</v>
      </c>
      <c r="F107" s="6" t="s">
        <v>70</v>
      </c>
      <c r="G107" s="6" t="s">
        <v>70</v>
      </c>
      <c r="H107" s="7"/>
      <c r="I107" s="34" t="str">
        <f t="shared" si="13"/>
        <v>130922</v>
      </c>
      <c r="J107" s="31" t="str">
        <f t="shared" si="14"/>
        <v>01</v>
      </c>
      <c r="N107" s="12">
        <f t="shared" si="15"/>
        <v>0</v>
      </c>
      <c r="O107" s="11" t="str">
        <f t="shared" si="16"/>
        <v>1</v>
      </c>
      <c r="P107" s="11" t="str">
        <f t="shared" si="17"/>
        <v>1</v>
      </c>
      <c r="Q107" s="11" t="str">
        <f t="shared" si="18"/>
        <v>3</v>
      </c>
      <c r="R107" s="11" t="str">
        <f t="shared" si="19"/>
        <v>0</v>
      </c>
      <c r="S107" s="11" t="str">
        <f t="shared" si="20"/>
        <v>9</v>
      </c>
      <c r="T107" s="11" t="str">
        <f t="shared" si="21"/>
        <v>2</v>
      </c>
      <c r="U107" s="11" t="str">
        <f t="shared" si="22"/>
        <v>2</v>
      </c>
      <c r="V107" s="11" t="str">
        <f t="shared" si="23"/>
        <v>1</v>
      </c>
      <c r="W107" s="11" t="str">
        <f t="shared" si="24"/>
        <v>0</v>
      </c>
      <c r="X107" s="11" t="str">
        <f t="shared" si="25"/>
        <v>6</v>
      </c>
    </row>
    <row r="108" spans="1:24" x14ac:dyDescent="0.35">
      <c r="A108" s="5">
        <v>13968</v>
      </c>
      <c r="B108" s="5">
        <v>1130922107</v>
      </c>
      <c r="C108" s="5">
        <v>726580</v>
      </c>
      <c r="D108" s="5">
        <v>3763544</v>
      </c>
      <c r="E108" s="6" t="s">
        <v>70</v>
      </c>
      <c r="F108" s="6" t="s">
        <v>70</v>
      </c>
      <c r="G108" s="6" t="s">
        <v>70</v>
      </c>
      <c r="H108" s="7"/>
      <c r="I108" s="34" t="str">
        <f t="shared" si="13"/>
        <v>130922</v>
      </c>
      <c r="J108" s="31" t="str">
        <f t="shared" si="14"/>
        <v>01</v>
      </c>
      <c r="N108" s="12">
        <f t="shared" si="15"/>
        <v>0</v>
      </c>
      <c r="O108" s="11" t="str">
        <f t="shared" si="16"/>
        <v>1</v>
      </c>
      <c r="P108" s="11" t="str">
        <f t="shared" si="17"/>
        <v>1</v>
      </c>
      <c r="Q108" s="11" t="str">
        <f t="shared" si="18"/>
        <v>3</v>
      </c>
      <c r="R108" s="11" t="str">
        <f t="shared" si="19"/>
        <v>0</v>
      </c>
      <c r="S108" s="11" t="str">
        <f t="shared" si="20"/>
        <v>9</v>
      </c>
      <c r="T108" s="11" t="str">
        <f t="shared" si="21"/>
        <v>2</v>
      </c>
      <c r="U108" s="11" t="str">
        <f t="shared" si="22"/>
        <v>2</v>
      </c>
      <c r="V108" s="11" t="str">
        <f t="shared" si="23"/>
        <v>1</v>
      </c>
      <c r="W108" s="11" t="str">
        <f t="shared" si="24"/>
        <v>0</v>
      </c>
      <c r="X108" s="11" t="str">
        <f t="shared" si="25"/>
        <v>7</v>
      </c>
    </row>
    <row r="109" spans="1:24" x14ac:dyDescent="0.35">
      <c r="A109" s="5">
        <v>13969</v>
      </c>
      <c r="B109" s="5">
        <v>1130922108</v>
      </c>
      <c r="C109" s="5">
        <v>726581</v>
      </c>
      <c r="D109" s="5">
        <v>3763545</v>
      </c>
      <c r="E109" s="6" t="s">
        <v>70</v>
      </c>
      <c r="F109" s="6" t="s">
        <v>70</v>
      </c>
      <c r="G109" s="6" t="s">
        <v>70</v>
      </c>
      <c r="H109" s="7"/>
      <c r="I109" s="34" t="str">
        <f t="shared" si="13"/>
        <v>130922</v>
      </c>
      <c r="J109" s="31" t="str">
        <f t="shared" si="14"/>
        <v>01</v>
      </c>
      <c r="N109" s="12">
        <f t="shared" si="15"/>
        <v>0</v>
      </c>
      <c r="O109" s="11" t="str">
        <f t="shared" si="16"/>
        <v>1</v>
      </c>
      <c r="P109" s="11" t="str">
        <f t="shared" si="17"/>
        <v>1</v>
      </c>
      <c r="Q109" s="11" t="str">
        <f t="shared" si="18"/>
        <v>3</v>
      </c>
      <c r="R109" s="11" t="str">
        <f t="shared" si="19"/>
        <v>0</v>
      </c>
      <c r="S109" s="11" t="str">
        <f t="shared" si="20"/>
        <v>9</v>
      </c>
      <c r="T109" s="11" t="str">
        <f t="shared" si="21"/>
        <v>2</v>
      </c>
      <c r="U109" s="11" t="str">
        <f t="shared" si="22"/>
        <v>2</v>
      </c>
      <c r="V109" s="11" t="str">
        <f t="shared" si="23"/>
        <v>1</v>
      </c>
      <c r="W109" s="11" t="str">
        <f t="shared" si="24"/>
        <v>0</v>
      </c>
      <c r="X109" s="11" t="str">
        <f t="shared" si="25"/>
        <v>8</v>
      </c>
    </row>
    <row r="110" spans="1:24" x14ac:dyDescent="0.35">
      <c r="A110" s="5">
        <v>13970</v>
      </c>
      <c r="B110" s="5">
        <v>1130922109</v>
      </c>
      <c r="C110" s="5">
        <v>726596</v>
      </c>
      <c r="D110" s="5">
        <v>3763547</v>
      </c>
      <c r="E110" s="6" t="s">
        <v>70</v>
      </c>
      <c r="F110" s="6" t="s">
        <v>70</v>
      </c>
      <c r="G110" s="6" t="s">
        <v>70</v>
      </c>
      <c r="H110" s="7"/>
      <c r="I110" s="34" t="str">
        <f t="shared" si="13"/>
        <v>130922</v>
      </c>
      <c r="J110" s="31" t="str">
        <f t="shared" si="14"/>
        <v>01</v>
      </c>
      <c r="N110" s="12">
        <f t="shared" si="15"/>
        <v>0</v>
      </c>
      <c r="O110" s="11" t="str">
        <f t="shared" si="16"/>
        <v>1</v>
      </c>
      <c r="P110" s="11" t="str">
        <f t="shared" si="17"/>
        <v>1</v>
      </c>
      <c r="Q110" s="11" t="str">
        <f t="shared" si="18"/>
        <v>3</v>
      </c>
      <c r="R110" s="11" t="str">
        <f t="shared" si="19"/>
        <v>0</v>
      </c>
      <c r="S110" s="11" t="str">
        <f t="shared" si="20"/>
        <v>9</v>
      </c>
      <c r="T110" s="11" t="str">
        <f t="shared" si="21"/>
        <v>2</v>
      </c>
      <c r="U110" s="11" t="str">
        <f t="shared" si="22"/>
        <v>2</v>
      </c>
      <c r="V110" s="11" t="str">
        <f t="shared" si="23"/>
        <v>1</v>
      </c>
      <c r="W110" s="11" t="str">
        <f t="shared" si="24"/>
        <v>0</v>
      </c>
      <c r="X110" s="11" t="str">
        <f t="shared" si="25"/>
        <v>9</v>
      </c>
    </row>
    <row r="111" spans="1:24" x14ac:dyDescent="0.35">
      <c r="A111" s="5">
        <v>13971</v>
      </c>
      <c r="B111" s="5">
        <v>1130922110</v>
      </c>
      <c r="C111" s="5">
        <v>726626</v>
      </c>
      <c r="D111" s="5">
        <v>3763518</v>
      </c>
      <c r="E111" s="6" t="s">
        <v>70</v>
      </c>
      <c r="F111" s="6" t="s">
        <v>70</v>
      </c>
      <c r="G111" s="6" t="s">
        <v>70</v>
      </c>
      <c r="H111" s="7"/>
      <c r="I111" s="34" t="str">
        <f t="shared" si="13"/>
        <v>130922</v>
      </c>
      <c r="J111" s="31" t="str">
        <f t="shared" si="14"/>
        <v>01</v>
      </c>
      <c r="N111" s="12">
        <f t="shared" si="15"/>
        <v>0</v>
      </c>
      <c r="O111" s="11" t="str">
        <f t="shared" si="16"/>
        <v>1</v>
      </c>
      <c r="P111" s="11" t="str">
        <f t="shared" si="17"/>
        <v>1</v>
      </c>
      <c r="Q111" s="11" t="str">
        <f t="shared" si="18"/>
        <v>3</v>
      </c>
      <c r="R111" s="11" t="str">
        <f t="shared" si="19"/>
        <v>0</v>
      </c>
      <c r="S111" s="11" t="str">
        <f t="shared" si="20"/>
        <v>9</v>
      </c>
      <c r="T111" s="11" t="str">
        <f t="shared" si="21"/>
        <v>2</v>
      </c>
      <c r="U111" s="11" t="str">
        <f t="shared" si="22"/>
        <v>2</v>
      </c>
      <c r="V111" s="11" t="str">
        <f t="shared" si="23"/>
        <v>1</v>
      </c>
      <c r="W111" s="11" t="str">
        <f t="shared" si="24"/>
        <v>1</v>
      </c>
      <c r="X111" s="11" t="str">
        <f t="shared" si="25"/>
        <v>0</v>
      </c>
    </row>
    <row r="112" spans="1:24" x14ac:dyDescent="0.35">
      <c r="A112" s="5">
        <v>13972</v>
      </c>
      <c r="B112" s="5">
        <v>1130922111</v>
      </c>
      <c r="C112" s="5">
        <v>726660</v>
      </c>
      <c r="D112" s="5">
        <v>3763495</v>
      </c>
      <c r="E112" s="6" t="s">
        <v>70</v>
      </c>
      <c r="F112" s="6" t="s">
        <v>70</v>
      </c>
      <c r="G112" s="6" t="s">
        <v>70</v>
      </c>
      <c r="H112" s="7"/>
      <c r="I112" s="34" t="str">
        <f t="shared" si="13"/>
        <v>130922</v>
      </c>
      <c r="J112" s="31" t="str">
        <f t="shared" si="14"/>
        <v>01</v>
      </c>
      <c r="N112" s="12">
        <f t="shared" si="15"/>
        <v>0</v>
      </c>
      <c r="O112" s="11" t="str">
        <f t="shared" si="16"/>
        <v>1</v>
      </c>
      <c r="P112" s="11" t="str">
        <f t="shared" si="17"/>
        <v>1</v>
      </c>
      <c r="Q112" s="11" t="str">
        <f t="shared" si="18"/>
        <v>3</v>
      </c>
      <c r="R112" s="11" t="str">
        <f t="shared" si="19"/>
        <v>0</v>
      </c>
      <c r="S112" s="11" t="str">
        <f t="shared" si="20"/>
        <v>9</v>
      </c>
      <c r="T112" s="11" t="str">
        <f t="shared" si="21"/>
        <v>2</v>
      </c>
      <c r="U112" s="11" t="str">
        <f t="shared" si="22"/>
        <v>2</v>
      </c>
      <c r="V112" s="11" t="str">
        <f t="shared" si="23"/>
        <v>1</v>
      </c>
      <c r="W112" s="11" t="str">
        <f t="shared" si="24"/>
        <v>1</v>
      </c>
      <c r="X112" s="11" t="str">
        <f t="shared" si="25"/>
        <v>1</v>
      </c>
    </row>
    <row r="113" spans="1:24" x14ac:dyDescent="0.35">
      <c r="A113" s="5">
        <v>13973</v>
      </c>
      <c r="B113" s="5">
        <v>1130922112</v>
      </c>
      <c r="C113" s="5">
        <v>726565</v>
      </c>
      <c r="D113" s="5">
        <v>3763522</v>
      </c>
      <c r="E113" s="6" t="s">
        <v>70</v>
      </c>
      <c r="F113" s="6" t="s">
        <v>70</v>
      </c>
      <c r="G113" s="6" t="s">
        <v>70</v>
      </c>
      <c r="H113" s="7"/>
      <c r="I113" s="34" t="str">
        <f t="shared" si="13"/>
        <v>130922</v>
      </c>
      <c r="J113" s="31" t="str">
        <f t="shared" si="14"/>
        <v>01</v>
      </c>
      <c r="N113" s="12">
        <f t="shared" si="15"/>
        <v>0</v>
      </c>
      <c r="O113" s="11" t="str">
        <f t="shared" si="16"/>
        <v>1</v>
      </c>
      <c r="P113" s="11" t="str">
        <f t="shared" si="17"/>
        <v>1</v>
      </c>
      <c r="Q113" s="11" t="str">
        <f t="shared" si="18"/>
        <v>3</v>
      </c>
      <c r="R113" s="11" t="str">
        <f t="shared" si="19"/>
        <v>0</v>
      </c>
      <c r="S113" s="11" t="str">
        <f t="shared" si="20"/>
        <v>9</v>
      </c>
      <c r="T113" s="11" t="str">
        <f t="shared" si="21"/>
        <v>2</v>
      </c>
      <c r="U113" s="11" t="str">
        <f t="shared" si="22"/>
        <v>2</v>
      </c>
      <c r="V113" s="11" t="str">
        <f t="shared" si="23"/>
        <v>1</v>
      </c>
      <c r="W113" s="11" t="str">
        <f t="shared" si="24"/>
        <v>1</v>
      </c>
      <c r="X113" s="11" t="str">
        <f t="shared" si="25"/>
        <v>2</v>
      </c>
    </row>
    <row r="114" spans="1:24" x14ac:dyDescent="0.35">
      <c r="A114" s="5">
        <v>13974</v>
      </c>
      <c r="B114" s="5">
        <v>1130922113</v>
      </c>
      <c r="C114" s="5">
        <v>726579</v>
      </c>
      <c r="D114" s="5">
        <v>3763489</v>
      </c>
      <c r="E114" s="6" t="s">
        <v>70</v>
      </c>
      <c r="F114" s="6" t="s">
        <v>70</v>
      </c>
      <c r="G114" s="6" t="s">
        <v>70</v>
      </c>
      <c r="H114" s="7"/>
      <c r="I114" s="34" t="str">
        <f t="shared" si="13"/>
        <v>130922</v>
      </c>
      <c r="J114" s="31" t="str">
        <f t="shared" si="14"/>
        <v>01</v>
      </c>
      <c r="N114" s="12">
        <f t="shared" si="15"/>
        <v>0</v>
      </c>
      <c r="O114" s="11" t="str">
        <f t="shared" si="16"/>
        <v>1</v>
      </c>
      <c r="P114" s="11" t="str">
        <f t="shared" si="17"/>
        <v>1</v>
      </c>
      <c r="Q114" s="11" t="str">
        <f t="shared" si="18"/>
        <v>3</v>
      </c>
      <c r="R114" s="11" t="str">
        <f t="shared" si="19"/>
        <v>0</v>
      </c>
      <c r="S114" s="11" t="str">
        <f t="shared" si="20"/>
        <v>9</v>
      </c>
      <c r="T114" s="11" t="str">
        <f t="shared" si="21"/>
        <v>2</v>
      </c>
      <c r="U114" s="11" t="str">
        <f t="shared" si="22"/>
        <v>2</v>
      </c>
      <c r="V114" s="11" t="str">
        <f t="shared" si="23"/>
        <v>1</v>
      </c>
      <c r="W114" s="11" t="str">
        <f t="shared" si="24"/>
        <v>1</v>
      </c>
      <c r="X114" s="11" t="str">
        <f t="shared" si="25"/>
        <v>3</v>
      </c>
    </row>
    <row r="115" spans="1:24" x14ac:dyDescent="0.35">
      <c r="A115" s="5">
        <v>13975</v>
      </c>
      <c r="B115" s="5">
        <v>1130922114</v>
      </c>
      <c r="C115" s="5">
        <v>726654</v>
      </c>
      <c r="D115" s="5">
        <v>3763691</v>
      </c>
      <c r="E115" s="6" t="s">
        <v>70</v>
      </c>
      <c r="F115" s="6" t="s">
        <v>70</v>
      </c>
      <c r="G115" s="6" t="s">
        <v>70</v>
      </c>
      <c r="H115" s="7"/>
      <c r="I115" s="34" t="str">
        <f t="shared" si="13"/>
        <v>130922</v>
      </c>
      <c r="J115" s="31" t="str">
        <f t="shared" si="14"/>
        <v>01</v>
      </c>
      <c r="N115" s="12">
        <f t="shared" si="15"/>
        <v>0</v>
      </c>
      <c r="O115" s="11" t="str">
        <f t="shared" si="16"/>
        <v>1</v>
      </c>
      <c r="P115" s="11" t="str">
        <f t="shared" si="17"/>
        <v>1</v>
      </c>
      <c r="Q115" s="11" t="str">
        <f t="shared" si="18"/>
        <v>3</v>
      </c>
      <c r="R115" s="11" t="str">
        <f t="shared" si="19"/>
        <v>0</v>
      </c>
      <c r="S115" s="11" t="str">
        <f t="shared" si="20"/>
        <v>9</v>
      </c>
      <c r="T115" s="11" t="str">
        <f t="shared" si="21"/>
        <v>2</v>
      </c>
      <c r="U115" s="11" t="str">
        <f t="shared" si="22"/>
        <v>2</v>
      </c>
      <c r="V115" s="11" t="str">
        <f t="shared" si="23"/>
        <v>1</v>
      </c>
      <c r="W115" s="11" t="str">
        <f t="shared" si="24"/>
        <v>1</v>
      </c>
      <c r="X115" s="11" t="str">
        <f t="shared" si="25"/>
        <v>4</v>
      </c>
    </row>
    <row r="116" spans="1:24" x14ac:dyDescent="0.35">
      <c r="A116" s="5">
        <v>13976</v>
      </c>
      <c r="B116" s="5">
        <v>1130922115</v>
      </c>
      <c r="C116" s="5">
        <v>726654</v>
      </c>
      <c r="D116" s="5">
        <v>3763691</v>
      </c>
      <c r="E116" s="6" t="s">
        <v>70</v>
      </c>
      <c r="F116" s="6" t="s">
        <v>70</v>
      </c>
      <c r="G116" s="6" t="s">
        <v>70</v>
      </c>
      <c r="H116" s="7"/>
      <c r="I116" s="34" t="str">
        <f t="shared" si="13"/>
        <v>130922</v>
      </c>
      <c r="J116" s="31" t="str">
        <f t="shared" si="14"/>
        <v>01</v>
      </c>
      <c r="N116" s="12">
        <f t="shared" si="15"/>
        <v>0</v>
      </c>
      <c r="O116" s="11" t="str">
        <f t="shared" si="16"/>
        <v>1</v>
      </c>
      <c r="P116" s="11" t="str">
        <f t="shared" si="17"/>
        <v>1</v>
      </c>
      <c r="Q116" s="11" t="str">
        <f t="shared" si="18"/>
        <v>3</v>
      </c>
      <c r="R116" s="11" t="str">
        <f t="shared" si="19"/>
        <v>0</v>
      </c>
      <c r="S116" s="11" t="str">
        <f t="shared" si="20"/>
        <v>9</v>
      </c>
      <c r="T116" s="11" t="str">
        <f t="shared" si="21"/>
        <v>2</v>
      </c>
      <c r="U116" s="11" t="str">
        <f t="shared" si="22"/>
        <v>2</v>
      </c>
      <c r="V116" s="11" t="str">
        <f t="shared" si="23"/>
        <v>1</v>
      </c>
      <c r="W116" s="11" t="str">
        <f t="shared" si="24"/>
        <v>1</v>
      </c>
      <c r="X116" s="11" t="str">
        <f t="shared" si="25"/>
        <v>5</v>
      </c>
    </row>
    <row r="117" spans="1:24" x14ac:dyDescent="0.35">
      <c r="A117" s="5">
        <v>13977</v>
      </c>
      <c r="B117" s="5">
        <v>1130922116</v>
      </c>
      <c r="C117" s="5">
        <v>726655</v>
      </c>
      <c r="D117" s="5">
        <v>3763691</v>
      </c>
      <c r="E117" s="6" t="s">
        <v>70</v>
      </c>
      <c r="F117" s="6" t="s">
        <v>70</v>
      </c>
      <c r="G117" s="6" t="s">
        <v>70</v>
      </c>
      <c r="H117" s="7"/>
      <c r="I117" s="34" t="str">
        <f t="shared" si="13"/>
        <v>130922</v>
      </c>
      <c r="J117" s="31" t="str">
        <f t="shared" si="14"/>
        <v>01</v>
      </c>
      <c r="N117" s="12">
        <f t="shared" si="15"/>
        <v>0</v>
      </c>
      <c r="O117" s="11" t="str">
        <f t="shared" si="16"/>
        <v>1</v>
      </c>
      <c r="P117" s="11" t="str">
        <f t="shared" si="17"/>
        <v>1</v>
      </c>
      <c r="Q117" s="11" t="str">
        <f t="shared" si="18"/>
        <v>3</v>
      </c>
      <c r="R117" s="11" t="str">
        <f t="shared" si="19"/>
        <v>0</v>
      </c>
      <c r="S117" s="11" t="str">
        <f t="shared" si="20"/>
        <v>9</v>
      </c>
      <c r="T117" s="11" t="str">
        <f t="shared" si="21"/>
        <v>2</v>
      </c>
      <c r="U117" s="11" t="str">
        <f t="shared" si="22"/>
        <v>2</v>
      </c>
      <c r="V117" s="11" t="str">
        <f t="shared" si="23"/>
        <v>1</v>
      </c>
      <c r="W117" s="11" t="str">
        <f t="shared" si="24"/>
        <v>1</v>
      </c>
      <c r="X117" s="11" t="str">
        <f t="shared" si="25"/>
        <v>6</v>
      </c>
    </row>
    <row r="118" spans="1:24" s="19" customFormat="1" x14ac:dyDescent="0.35">
      <c r="A118" s="8">
        <v>13978</v>
      </c>
      <c r="B118" s="8">
        <v>1140922117</v>
      </c>
      <c r="C118" s="8">
        <v>726867</v>
      </c>
      <c r="D118" s="8">
        <v>3763925</v>
      </c>
      <c r="E118" s="22" t="s">
        <v>70</v>
      </c>
      <c r="F118" s="22" t="s">
        <v>70</v>
      </c>
      <c r="G118" s="22" t="s">
        <v>70</v>
      </c>
      <c r="H118" s="23"/>
      <c r="I118" s="34" t="str">
        <f t="shared" si="13"/>
        <v>140922</v>
      </c>
      <c r="J118" s="31" t="str">
        <f t="shared" si="14"/>
        <v>01</v>
      </c>
      <c r="N118" s="24">
        <f t="shared" si="15"/>
        <v>0</v>
      </c>
      <c r="O118" s="25" t="str">
        <f t="shared" si="16"/>
        <v>1</v>
      </c>
      <c r="P118" s="25" t="str">
        <f t="shared" si="17"/>
        <v>1</v>
      </c>
      <c r="Q118" s="25" t="str">
        <f t="shared" si="18"/>
        <v>4</v>
      </c>
      <c r="R118" s="25" t="str">
        <f t="shared" si="19"/>
        <v>0</v>
      </c>
      <c r="S118" s="25" t="str">
        <f t="shared" si="20"/>
        <v>9</v>
      </c>
      <c r="T118" s="25" t="str">
        <f t="shared" si="21"/>
        <v>2</v>
      </c>
      <c r="U118" s="25" t="str">
        <f t="shared" si="22"/>
        <v>2</v>
      </c>
      <c r="V118" s="25" t="str">
        <f t="shared" si="23"/>
        <v>1</v>
      </c>
      <c r="W118" s="25" t="str">
        <f t="shared" si="24"/>
        <v>1</v>
      </c>
      <c r="X118" s="25" t="str">
        <f t="shared" si="25"/>
        <v>7</v>
      </c>
    </row>
    <row r="119" spans="1:24" x14ac:dyDescent="0.35">
      <c r="A119" s="5">
        <v>13979</v>
      </c>
      <c r="B119" s="5">
        <v>1140922118</v>
      </c>
      <c r="C119" s="5">
        <v>726891</v>
      </c>
      <c r="D119" s="5">
        <v>3763959</v>
      </c>
      <c r="E119" s="6" t="s">
        <v>70</v>
      </c>
      <c r="F119" s="6" t="s">
        <v>70</v>
      </c>
      <c r="G119" s="6" t="s">
        <v>70</v>
      </c>
      <c r="H119" s="7"/>
      <c r="I119" s="34" t="str">
        <f t="shared" si="13"/>
        <v>140922</v>
      </c>
      <c r="J119" s="31" t="str">
        <f t="shared" si="14"/>
        <v>01</v>
      </c>
      <c r="N119" s="12">
        <f t="shared" si="15"/>
        <v>0</v>
      </c>
      <c r="O119" s="11" t="str">
        <f t="shared" si="16"/>
        <v>1</v>
      </c>
      <c r="P119" s="11" t="str">
        <f t="shared" si="17"/>
        <v>1</v>
      </c>
      <c r="Q119" s="11" t="str">
        <f t="shared" si="18"/>
        <v>4</v>
      </c>
      <c r="R119" s="11" t="str">
        <f t="shared" si="19"/>
        <v>0</v>
      </c>
      <c r="S119" s="11" t="str">
        <f t="shared" si="20"/>
        <v>9</v>
      </c>
      <c r="T119" s="11" t="str">
        <f t="shared" si="21"/>
        <v>2</v>
      </c>
      <c r="U119" s="11" t="str">
        <f t="shared" si="22"/>
        <v>2</v>
      </c>
      <c r="V119" s="11" t="str">
        <f t="shared" si="23"/>
        <v>1</v>
      </c>
      <c r="W119" s="11" t="str">
        <f t="shared" si="24"/>
        <v>1</v>
      </c>
      <c r="X119" s="11" t="str">
        <f t="shared" si="25"/>
        <v>8</v>
      </c>
    </row>
    <row r="120" spans="1:24" x14ac:dyDescent="0.35">
      <c r="A120" s="5">
        <v>13980</v>
      </c>
      <c r="B120" s="5">
        <v>1140922119</v>
      </c>
      <c r="C120" s="5">
        <v>726895</v>
      </c>
      <c r="D120" s="5">
        <v>3763965</v>
      </c>
      <c r="E120" s="6" t="s">
        <v>70</v>
      </c>
      <c r="F120" s="6" t="s">
        <v>70</v>
      </c>
      <c r="G120" s="6" t="s">
        <v>70</v>
      </c>
      <c r="H120" s="7"/>
      <c r="I120" s="34" t="str">
        <f t="shared" si="13"/>
        <v>140922</v>
      </c>
      <c r="J120" s="31" t="str">
        <f t="shared" si="14"/>
        <v>01</v>
      </c>
      <c r="N120" s="12">
        <f t="shared" si="15"/>
        <v>0</v>
      </c>
      <c r="O120" s="11" t="str">
        <f t="shared" si="16"/>
        <v>1</v>
      </c>
      <c r="P120" s="11" t="str">
        <f t="shared" si="17"/>
        <v>1</v>
      </c>
      <c r="Q120" s="11" t="str">
        <f t="shared" si="18"/>
        <v>4</v>
      </c>
      <c r="R120" s="11" t="str">
        <f t="shared" si="19"/>
        <v>0</v>
      </c>
      <c r="S120" s="11" t="str">
        <f t="shared" si="20"/>
        <v>9</v>
      </c>
      <c r="T120" s="11" t="str">
        <f t="shared" si="21"/>
        <v>2</v>
      </c>
      <c r="U120" s="11" t="str">
        <f t="shared" si="22"/>
        <v>2</v>
      </c>
      <c r="V120" s="11" t="str">
        <f t="shared" si="23"/>
        <v>1</v>
      </c>
      <c r="W120" s="11" t="str">
        <f t="shared" si="24"/>
        <v>1</v>
      </c>
      <c r="X120" s="11" t="str">
        <f t="shared" si="25"/>
        <v>9</v>
      </c>
    </row>
    <row r="121" spans="1:24" x14ac:dyDescent="0.35">
      <c r="A121" s="5">
        <v>13981</v>
      </c>
      <c r="B121" s="5">
        <v>1140922120</v>
      </c>
      <c r="C121" s="5">
        <v>726896</v>
      </c>
      <c r="D121" s="5">
        <v>3763965</v>
      </c>
      <c r="E121" s="6" t="s">
        <v>70</v>
      </c>
      <c r="F121" s="6" t="s">
        <v>70</v>
      </c>
      <c r="G121" s="6" t="s">
        <v>70</v>
      </c>
      <c r="H121" s="7"/>
      <c r="I121" s="34" t="str">
        <f t="shared" si="13"/>
        <v>140922</v>
      </c>
      <c r="J121" s="31" t="str">
        <f t="shared" si="14"/>
        <v>01</v>
      </c>
      <c r="N121" s="12">
        <f t="shared" si="15"/>
        <v>0</v>
      </c>
      <c r="O121" s="11" t="str">
        <f t="shared" si="16"/>
        <v>1</v>
      </c>
      <c r="P121" s="11" t="str">
        <f t="shared" si="17"/>
        <v>1</v>
      </c>
      <c r="Q121" s="11" t="str">
        <f t="shared" si="18"/>
        <v>4</v>
      </c>
      <c r="R121" s="11" t="str">
        <f t="shared" si="19"/>
        <v>0</v>
      </c>
      <c r="S121" s="11" t="str">
        <f t="shared" si="20"/>
        <v>9</v>
      </c>
      <c r="T121" s="11" t="str">
        <f t="shared" si="21"/>
        <v>2</v>
      </c>
      <c r="U121" s="11" t="str">
        <f t="shared" si="22"/>
        <v>2</v>
      </c>
      <c r="V121" s="11" t="str">
        <f t="shared" si="23"/>
        <v>1</v>
      </c>
      <c r="W121" s="11" t="str">
        <f t="shared" si="24"/>
        <v>2</v>
      </c>
      <c r="X121" s="11" t="str">
        <f t="shared" si="25"/>
        <v>0</v>
      </c>
    </row>
    <row r="122" spans="1:24" x14ac:dyDescent="0.35">
      <c r="A122" s="5">
        <v>13982</v>
      </c>
      <c r="B122" s="5">
        <v>1140922121</v>
      </c>
      <c r="C122" s="5">
        <v>726916</v>
      </c>
      <c r="D122" s="5">
        <v>3763986</v>
      </c>
      <c r="E122" s="6" t="s">
        <v>70</v>
      </c>
      <c r="F122" s="6" t="s">
        <v>70</v>
      </c>
      <c r="G122" s="6" t="s">
        <v>70</v>
      </c>
      <c r="H122" s="7"/>
      <c r="I122" s="34" t="str">
        <f t="shared" si="13"/>
        <v>140922</v>
      </c>
      <c r="J122" s="31" t="str">
        <f t="shared" si="14"/>
        <v>01</v>
      </c>
      <c r="N122" s="12">
        <f t="shared" si="15"/>
        <v>0</v>
      </c>
      <c r="O122" s="11" t="str">
        <f t="shared" si="16"/>
        <v>1</v>
      </c>
      <c r="P122" s="11" t="str">
        <f t="shared" si="17"/>
        <v>1</v>
      </c>
      <c r="Q122" s="11" t="str">
        <f t="shared" si="18"/>
        <v>4</v>
      </c>
      <c r="R122" s="11" t="str">
        <f t="shared" si="19"/>
        <v>0</v>
      </c>
      <c r="S122" s="11" t="str">
        <f t="shared" si="20"/>
        <v>9</v>
      </c>
      <c r="T122" s="11" t="str">
        <f t="shared" si="21"/>
        <v>2</v>
      </c>
      <c r="U122" s="11" t="str">
        <f t="shared" si="22"/>
        <v>2</v>
      </c>
      <c r="V122" s="11" t="str">
        <f t="shared" si="23"/>
        <v>1</v>
      </c>
      <c r="W122" s="11" t="str">
        <f t="shared" si="24"/>
        <v>2</v>
      </c>
      <c r="X122" s="11" t="str">
        <f t="shared" si="25"/>
        <v>1</v>
      </c>
    </row>
    <row r="123" spans="1:24" x14ac:dyDescent="0.35">
      <c r="A123" s="5">
        <v>13983</v>
      </c>
      <c r="B123" s="5">
        <v>1140922122</v>
      </c>
      <c r="C123" s="5">
        <v>726929</v>
      </c>
      <c r="D123" s="5">
        <v>3763988</v>
      </c>
      <c r="E123" s="6" t="s">
        <v>70</v>
      </c>
      <c r="F123" s="6" t="s">
        <v>70</v>
      </c>
      <c r="G123" s="6" t="s">
        <v>70</v>
      </c>
      <c r="H123" s="7"/>
      <c r="I123" s="34" t="str">
        <f t="shared" si="13"/>
        <v>140922</v>
      </c>
      <c r="J123" s="31" t="str">
        <f t="shared" si="14"/>
        <v>01</v>
      </c>
      <c r="N123" s="12">
        <f t="shared" si="15"/>
        <v>0</v>
      </c>
      <c r="O123" s="11" t="str">
        <f t="shared" si="16"/>
        <v>1</v>
      </c>
      <c r="P123" s="11" t="str">
        <f t="shared" si="17"/>
        <v>1</v>
      </c>
      <c r="Q123" s="11" t="str">
        <f t="shared" si="18"/>
        <v>4</v>
      </c>
      <c r="R123" s="11" t="str">
        <f t="shared" si="19"/>
        <v>0</v>
      </c>
      <c r="S123" s="11" t="str">
        <f t="shared" si="20"/>
        <v>9</v>
      </c>
      <c r="T123" s="11" t="str">
        <f t="shared" si="21"/>
        <v>2</v>
      </c>
      <c r="U123" s="11" t="str">
        <f t="shared" si="22"/>
        <v>2</v>
      </c>
      <c r="V123" s="11" t="str">
        <f t="shared" si="23"/>
        <v>1</v>
      </c>
      <c r="W123" s="11" t="str">
        <f t="shared" si="24"/>
        <v>2</v>
      </c>
      <c r="X123" s="11" t="str">
        <f t="shared" si="25"/>
        <v>2</v>
      </c>
    </row>
    <row r="124" spans="1:24" x14ac:dyDescent="0.35">
      <c r="A124" s="5">
        <v>13984</v>
      </c>
      <c r="B124" s="5">
        <v>1140922123</v>
      </c>
      <c r="C124" s="5">
        <v>726932</v>
      </c>
      <c r="D124" s="5">
        <v>3763990</v>
      </c>
      <c r="E124" s="6" t="s">
        <v>70</v>
      </c>
      <c r="F124" s="6" t="s">
        <v>70</v>
      </c>
      <c r="G124" s="6" t="s">
        <v>70</v>
      </c>
      <c r="H124" s="7"/>
      <c r="I124" s="34" t="str">
        <f t="shared" si="13"/>
        <v>140922</v>
      </c>
      <c r="J124" s="31" t="str">
        <f t="shared" si="14"/>
        <v>01</v>
      </c>
      <c r="N124" s="12">
        <f t="shared" si="15"/>
        <v>0</v>
      </c>
      <c r="O124" s="11" t="str">
        <f t="shared" si="16"/>
        <v>1</v>
      </c>
      <c r="P124" s="11" t="str">
        <f t="shared" si="17"/>
        <v>1</v>
      </c>
      <c r="Q124" s="11" t="str">
        <f t="shared" si="18"/>
        <v>4</v>
      </c>
      <c r="R124" s="11" t="str">
        <f t="shared" si="19"/>
        <v>0</v>
      </c>
      <c r="S124" s="11" t="str">
        <f t="shared" si="20"/>
        <v>9</v>
      </c>
      <c r="T124" s="11" t="str">
        <f t="shared" si="21"/>
        <v>2</v>
      </c>
      <c r="U124" s="11" t="str">
        <f t="shared" si="22"/>
        <v>2</v>
      </c>
      <c r="V124" s="11" t="str">
        <f t="shared" si="23"/>
        <v>1</v>
      </c>
      <c r="W124" s="11" t="str">
        <f t="shared" si="24"/>
        <v>2</v>
      </c>
      <c r="X124" s="11" t="str">
        <f t="shared" si="25"/>
        <v>3</v>
      </c>
    </row>
    <row r="125" spans="1:24" x14ac:dyDescent="0.35">
      <c r="A125" s="5">
        <v>13985</v>
      </c>
      <c r="B125" s="5">
        <v>1140922124</v>
      </c>
      <c r="C125" s="5">
        <v>726932</v>
      </c>
      <c r="D125" s="5">
        <v>3763990</v>
      </c>
      <c r="E125" s="6" t="s">
        <v>70</v>
      </c>
      <c r="F125" s="6" t="s">
        <v>70</v>
      </c>
      <c r="G125" s="6" t="s">
        <v>70</v>
      </c>
      <c r="H125" s="7"/>
      <c r="I125" s="34" t="str">
        <f t="shared" si="13"/>
        <v>140922</v>
      </c>
      <c r="J125" s="31" t="str">
        <f t="shared" si="14"/>
        <v>01</v>
      </c>
      <c r="N125" s="12">
        <f t="shared" si="15"/>
        <v>0</v>
      </c>
      <c r="O125" s="11" t="str">
        <f t="shared" si="16"/>
        <v>1</v>
      </c>
      <c r="P125" s="11" t="str">
        <f t="shared" si="17"/>
        <v>1</v>
      </c>
      <c r="Q125" s="11" t="str">
        <f t="shared" si="18"/>
        <v>4</v>
      </c>
      <c r="R125" s="11" t="str">
        <f t="shared" si="19"/>
        <v>0</v>
      </c>
      <c r="S125" s="11" t="str">
        <f t="shared" si="20"/>
        <v>9</v>
      </c>
      <c r="T125" s="11" t="str">
        <f t="shared" si="21"/>
        <v>2</v>
      </c>
      <c r="U125" s="11" t="str">
        <f t="shared" si="22"/>
        <v>2</v>
      </c>
      <c r="V125" s="11" t="str">
        <f t="shared" si="23"/>
        <v>1</v>
      </c>
      <c r="W125" s="11" t="str">
        <f t="shared" si="24"/>
        <v>2</v>
      </c>
      <c r="X125" s="11" t="str">
        <f t="shared" si="25"/>
        <v>4</v>
      </c>
    </row>
    <row r="126" spans="1:24" x14ac:dyDescent="0.35">
      <c r="A126" s="5">
        <v>13986</v>
      </c>
      <c r="B126" s="5">
        <v>1140922125</v>
      </c>
      <c r="C126" s="5">
        <v>726933</v>
      </c>
      <c r="D126" s="5">
        <v>3763992</v>
      </c>
      <c r="E126" s="6" t="s">
        <v>70</v>
      </c>
      <c r="F126" s="6" t="s">
        <v>70</v>
      </c>
      <c r="G126" s="6" t="s">
        <v>70</v>
      </c>
      <c r="H126" s="7"/>
      <c r="I126" s="34" t="str">
        <f t="shared" si="13"/>
        <v>140922</v>
      </c>
      <c r="J126" s="31" t="str">
        <f t="shared" si="14"/>
        <v>01</v>
      </c>
      <c r="N126" s="12">
        <f t="shared" si="15"/>
        <v>0</v>
      </c>
      <c r="O126" s="11" t="str">
        <f t="shared" si="16"/>
        <v>1</v>
      </c>
      <c r="P126" s="11" t="str">
        <f t="shared" si="17"/>
        <v>1</v>
      </c>
      <c r="Q126" s="11" t="str">
        <f t="shared" si="18"/>
        <v>4</v>
      </c>
      <c r="R126" s="11" t="str">
        <f t="shared" si="19"/>
        <v>0</v>
      </c>
      <c r="S126" s="11" t="str">
        <f t="shared" si="20"/>
        <v>9</v>
      </c>
      <c r="T126" s="11" t="str">
        <f t="shared" si="21"/>
        <v>2</v>
      </c>
      <c r="U126" s="11" t="str">
        <f t="shared" si="22"/>
        <v>2</v>
      </c>
      <c r="V126" s="11" t="str">
        <f t="shared" si="23"/>
        <v>1</v>
      </c>
      <c r="W126" s="11" t="str">
        <f t="shared" si="24"/>
        <v>2</v>
      </c>
      <c r="X126" s="11" t="str">
        <f t="shared" si="25"/>
        <v>5</v>
      </c>
    </row>
    <row r="127" spans="1:24" x14ac:dyDescent="0.35">
      <c r="A127" s="5">
        <v>13987</v>
      </c>
      <c r="B127" s="5">
        <v>1140922126</v>
      </c>
      <c r="C127" s="5">
        <v>726934</v>
      </c>
      <c r="D127" s="5">
        <v>3763990</v>
      </c>
      <c r="E127" s="6" t="s">
        <v>70</v>
      </c>
      <c r="F127" s="6" t="s">
        <v>70</v>
      </c>
      <c r="G127" s="6" t="s">
        <v>70</v>
      </c>
      <c r="H127" s="7"/>
      <c r="I127" s="34" t="str">
        <f t="shared" si="13"/>
        <v>140922</v>
      </c>
      <c r="J127" s="31" t="str">
        <f t="shared" si="14"/>
        <v>01</v>
      </c>
      <c r="N127" s="12">
        <f t="shared" si="15"/>
        <v>0</v>
      </c>
      <c r="O127" s="11" t="str">
        <f t="shared" si="16"/>
        <v>1</v>
      </c>
      <c r="P127" s="11" t="str">
        <f t="shared" si="17"/>
        <v>1</v>
      </c>
      <c r="Q127" s="11" t="str">
        <f t="shared" si="18"/>
        <v>4</v>
      </c>
      <c r="R127" s="11" t="str">
        <f t="shared" si="19"/>
        <v>0</v>
      </c>
      <c r="S127" s="11" t="str">
        <f t="shared" si="20"/>
        <v>9</v>
      </c>
      <c r="T127" s="11" t="str">
        <f t="shared" si="21"/>
        <v>2</v>
      </c>
      <c r="U127" s="11" t="str">
        <f t="shared" si="22"/>
        <v>2</v>
      </c>
      <c r="V127" s="11" t="str">
        <f t="shared" si="23"/>
        <v>1</v>
      </c>
      <c r="W127" s="11" t="str">
        <f t="shared" si="24"/>
        <v>2</v>
      </c>
      <c r="X127" s="11" t="str">
        <f t="shared" si="25"/>
        <v>6</v>
      </c>
    </row>
    <row r="128" spans="1:24" x14ac:dyDescent="0.35">
      <c r="A128" s="5">
        <v>13988</v>
      </c>
      <c r="B128" s="5">
        <v>1140922127</v>
      </c>
      <c r="C128" s="5">
        <v>726964</v>
      </c>
      <c r="D128" s="5">
        <v>3763978</v>
      </c>
      <c r="E128" s="6" t="s">
        <v>70</v>
      </c>
      <c r="F128" s="6" t="s">
        <v>70</v>
      </c>
      <c r="G128" s="6" t="s">
        <v>70</v>
      </c>
      <c r="H128" s="7"/>
      <c r="I128" s="34" t="str">
        <f t="shared" si="13"/>
        <v>140922</v>
      </c>
      <c r="J128" s="31" t="str">
        <f t="shared" si="14"/>
        <v>01</v>
      </c>
      <c r="N128" s="12">
        <f t="shared" si="15"/>
        <v>0</v>
      </c>
      <c r="O128" s="11" t="str">
        <f t="shared" si="16"/>
        <v>1</v>
      </c>
      <c r="P128" s="11" t="str">
        <f t="shared" si="17"/>
        <v>1</v>
      </c>
      <c r="Q128" s="11" t="str">
        <f t="shared" si="18"/>
        <v>4</v>
      </c>
      <c r="R128" s="11" t="str">
        <f t="shared" si="19"/>
        <v>0</v>
      </c>
      <c r="S128" s="11" t="str">
        <f t="shared" si="20"/>
        <v>9</v>
      </c>
      <c r="T128" s="11" t="str">
        <f t="shared" si="21"/>
        <v>2</v>
      </c>
      <c r="U128" s="11" t="str">
        <f t="shared" si="22"/>
        <v>2</v>
      </c>
      <c r="V128" s="11" t="str">
        <f t="shared" si="23"/>
        <v>1</v>
      </c>
      <c r="W128" s="11" t="str">
        <f t="shared" si="24"/>
        <v>2</v>
      </c>
      <c r="X128" s="11" t="str">
        <f t="shared" si="25"/>
        <v>7</v>
      </c>
    </row>
    <row r="129" spans="1:24" x14ac:dyDescent="0.35">
      <c r="A129" s="5">
        <v>13989</v>
      </c>
      <c r="B129" s="5">
        <v>1140922128</v>
      </c>
      <c r="C129" s="5">
        <v>727014</v>
      </c>
      <c r="D129" s="5">
        <v>3763955</v>
      </c>
      <c r="E129" s="6" t="s">
        <v>70</v>
      </c>
      <c r="F129" s="6" t="s">
        <v>70</v>
      </c>
      <c r="G129" s="6" t="s">
        <v>70</v>
      </c>
      <c r="H129" s="7"/>
      <c r="I129" s="34" t="str">
        <f t="shared" si="13"/>
        <v>140922</v>
      </c>
      <c r="J129" s="31" t="str">
        <f t="shared" si="14"/>
        <v>01</v>
      </c>
      <c r="N129" s="12">
        <f t="shared" si="15"/>
        <v>0</v>
      </c>
      <c r="O129" s="11" t="str">
        <f t="shared" si="16"/>
        <v>1</v>
      </c>
      <c r="P129" s="11" t="str">
        <f t="shared" si="17"/>
        <v>1</v>
      </c>
      <c r="Q129" s="11" t="str">
        <f t="shared" si="18"/>
        <v>4</v>
      </c>
      <c r="R129" s="11" t="str">
        <f t="shared" si="19"/>
        <v>0</v>
      </c>
      <c r="S129" s="11" t="str">
        <f t="shared" si="20"/>
        <v>9</v>
      </c>
      <c r="T129" s="11" t="str">
        <f t="shared" si="21"/>
        <v>2</v>
      </c>
      <c r="U129" s="11" t="str">
        <f t="shared" si="22"/>
        <v>2</v>
      </c>
      <c r="V129" s="11" t="str">
        <f t="shared" si="23"/>
        <v>1</v>
      </c>
      <c r="W129" s="11" t="str">
        <f t="shared" si="24"/>
        <v>2</v>
      </c>
      <c r="X129" s="11" t="str">
        <f t="shared" si="25"/>
        <v>8</v>
      </c>
    </row>
    <row r="130" spans="1:24" x14ac:dyDescent="0.35">
      <c r="A130" s="5">
        <v>13990</v>
      </c>
      <c r="B130" s="5">
        <v>1140922129</v>
      </c>
      <c r="C130" s="5">
        <v>727044</v>
      </c>
      <c r="D130" s="5">
        <v>3763936</v>
      </c>
      <c r="E130" s="6" t="s">
        <v>70</v>
      </c>
      <c r="F130" s="6" t="s">
        <v>70</v>
      </c>
      <c r="G130" s="6" t="s">
        <v>70</v>
      </c>
      <c r="H130" s="7"/>
      <c r="I130" s="34" t="str">
        <f t="shared" si="13"/>
        <v>140922</v>
      </c>
      <c r="J130" s="31" t="str">
        <f t="shared" si="14"/>
        <v>01</v>
      </c>
      <c r="N130" s="12">
        <f t="shared" si="15"/>
        <v>0</v>
      </c>
      <c r="O130" s="11" t="str">
        <f t="shared" si="16"/>
        <v>1</v>
      </c>
      <c r="P130" s="11" t="str">
        <f t="shared" si="17"/>
        <v>1</v>
      </c>
      <c r="Q130" s="11" t="str">
        <f t="shared" si="18"/>
        <v>4</v>
      </c>
      <c r="R130" s="11" t="str">
        <f t="shared" si="19"/>
        <v>0</v>
      </c>
      <c r="S130" s="11" t="str">
        <f t="shared" si="20"/>
        <v>9</v>
      </c>
      <c r="T130" s="11" t="str">
        <f t="shared" si="21"/>
        <v>2</v>
      </c>
      <c r="U130" s="11" t="str">
        <f t="shared" si="22"/>
        <v>2</v>
      </c>
      <c r="V130" s="11" t="str">
        <f t="shared" si="23"/>
        <v>1</v>
      </c>
      <c r="W130" s="11" t="str">
        <f t="shared" si="24"/>
        <v>2</v>
      </c>
      <c r="X130" s="11" t="str">
        <f t="shared" si="25"/>
        <v>9</v>
      </c>
    </row>
    <row r="131" spans="1:24" x14ac:dyDescent="0.35">
      <c r="A131" s="5">
        <v>13991</v>
      </c>
      <c r="B131" s="5">
        <v>1140922130</v>
      </c>
      <c r="C131" s="5">
        <v>727073</v>
      </c>
      <c r="D131" s="5">
        <v>3763921</v>
      </c>
      <c r="E131" s="6" t="s">
        <v>70</v>
      </c>
      <c r="F131" s="6" t="s">
        <v>70</v>
      </c>
      <c r="G131" s="6" t="s">
        <v>70</v>
      </c>
      <c r="H131" s="7"/>
      <c r="I131" s="34" t="str">
        <f t="shared" ref="I131:I194" si="26">MID(B131,IF(LEN(B131)=10,2,3),6)</f>
        <v>140922</v>
      </c>
      <c r="J131" s="31" t="str">
        <f t="shared" ref="J131:J194" si="27">TEXT(MID(B131,1,IF(LEN(B131)=10,1,2)),"00")</f>
        <v>01</v>
      </c>
      <c r="N131" s="12">
        <f t="shared" ref="N131:N194" si="28">IFERROR(MID($B131,LEN($B131)-10,1),0)</f>
        <v>0</v>
      </c>
      <c r="O131" s="11" t="str">
        <f t="shared" ref="O131:O194" si="29">MID($B131,LEN($B131)-9,1)</f>
        <v>1</v>
      </c>
      <c r="P131" s="11" t="str">
        <f t="shared" ref="P131:P194" si="30">MID($B131,LEN($B131)-8,1)</f>
        <v>1</v>
      </c>
      <c r="Q131" s="11" t="str">
        <f t="shared" ref="Q131:Q194" si="31">MID($B131,LEN($B131)-7,1)</f>
        <v>4</v>
      </c>
      <c r="R131" s="11" t="str">
        <f t="shared" ref="R131:R194" si="32">MID($B131,LEN($B131)-6,1)</f>
        <v>0</v>
      </c>
      <c r="S131" s="11" t="str">
        <f t="shared" ref="S131:S194" si="33">MID($B131,LEN($B131)-5,1)</f>
        <v>9</v>
      </c>
      <c r="T131" s="11" t="str">
        <f t="shared" ref="T131:T194" si="34">MID($B131,LEN($B131)-4,1)</f>
        <v>2</v>
      </c>
      <c r="U131" s="11" t="str">
        <f t="shared" ref="U131:U194" si="35">MID($B131,LEN($B131)-3,1)</f>
        <v>2</v>
      </c>
      <c r="V131" s="11" t="str">
        <f t="shared" ref="V131:V194" si="36">MID($B131,LEN($B131)-2,1)</f>
        <v>1</v>
      </c>
      <c r="W131" s="11" t="str">
        <f t="shared" ref="W131:W194" si="37">MID($B131,LEN($B131)-1,1)</f>
        <v>3</v>
      </c>
      <c r="X131" s="11" t="str">
        <f t="shared" ref="X131:X194" si="38">MID($B131,LEN($B131)-0,1)</f>
        <v>0</v>
      </c>
    </row>
    <row r="132" spans="1:24" x14ac:dyDescent="0.35">
      <c r="A132" s="5">
        <v>13992</v>
      </c>
      <c r="B132" s="5">
        <v>1140922131</v>
      </c>
      <c r="C132" s="5">
        <v>727107</v>
      </c>
      <c r="D132" s="5">
        <v>3763904</v>
      </c>
      <c r="E132" s="6" t="s">
        <v>70</v>
      </c>
      <c r="F132" s="6" t="s">
        <v>70</v>
      </c>
      <c r="G132" s="6" t="s">
        <v>70</v>
      </c>
      <c r="H132" s="7"/>
      <c r="I132" s="34" t="str">
        <f t="shared" si="26"/>
        <v>140922</v>
      </c>
      <c r="J132" s="31" t="str">
        <f t="shared" si="27"/>
        <v>01</v>
      </c>
      <c r="N132" s="12">
        <f t="shared" si="28"/>
        <v>0</v>
      </c>
      <c r="O132" s="11" t="str">
        <f t="shared" si="29"/>
        <v>1</v>
      </c>
      <c r="P132" s="11" t="str">
        <f t="shared" si="30"/>
        <v>1</v>
      </c>
      <c r="Q132" s="11" t="str">
        <f t="shared" si="31"/>
        <v>4</v>
      </c>
      <c r="R132" s="11" t="str">
        <f t="shared" si="32"/>
        <v>0</v>
      </c>
      <c r="S132" s="11" t="str">
        <f t="shared" si="33"/>
        <v>9</v>
      </c>
      <c r="T132" s="11" t="str">
        <f t="shared" si="34"/>
        <v>2</v>
      </c>
      <c r="U132" s="11" t="str">
        <f t="shared" si="35"/>
        <v>2</v>
      </c>
      <c r="V132" s="11" t="str">
        <f t="shared" si="36"/>
        <v>1</v>
      </c>
      <c r="W132" s="11" t="str">
        <f t="shared" si="37"/>
        <v>3</v>
      </c>
      <c r="X132" s="11" t="str">
        <f t="shared" si="38"/>
        <v>1</v>
      </c>
    </row>
    <row r="133" spans="1:24" x14ac:dyDescent="0.35">
      <c r="A133" s="5">
        <v>13993</v>
      </c>
      <c r="B133" s="5">
        <v>1140922132</v>
      </c>
      <c r="C133" s="5">
        <v>727108</v>
      </c>
      <c r="D133" s="5">
        <v>3763904</v>
      </c>
      <c r="E133" s="6" t="s">
        <v>70</v>
      </c>
      <c r="F133" s="6" t="s">
        <v>70</v>
      </c>
      <c r="G133" s="6" t="s">
        <v>70</v>
      </c>
      <c r="H133" s="7"/>
      <c r="I133" s="34" t="str">
        <f t="shared" si="26"/>
        <v>140922</v>
      </c>
      <c r="J133" s="31" t="str">
        <f t="shared" si="27"/>
        <v>01</v>
      </c>
      <c r="N133" s="12">
        <f t="shared" si="28"/>
        <v>0</v>
      </c>
      <c r="O133" s="11" t="str">
        <f t="shared" si="29"/>
        <v>1</v>
      </c>
      <c r="P133" s="11" t="str">
        <f t="shared" si="30"/>
        <v>1</v>
      </c>
      <c r="Q133" s="11" t="str">
        <f t="shared" si="31"/>
        <v>4</v>
      </c>
      <c r="R133" s="11" t="str">
        <f t="shared" si="32"/>
        <v>0</v>
      </c>
      <c r="S133" s="11" t="str">
        <f t="shared" si="33"/>
        <v>9</v>
      </c>
      <c r="T133" s="11" t="str">
        <f t="shared" si="34"/>
        <v>2</v>
      </c>
      <c r="U133" s="11" t="str">
        <f t="shared" si="35"/>
        <v>2</v>
      </c>
      <c r="V133" s="11" t="str">
        <f t="shared" si="36"/>
        <v>1</v>
      </c>
      <c r="W133" s="11" t="str">
        <f t="shared" si="37"/>
        <v>3</v>
      </c>
      <c r="X133" s="11" t="str">
        <f t="shared" si="38"/>
        <v>2</v>
      </c>
    </row>
    <row r="134" spans="1:24" x14ac:dyDescent="0.35">
      <c r="A134" s="5">
        <v>13994</v>
      </c>
      <c r="B134" s="5">
        <v>1140922133</v>
      </c>
      <c r="C134" s="5">
        <v>727109</v>
      </c>
      <c r="D134" s="5">
        <v>3763903</v>
      </c>
      <c r="E134" s="6" t="s">
        <v>70</v>
      </c>
      <c r="F134" s="6" t="s">
        <v>70</v>
      </c>
      <c r="G134" s="6" t="s">
        <v>70</v>
      </c>
      <c r="H134" s="7"/>
      <c r="I134" s="34" t="str">
        <f t="shared" si="26"/>
        <v>140922</v>
      </c>
      <c r="J134" s="31" t="str">
        <f t="shared" si="27"/>
        <v>01</v>
      </c>
      <c r="N134" s="12">
        <f t="shared" si="28"/>
        <v>0</v>
      </c>
      <c r="O134" s="11" t="str">
        <f t="shared" si="29"/>
        <v>1</v>
      </c>
      <c r="P134" s="11" t="str">
        <f t="shared" si="30"/>
        <v>1</v>
      </c>
      <c r="Q134" s="11" t="str">
        <f t="shared" si="31"/>
        <v>4</v>
      </c>
      <c r="R134" s="11" t="str">
        <f t="shared" si="32"/>
        <v>0</v>
      </c>
      <c r="S134" s="11" t="str">
        <f t="shared" si="33"/>
        <v>9</v>
      </c>
      <c r="T134" s="11" t="str">
        <f t="shared" si="34"/>
        <v>2</v>
      </c>
      <c r="U134" s="11" t="str">
        <f t="shared" si="35"/>
        <v>2</v>
      </c>
      <c r="V134" s="11" t="str">
        <f t="shared" si="36"/>
        <v>1</v>
      </c>
      <c r="W134" s="11" t="str">
        <f t="shared" si="37"/>
        <v>3</v>
      </c>
      <c r="X134" s="11" t="str">
        <f t="shared" si="38"/>
        <v>3</v>
      </c>
    </row>
    <row r="135" spans="1:24" x14ac:dyDescent="0.35">
      <c r="A135" s="5">
        <v>13995</v>
      </c>
      <c r="B135" s="5">
        <v>1140922134</v>
      </c>
      <c r="C135" s="5">
        <v>727148</v>
      </c>
      <c r="D135" s="5">
        <v>3763891</v>
      </c>
      <c r="E135" s="6" t="s">
        <v>70</v>
      </c>
      <c r="F135" s="6" t="s">
        <v>70</v>
      </c>
      <c r="G135" s="6" t="s">
        <v>70</v>
      </c>
      <c r="H135" s="7"/>
      <c r="I135" s="34" t="str">
        <f t="shared" si="26"/>
        <v>140922</v>
      </c>
      <c r="J135" s="31" t="str">
        <f t="shared" si="27"/>
        <v>01</v>
      </c>
      <c r="N135" s="12">
        <f t="shared" si="28"/>
        <v>0</v>
      </c>
      <c r="O135" s="11" t="str">
        <f t="shared" si="29"/>
        <v>1</v>
      </c>
      <c r="P135" s="11" t="str">
        <f t="shared" si="30"/>
        <v>1</v>
      </c>
      <c r="Q135" s="11" t="str">
        <f t="shared" si="31"/>
        <v>4</v>
      </c>
      <c r="R135" s="11" t="str">
        <f t="shared" si="32"/>
        <v>0</v>
      </c>
      <c r="S135" s="11" t="str">
        <f t="shared" si="33"/>
        <v>9</v>
      </c>
      <c r="T135" s="11" t="str">
        <f t="shared" si="34"/>
        <v>2</v>
      </c>
      <c r="U135" s="11" t="str">
        <f t="shared" si="35"/>
        <v>2</v>
      </c>
      <c r="V135" s="11" t="str">
        <f t="shared" si="36"/>
        <v>1</v>
      </c>
      <c r="W135" s="11" t="str">
        <f t="shared" si="37"/>
        <v>3</v>
      </c>
      <c r="X135" s="11" t="str">
        <f t="shared" si="38"/>
        <v>4</v>
      </c>
    </row>
    <row r="136" spans="1:24" x14ac:dyDescent="0.35">
      <c r="A136" s="5">
        <v>13996</v>
      </c>
      <c r="B136" s="5">
        <v>1140922135</v>
      </c>
      <c r="C136" s="5">
        <v>727188</v>
      </c>
      <c r="D136" s="5">
        <v>3763873</v>
      </c>
      <c r="E136" s="6" t="s">
        <v>70</v>
      </c>
      <c r="F136" s="6" t="s">
        <v>70</v>
      </c>
      <c r="G136" s="6" t="s">
        <v>70</v>
      </c>
      <c r="H136" s="7"/>
      <c r="I136" s="34" t="str">
        <f t="shared" si="26"/>
        <v>140922</v>
      </c>
      <c r="J136" s="31" t="str">
        <f t="shared" si="27"/>
        <v>01</v>
      </c>
      <c r="N136" s="12">
        <f t="shared" si="28"/>
        <v>0</v>
      </c>
      <c r="O136" s="11" t="str">
        <f t="shared" si="29"/>
        <v>1</v>
      </c>
      <c r="P136" s="11" t="str">
        <f t="shared" si="30"/>
        <v>1</v>
      </c>
      <c r="Q136" s="11" t="str">
        <f t="shared" si="31"/>
        <v>4</v>
      </c>
      <c r="R136" s="11" t="str">
        <f t="shared" si="32"/>
        <v>0</v>
      </c>
      <c r="S136" s="11" t="str">
        <f t="shared" si="33"/>
        <v>9</v>
      </c>
      <c r="T136" s="11" t="str">
        <f t="shared" si="34"/>
        <v>2</v>
      </c>
      <c r="U136" s="11" t="str">
        <f t="shared" si="35"/>
        <v>2</v>
      </c>
      <c r="V136" s="11" t="str">
        <f t="shared" si="36"/>
        <v>1</v>
      </c>
      <c r="W136" s="11" t="str">
        <f t="shared" si="37"/>
        <v>3</v>
      </c>
      <c r="X136" s="11" t="str">
        <f t="shared" si="38"/>
        <v>5</v>
      </c>
    </row>
    <row r="137" spans="1:24" x14ac:dyDescent="0.35">
      <c r="A137" s="5">
        <v>13997</v>
      </c>
      <c r="B137" s="5">
        <v>1140922136</v>
      </c>
      <c r="C137" s="5">
        <v>727140</v>
      </c>
      <c r="D137" s="5">
        <v>3763857</v>
      </c>
      <c r="E137" s="6" t="s">
        <v>70</v>
      </c>
      <c r="F137" s="6" t="s">
        <v>70</v>
      </c>
      <c r="G137" s="6" t="s">
        <v>70</v>
      </c>
      <c r="H137" s="7"/>
      <c r="I137" s="34" t="str">
        <f t="shared" si="26"/>
        <v>140922</v>
      </c>
      <c r="J137" s="31" t="str">
        <f t="shared" si="27"/>
        <v>01</v>
      </c>
      <c r="N137" s="12">
        <f t="shared" si="28"/>
        <v>0</v>
      </c>
      <c r="O137" s="11" t="str">
        <f t="shared" si="29"/>
        <v>1</v>
      </c>
      <c r="P137" s="11" t="str">
        <f t="shared" si="30"/>
        <v>1</v>
      </c>
      <c r="Q137" s="11" t="str">
        <f t="shared" si="31"/>
        <v>4</v>
      </c>
      <c r="R137" s="11" t="str">
        <f t="shared" si="32"/>
        <v>0</v>
      </c>
      <c r="S137" s="11" t="str">
        <f t="shared" si="33"/>
        <v>9</v>
      </c>
      <c r="T137" s="11" t="str">
        <f t="shared" si="34"/>
        <v>2</v>
      </c>
      <c r="U137" s="11" t="str">
        <f t="shared" si="35"/>
        <v>2</v>
      </c>
      <c r="V137" s="11" t="str">
        <f t="shared" si="36"/>
        <v>1</v>
      </c>
      <c r="W137" s="11" t="str">
        <f t="shared" si="37"/>
        <v>3</v>
      </c>
      <c r="X137" s="11" t="str">
        <f t="shared" si="38"/>
        <v>6</v>
      </c>
    </row>
    <row r="138" spans="1:24" x14ac:dyDescent="0.35">
      <c r="A138" s="5">
        <v>13998</v>
      </c>
      <c r="B138" s="5">
        <v>1140922137</v>
      </c>
      <c r="C138" s="5">
        <v>727136</v>
      </c>
      <c r="D138" s="5">
        <v>3763862</v>
      </c>
      <c r="E138" s="6" t="s">
        <v>70</v>
      </c>
      <c r="F138" s="6" t="s">
        <v>70</v>
      </c>
      <c r="G138" s="6" t="s">
        <v>70</v>
      </c>
      <c r="H138" s="7"/>
      <c r="I138" s="34" t="str">
        <f t="shared" si="26"/>
        <v>140922</v>
      </c>
      <c r="J138" s="31" t="str">
        <f t="shared" si="27"/>
        <v>01</v>
      </c>
      <c r="N138" s="12">
        <f t="shared" si="28"/>
        <v>0</v>
      </c>
      <c r="O138" s="11" t="str">
        <f t="shared" si="29"/>
        <v>1</v>
      </c>
      <c r="P138" s="11" t="str">
        <f t="shared" si="30"/>
        <v>1</v>
      </c>
      <c r="Q138" s="11" t="str">
        <f t="shared" si="31"/>
        <v>4</v>
      </c>
      <c r="R138" s="11" t="str">
        <f t="shared" si="32"/>
        <v>0</v>
      </c>
      <c r="S138" s="11" t="str">
        <f t="shared" si="33"/>
        <v>9</v>
      </c>
      <c r="T138" s="11" t="str">
        <f t="shared" si="34"/>
        <v>2</v>
      </c>
      <c r="U138" s="11" t="str">
        <f t="shared" si="35"/>
        <v>2</v>
      </c>
      <c r="V138" s="11" t="str">
        <f t="shared" si="36"/>
        <v>1</v>
      </c>
      <c r="W138" s="11" t="str">
        <f t="shared" si="37"/>
        <v>3</v>
      </c>
      <c r="X138" s="11" t="str">
        <f t="shared" si="38"/>
        <v>7</v>
      </c>
    </row>
    <row r="139" spans="1:24" x14ac:dyDescent="0.35">
      <c r="A139" s="5">
        <v>13999</v>
      </c>
      <c r="B139" s="5">
        <v>1140922138</v>
      </c>
      <c r="C139" s="5">
        <v>727137</v>
      </c>
      <c r="D139" s="5">
        <v>3763862</v>
      </c>
      <c r="E139" s="6" t="s">
        <v>70</v>
      </c>
      <c r="F139" s="6" t="s">
        <v>70</v>
      </c>
      <c r="G139" s="6" t="s">
        <v>70</v>
      </c>
      <c r="H139" s="7"/>
      <c r="I139" s="34" t="str">
        <f t="shared" si="26"/>
        <v>140922</v>
      </c>
      <c r="J139" s="31" t="str">
        <f t="shared" si="27"/>
        <v>01</v>
      </c>
      <c r="N139" s="12">
        <f t="shared" si="28"/>
        <v>0</v>
      </c>
      <c r="O139" s="11" t="str">
        <f t="shared" si="29"/>
        <v>1</v>
      </c>
      <c r="P139" s="11" t="str">
        <f t="shared" si="30"/>
        <v>1</v>
      </c>
      <c r="Q139" s="11" t="str">
        <f t="shared" si="31"/>
        <v>4</v>
      </c>
      <c r="R139" s="11" t="str">
        <f t="shared" si="32"/>
        <v>0</v>
      </c>
      <c r="S139" s="11" t="str">
        <f t="shared" si="33"/>
        <v>9</v>
      </c>
      <c r="T139" s="11" t="str">
        <f t="shared" si="34"/>
        <v>2</v>
      </c>
      <c r="U139" s="11" t="str">
        <f t="shared" si="35"/>
        <v>2</v>
      </c>
      <c r="V139" s="11" t="str">
        <f t="shared" si="36"/>
        <v>1</v>
      </c>
      <c r="W139" s="11" t="str">
        <f t="shared" si="37"/>
        <v>3</v>
      </c>
      <c r="X139" s="11" t="str">
        <f t="shared" si="38"/>
        <v>8</v>
      </c>
    </row>
    <row r="140" spans="1:24" x14ac:dyDescent="0.35">
      <c r="A140" s="5">
        <v>14000</v>
      </c>
      <c r="B140" s="5">
        <v>1140922139</v>
      </c>
      <c r="C140" s="5">
        <v>727235</v>
      </c>
      <c r="D140" s="5">
        <v>3763853</v>
      </c>
      <c r="E140" s="6" t="s">
        <v>70</v>
      </c>
      <c r="F140" s="6" t="s">
        <v>70</v>
      </c>
      <c r="G140" s="6" t="s">
        <v>70</v>
      </c>
      <c r="H140" s="7"/>
      <c r="I140" s="34" t="str">
        <f t="shared" si="26"/>
        <v>140922</v>
      </c>
      <c r="J140" s="31" t="str">
        <f t="shared" si="27"/>
        <v>01</v>
      </c>
      <c r="N140" s="12">
        <f t="shared" si="28"/>
        <v>0</v>
      </c>
      <c r="O140" s="11" t="str">
        <f t="shared" si="29"/>
        <v>1</v>
      </c>
      <c r="P140" s="11" t="str">
        <f t="shared" si="30"/>
        <v>1</v>
      </c>
      <c r="Q140" s="11" t="str">
        <f t="shared" si="31"/>
        <v>4</v>
      </c>
      <c r="R140" s="11" t="str">
        <f t="shared" si="32"/>
        <v>0</v>
      </c>
      <c r="S140" s="11" t="str">
        <f t="shared" si="33"/>
        <v>9</v>
      </c>
      <c r="T140" s="11" t="str">
        <f t="shared" si="34"/>
        <v>2</v>
      </c>
      <c r="U140" s="11" t="str">
        <f t="shared" si="35"/>
        <v>2</v>
      </c>
      <c r="V140" s="11" t="str">
        <f t="shared" si="36"/>
        <v>1</v>
      </c>
      <c r="W140" s="11" t="str">
        <f t="shared" si="37"/>
        <v>3</v>
      </c>
      <c r="X140" s="11" t="str">
        <f t="shared" si="38"/>
        <v>9</v>
      </c>
    </row>
    <row r="141" spans="1:24" x14ac:dyDescent="0.35">
      <c r="A141" s="5">
        <v>14001</v>
      </c>
      <c r="B141" s="5">
        <v>1140922140</v>
      </c>
      <c r="C141" s="5">
        <v>727133</v>
      </c>
      <c r="D141" s="5">
        <v>3763844</v>
      </c>
      <c r="E141" s="6" t="s">
        <v>70</v>
      </c>
      <c r="F141" s="6" t="s">
        <v>70</v>
      </c>
      <c r="G141" s="6" t="s">
        <v>70</v>
      </c>
      <c r="H141" s="7"/>
      <c r="I141" s="34" t="str">
        <f t="shared" si="26"/>
        <v>140922</v>
      </c>
      <c r="J141" s="31" t="str">
        <f t="shared" si="27"/>
        <v>01</v>
      </c>
      <c r="N141" s="12">
        <f t="shared" si="28"/>
        <v>0</v>
      </c>
      <c r="O141" s="11" t="str">
        <f t="shared" si="29"/>
        <v>1</v>
      </c>
      <c r="P141" s="11" t="str">
        <f t="shared" si="30"/>
        <v>1</v>
      </c>
      <c r="Q141" s="11" t="str">
        <f t="shared" si="31"/>
        <v>4</v>
      </c>
      <c r="R141" s="11" t="str">
        <f t="shared" si="32"/>
        <v>0</v>
      </c>
      <c r="S141" s="11" t="str">
        <f t="shared" si="33"/>
        <v>9</v>
      </c>
      <c r="T141" s="11" t="str">
        <f t="shared" si="34"/>
        <v>2</v>
      </c>
      <c r="U141" s="11" t="str">
        <f t="shared" si="35"/>
        <v>2</v>
      </c>
      <c r="V141" s="11" t="str">
        <f t="shared" si="36"/>
        <v>1</v>
      </c>
      <c r="W141" s="11" t="str">
        <f t="shared" si="37"/>
        <v>4</v>
      </c>
      <c r="X141" s="11" t="str">
        <f t="shared" si="38"/>
        <v>0</v>
      </c>
    </row>
    <row r="142" spans="1:24" x14ac:dyDescent="0.35">
      <c r="A142" s="5">
        <v>14002</v>
      </c>
      <c r="B142" s="5">
        <v>1140922141</v>
      </c>
      <c r="C142" s="5">
        <v>727164</v>
      </c>
      <c r="D142" s="5">
        <v>3763827</v>
      </c>
      <c r="E142" s="6" t="s">
        <v>70</v>
      </c>
      <c r="F142" s="6" t="s">
        <v>70</v>
      </c>
      <c r="G142" s="6" t="s">
        <v>70</v>
      </c>
      <c r="H142" s="7"/>
      <c r="I142" s="34" t="str">
        <f t="shared" si="26"/>
        <v>140922</v>
      </c>
      <c r="J142" s="31" t="str">
        <f t="shared" si="27"/>
        <v>01</v>
      </c>
      <c r="N142" s="12">
        <f t="shared" si="28"/>
        <v>0</v>
      </c>
      <c r="O142" s="11" t="str">
        <f t="shared" si="29"/>
        <v>1</v>
      </c>
      <c r="P142" s="11" t="str">
        <f t="shared" si="30"/>
        <v>1</v>
      </c>
      <c r="Q142" s="11" t="str">
        <f t="shared" si="31"/>
        <v>4</v>
      </c>
      <c r="R142" s="11" t="str">
        <f t="shared" si="32"/>
        <v>0</v>
      </c>
      <c r="S142" s="11" t="str">
        <f t="shared" si="33"/>
        <v>9</v>
      </c>
      <c r="T142" s="11" t="str">
        <f t="shared" si="34"/>
        <v>2</v>
      </c>
      <c r="U142" s="11" t="str">
        <f t="shared" si="35"/>
        <v>2</v>
      </c>
      <c r="V142" s="11" t="str">
        <f t="shared" si="36"/>
        <v>1</v>
      </c>
      <c r="W142" s="11" t="str">
        <f t="shared" si="37"/>
        <v>4</v>
      </c>
      <c r="X142" s="11" t="str">
        <f t="shared" si="38"/>
        <v>1</v>
      </c>
    </row>
    <row r="143" spans="1:24" x14ac:dyDescent="0.35">
      <c r="A143" s="5">
        <v>14003</v>
      </c>
      <c r="B143" s="5">
        <v>1140922142</v>
      </c>
      <c r="C143" s="5">
        <v>727190</v>
      </c>
      <c r="D143" s="5">
        <v>3763817</v>
      </c>
      <c r="E143" s="6" t="s">
        <v>70</v>
      </c>
      <c r="F143" s="6" t="s">
        <v>70</v>
      </c>
      <c r="G143" s="6" t="s">
        <v>70</v>
      </c>
      <c r="H143" s="7"/>
      <c r="I143" s="34" t="str">
        <f t="shared" si="26"/>
        <v>140922</v>
      </c>
      <c r="J143" s="31" t="str">
        <f t="shared" si="27"/>
        <v>01</v>
      </c>
      <c r="N143" s="12">
        <f t="shared" si="28"/>
        <v>0</v>
      </c>
      <c r="O143" s="11" t="str">
        <f t="shared" si="29"/>
        <v>1</v>
      </c>
      <c r="P143" s="11" t="str">
        <f t="shared" si="30"/>
        <v>1</v>
      </c>
      <c r="Q143" s="11" t="str">
        <f t="shared" si="31"/>
        <v>4</v>
      </c>
      <c r="R143" s="11" t="str">
        <f t="shared" si="32"/>
        <v>0</v>
      </c>
      <c r="S143" s="11" t="str">
        <f t="shared" si="33"/>
        <v>9</v>
      </c>
      <c r="T143" s="11" t="str">
        <f t="shared" si="34"/>
        <v>2</v>
      </c>
      <c r="U143" s="11" t="str">
        <f t="shared" si="35"/>
        <v>2</v>
      </c>
      <c r="V143" s="11" t="str">
        <f t="shared" si="36"/>
        <v>1</v>
      </c>
      <c r="W143" s="11" t="str">
        <f t="shared" si="37"/>
        <v>4</v>
      </c>
      <c r="X143" s="11" t="str">
        <f t="shared" si="38"/>
        <v>2</v>
      </c>
    </row>
    <row r="144" spans="1:24" x14ac:dyDescent="0.35">
      <c r="A144" s="5">
        <v>14004</v>
      </c>
      <c r="B144" s="5">
        <v>1140922143</v>
      </c>
      <c r="C144" s="5">
        <v>727217</v>
      </c>
      <c r="D144" s="5">
        <v>3763802</v>
      </c>
      <c r="E144" s="6" t="s">
        <v>70</v>
      </c>
      <c r="F144" s="6" t="s">
        <v>70</v>
      </c>
      <c r="G144" s="6" t="s">
        <v>70</v>
      </c>
      <c r="H144" s="7"/>
      <c r="I144" s="34" t="str">
        <f t="shared" si="26"/>
        <v>140922</v>
      </c>
      <c r="J144" s="31" t="str">
        <f t="shared" si="27"/>
        <v>01</v>
      </c>
      <c r="N144" s="12">
        <f t="shared" si="28"/>
        <v>0</v>
      </c>
      <c r="O144" s="11" t="str">
        <f t="shared" si="29"/>
        <v>1</v>
      </c>
      <c r="P144" s="11" t="str">
        <f t="shared" si="30"/>
        <v>1</v>
      </c>
      <c r="Q144" s="11" t="str">
        <f t="shared" si="31"/>
        <v>4</v>
      </c>
      <c r="R144" s="11" t="str">
        <f t="shared" si="32"/>
        <v>0</v>
      </c>
      <c r="S144" s="11" t="str">
        <f t="shared" si="33"/>
        <v>9</v>
      </c>
      <c r="T144" s="11" t="str">
        <f t="shared" si="34"/>
        <v>2</v>
      </c>
      <c r="U144" s="11" t="str">
        <f t="shared" si="35"/>
        <v>2</v>
      </c>
      <c r="V144" s="11" t="str">
        <f t="shared" si="36"/>
        <v>1</v>
      </c>
      <c r="W144" s="11" t="str">
        <f t="shared" si="37"/>
        <v>4</v>
      </c>
      <c r="X144" s="11" t="str">
        <f t="shared" si="38"/>
        <v>3</v>
      </c>
    </row>
    <row r="145" spans="1:24" x14ac:dyDescent="0.35">
      <c r="A145" s="5">
        <v>14005</v>
      </c>
      <c r="B145" s="5">
        <v>1140922144</v>
      </c>
      <c r="C145" s="5">
        <v>727125</v>
      </c>
      <c r="D145" s="5">
        <v>3763826</v>
      </c>
      <c r="E145" s="6" t="s">
        <v>70</v>
      </c>
      <c r="F145" s="6" t="s">
        <v>70</v>
      </c>
      <c r="G145" s="6" t="s">
        <v>70</v>
      </c>
      <c r="H145" s="7"/>
      <c r="I145" s="34" t="str">
        <f t="shared" si="26"/>
        <v>140922</v>
      </c>
      <c r="J145" s="31" t="str">
        <f t="shared" si="27"/>
        <v>01</v>
      </c>
      <c r="N145" s="12">
        <f t="shared" si="28"/>
        <v>0</v>
      </c>
      <c r="O145" s="11" t="str">
        <f t="shared" si="29"/>
        <v>1</v>
      </c>
      <c r="P145" s="11" t="str">
        <f t="shared" si="30"/>
        <v>1</v>
      </c>
      <c r="Q145" s="11" t="str">
        <f t="shared" si="31"/>
        <v>4</v>
      </c>
      <c r="R145" s="11" t="str">
        <f t="shared" si="32"/>
        <v>0</v>
      </c>
      <c r="S145" s="11" t="str">
        <f t="shared" si="33"/>
        <v>9</v>
      </c>
      <c r="T145" s="11" t="str">
        <f t="shared" si="34"/>
        <v>2</v>
      </c>
      <c r="U145" s="11" t="str">
        <f t="shared" si="35"/>
        <v>2</v>
      </c>
      <c r="V145" s="11" t="str">
        <f t="shared" si="36"/>
        <v>1</v>
      </c>
      <c r="W145" s="11" t="str">
        <f t="shared" si="37"/>
        <v>4</v>
      </c>
      <c r="X145" s="11" t="str">
        <f t="shared" si="38"/>
        <v>4</v>
      </c>
    </row>
    <row r="146" spans="1:24" x14ac:dyDescent="0.35">
      <c r="A146" s="5">
        <v>14006</v>
      </c>
      <c r="B146" s="5">
        <v>1140922145</v>
      </c>
      <c r="C146" s="5">
        <v>727125</v>
      </c>
      <c r="D146" s="5">
        <v>3763822</v>
      </c>
      <c r="E146" s="6" t="s">
        <v>70</v>
      </c>
      <c r="F146" s="6" t="s">
        <v>70</v>
      </c>
      <c r="G146" s="6" t="s">
        <v>70</v>
      </c>
      <c r="H146" s="7"/>
      <c r="I146" s="34" t="str">
        <f t="shared" si="26"/>
        <v>140922</v>
      </c>
      <c r="J146" s="31" t="str">
        <f t="shared" si="27"/>
        <v>01</v>
      </c>
      <c r="N146" s="12">
        <f t="shared" si="28"/>
        <v>0</v>
      </c>
      <c r="O146" s="11" t="str">
        <f t="shared" si="29"/>
        <v>1</v>
      </c>
      <c r="P146" s="11" t="str">
        <f t="shared" si="30"/>
        <v>1</v>
      </c>
      <c r="Q146" s="11" t="str">
        <f t="shared" si="31"/>
        <v>4</v>
      </c>
      <c r="R146" s="11" t="str">
        <f t="shared" si="32"/>
        <v>0</v>
      </c>
      <c r="S146" s="11" t="str">
        <f t="shared" si="33"/>
        <v>9</v>
      </c>
      <c r="T146" s="11" t="str">
        <f t="shared" si="34"/>
        <v>2</v>
      </c>
      <c r="U146" s="11" t="str">
        <f t="shared" si="35"/>
        <v>2</v>
      </c>
      <c r="V146" s="11" t="str">
        <f t="shared" si="36"/>
        <v>1</v>
      </c>
      <c r="W146" s="11" t="str">
        <f t="shared" si="37"/>
        <v>4</v>
      </c>
      <c r="X146" s="11" t="str">
        <f t="shared" si="38"/>
        <v>5</v>
      </c>
    </row>
    <row r="147" spans="1:24" x14ac:dyDescent="0.35">
      <c r="A147" s="5">
        <v>14007</v>
      </c>
      <c r="B147" s="5">
        <v>1140922146</v>
      </c>
      <c r="C147" s="5">
        <v>727125</v>
      </c>
      <c r="D147" s="5">
        <v>3763822</v>
      </c>
      <c r="E147" s="6" t="s">
        <v>70</v>
      </c>
      <c r="F147" s="6" t="s">
        <v>70</v>
      </c>
      <c r="G147" s="6" t="s">
        <v>70</v>
      </c>
      <c r="H147" s="7"/>
      <c r="I147" s="34" t="str">
        <f t="shared" si="26"/>
        <v>140922</v>
      </c>
      <c r="J147" s="31" t="str">
        <f t="shared" si="27"/>
        <v>01</v>
      </c>
      <c r="N147" s="12">
        <f t="shared" si="28"/>
        <v>0</v>
      </c>
      <c r="O147" s="11" t="str">
        <f t="shared" si="29"/>
        <v>1</v>
      </c>
      <c r="P147" s="11" t="str">
        <f t="shared" si="30"/>
        <v>1</v>
      </c>
      <c r="Q147" s="11" t="str">
        <f t="shared" si="31"/>
        <v>4</v>
      </c>
      <c r="R147" s="11" t="str">
        <f t="shared" si="32"/>
        <v>0</v>
      </c>
      <c r="S147" s="11" t="str">
        <f t="shared" si="33"/>
        <v>9</v>
      </c>
      <c r="T147" s="11" t="str">
        <f t="shared" si="34"/>
        <v>2</v>
      </c>
      <c r="U147" s="11" t="str">
        <f t="shared" si="35"/>
        <v>2</v>
      </c>
      <c r="V147" s="11" t="str">
        <f t="shared" si="36"/>
        <v>1</v>
      </c>
      <c r="W147" s="11" t="str">
        <f t="shared" si="37"/>
        <v>4</v>
      </c>
      <c r="X147" s="11" t="str">
        <f t="shared" si="38"/>
        <v>6</v>
      </c>
    </row>
    <row r="148" spans="1:24" x14ac:dyDescent="0.35">
      <c r="A148" s="5">
        <v>14008</v>
      </c>
      <c r="B148" s="5">
        <v>1140922147</v>
      </c>
      <c r="C148" s="5">
        <v>727111</v>
      </c>
      <c r="D148" s="5">
        <v>3763790</v>
      </c>
      <c r="E148" s="6" t="s">
        <v>70</v>
      </c>
      <c r="F148" s="6" t="s">
        <v>70</v>
      </c>
      <c r="G148" s="6" t="s">
        <v>70</v>
      </c>
      <c r="H148" s="7"/>
      <c r="I148" s="34" t="str">
        <f t="shared" si="26"/>
        <v>140922</v>
      </c>
      <c r="J148" s="31" t="str">
        <f t="shared" si="27"/>
        <v>01</v>
      </c>
      <c r="N148" s="12">
        <f t="shared" si="28"/>
        <v>0</v>
      </c>
      <c r="O148" s="11" t="str">
        <f t="shared" si="29"/>
        <v>1</v>
      </c>
      <c r="P148" s="11" t="str">
        <f t="shared" si="30"/>
        <v>1</v>
      </c>
      <c r="Q148" s="11" t="str">
        <f t="shared" si="31"/>
        <v>4</v>
      </c>
      <c r="R148" s="11" t="str">
        <f t="shared" si="32"/>
        <v>0</v>
      </c>
      <c r="S148" s="11" t="str">
        <f t="shared" si="33"/>
        <v>9</v>
      </c>
      <c r="T148" s="11" t="str">
        <f t="shared" si="34"/>
        <v>2</v>
      </c>
      <c r="U148" s="11" t="str">
        <f t="shared" si="35"/>
        <v>2</v>
      </c>
      <c r="V148" s="11" t="str">
        <f t="shared" si="36"/>
        <v>1</v>
      </c>
      <c r="W148" s="11" t="str">
        <f t="shared" si="37"/>
        <v>4</v>
      </c>
      <c r="X148" s="11" t="str">
        <f t="shared" si="38"/>
        <v>7</v>
      </c>
    </row>
    <row r="149" spans="1:24" x14ac:dyDescent="0.35">
      <c r="A149" s="5">
        <v>14009</v>
      </c>
      <c r="B149" s="5">
        <v>1140922148</v>
      </c>
      <c r="C149" s="5">
        <v>727097</v>
      </c>
      <c r="D149" s="5">
        <v>3763766</v>
      </c>
      <c r="E149" s="6" t="s">
        <v>70</v>
      </c>
      <c r="F149" s="6" t="s">
        <v>70</v>
      </c>
      <c r="G149" s="6" t="s">
        <v>70</v>
      </c>
      <c r="H149" s="7"/>
      <c r="I149" s="34" t="str">
        <f t="shared" si="26"/>
        <v>140922</v>
      </c>
      <c r="J149" s="31" t="str">
        <f t="shared" si="27"/>
        <v>01</v>
      </c>
      <c r="N149" s="12">
        <f t="shared" si="28"/>
        <v>0</v>
      </c>
      <c r="O149" s="11" t="str">
        <f t="shared" si="29"/>
        <v>1</v>
      </c>
      <c r="P149" s="11" t="str">
        <f t="shared" si="30"/>
        <v>1</v>
      </c>
      <c r="Q149" s="11" t="str">
        <f t="shared" si="31"/>
        <v>4</v>
      </c>
      <c r="R149" s="11" t="str">
        <f t="shared" si="32"/>
        <v>0</v>
      </c>
      <c r="S149" s="11" t="str">
        <f t="shared" si="33"/>
        <v>9</v>
      </c>
      <c r="T149" s="11" t="str">
        <f t="shared" si="34"/>
        <v>2</v>
      </c>
      <c r="U149" s="11" t="str">
        <f t="shared" si="35"/>
        <v>2</v>
      </c>
      <c r="V149" s="11" t="str">
        <f t="shared" si="36"/>
        <v>1</v>
      </c>
      <c r="W149" s="11" t="str">
        <f t="shared" si="37"/>
        <v>4</v>
      </c>
      <c r="X149" s="11" t="str">
        <f t="shared" si="38"/>
        <v>8</v>
      </c>
    </row>
    <row r="150" spans="1:24" x14ac:dyDescent="0.35">
      <c r="A150" s="5">
        <v>14010</v>
      </c>
      <c r="B150" s="5">
        <v>1140922149</v>
      </c>
      <c r="C150" s="5">
        <v>727143</v>
      </c>
      <c r="D150" s="5">
        <v>3763746</v>
      </c>
      <c r="E150" s="6" t="s">
        <v>70</v>
      </c>
      <c r="F150" s="6" t="s">
        <v>70</v>
      </c>
      <c r="G150" s="6" t="s">
        <v>70</v>
      </c>
      <c r="H150" s="7"/>
      <c r="I150" s="34" t="str">
        <f t="shared" si="26"/>
        <v>140922</v>
      </c>
      <c r="J150" s="31" t="str">
        <f t="shared" si="27"/>
        <v>01</v>
      </c>
      <c r="N150" s="12">
        <f t="shared" si="28"/>
        <v>0</v>
      </c>
      <c r="O150" s="11" t="str">
        <f t="shared" si="29"/>
        <v>1</v>
      </c>
      <c r="P150" s="11" t="str">
        <f t="shared" si="30"/>
        <v>1</v>
      </c>
      <c r="Q150" s="11" t="str">
        <f t="shared" si="31"/>
        <v>4</v>
      </c>
      <c r="R150" s="11" t="str">
        <f t="shared" si="32"/>
        <v>0</v>
      </c>
      <c r="S150" s="11" t="str">
        <f t="shared" si="33"/>
        <v>9</v>
      </c>
      <c r="T150" s="11" t="str">
        <f t="shared" si="34"/>
        <v>2</v>
      </c>
      <c r="U150" s="11" t="str">
        <f t="shared" si="35"/>
        <v>2</v>
      </c>
      <c r="V150" s="11" t="str">
        <f t="shared" si="36"/>
        <v>1</v>
      </c>
      <c r="W150" s="11" t="str">
        <f t="shared" si="37"/>
        <v>4</v>
      </c>
      <c r="X150" s="11" t="str">
        <f t="shared" si="38"/>
        <v>9</v>
      </c>
    </row>
    <row r="151" spans="1:24" x14ac:dyDescent="0.35">
      <c r="A151" s="5">
        <v>14011</v>
      </c>
      <c r="B151" s="5">
        <v>1140922150</v>
      </c>
      <c r="C151" s="5">
        <v>727159</v>
      </c>
      <c r="D151" s="5">
        <v>3763740</v>
      </c>
      <c r="E151" s="6" t="s">
        <v>70</v>
      </c>
      <c r="F151" s="6" t="s">
        <v>70</v>
      </c>
      <c r="G151" s="6" t="s">
        <v>70</v>
      </c>
      <c r="H151" s="7"/>
      <c r="I151" s="34" t="str">
        <f t="shared" si="26"/>
        <v>140922</v>
      </c>
      <c r="J151" s="31" t="str">
        <f t="shared" si="27"/>
        <v>01</v>
      </c>
      <c r="N151" s="12">
        <f t="shared" si="28"/>
        <v>0</v>
      </c>
      <c r="O151" s="11" t="str">
        <f t="shared" si="29"/>
        <v>1</v>
      </c>
      <c r="P151" s="11" t="str">
        <f t="shared" si="30"/>
        <v>1</v>
      </c>
      <c r="Q151" s="11" t="str">
        <f t="shared" si="31"/>
        <v>4</v>
      </c>
      <c r="R151" s="11" t="str">
        <f t="shared" si="32"/>
        <v>0</v>
      </c>
      <c r="S151" s="11" t="str">
        <f t="shared" si="33"/>
        <v>9</v>
      </c>
      <c r="T151" s="11" t="str">
        <f t="shared" si="34"/>
        <v>2</v>
      </c>
      <c r="U151" s="11" t="str">
        <f t="shared" si="35"/>
        <v>2</v>
      </c>
      <c r="V151" s="11" t="str">
        <f t="shared" si="36"/>
        <v>1</v>
      </c>
      <c r="W151" s="11" t="str">
        <f t="shared" si="37"/>
        <v>5</v>
      </c>
      <c r="X151" s="11" t="str">
        <f t="shared" si="38"/>
        <v>0</v>
      </c>
    </row>
    <row r="152" spans="1:24" x14ac:dyDescent="0.35">
      <c r="A152" s="5">
        <v>14012</v>
      </c>
      <c r="B152" s="5">
        <v>1140922151</v>
      </c>
      <c r="C152" s="5">
        <v>726867</v>
      </c>
      <c r="D152" s="5">
        <v>3763876</v>
      </c>
      <c r="E152" s="6" t="s">
        <v>70</v>
      </c>
      <c r="F152" s="6" t="s">
        <v>70</v>
      </c>
      <c r="G152" s="6" t="s">
        <v>70</v>
      </c>
      <c r="H152" s="7"/>
      <c r="I152" s="34" t="str">
        <f t="shared" si="26"/>
        <v>140922</v>
      </c>
      <c r="J152" s="31" t="str">
        <f t="shared" si="27"/>
        <v>01</v>
      </c>
      <c r="N152" s="12">
        <f t="shared" si="28"/>
        <v>0</v>
      </c>
      <c r="O152" s="11" t="str">
        <f t="shared" si="29"/>
        <v>1</v>
      </c>
      <c r="P152" s="11" t="str">
        <f t="shared" si="30"/>
        <v>1</v>
      </c>
      <c r="Q152" s="11" t="str">
        <f t="shared" si="31"/>
        <v>4</v>
      </c>
      <c r="R152" s="11" t="str">
        <f t="shared" si="32"/>
        <v>0</v>
      </c>
      <c r="S152" s="11" t="str">
        <f t="shared" si="33"/>
        <v>9</v>
      </c>
      <c r="T152" s="11" t="str">
        <f t="shared" si="34"/>
        <v>2</v>
      </c>
      <c r="U152" s="11" t="str">
        <f t="shared" si="35"/>
        <v>2</v>
      </c>
      <c r="V152" s="11" t="str">
        <f t="shared" si="36"/>
        <v>1</v>
      </c>
      <c r="W152" s="11" t="str">
        <f t="shared" si="37"/>
        <v>5</v>
      </c>
      <c r="X152" s="11" t="str">
        <f t="shared" si="38"/>
        <v>1</v>
      </c>
    </row>
    <row r="153" spans="1:24" x14ac:dyDescent="0.35">
      <c r="A153" s="5">
        <v>14013</v>
      </c>
      <c r="B153" s="5">
        <v>1140922152</v>
      </c>
      <c r="C153" s="5">
        <v>726890</v>
      </c>
      <c r="D153" s="5">
        <v>3763862</v>
      </c>
      <c r="E153" s="6" t="s">
        <v>70</v>
      </c>
      <c r="F153" s="6" t="s">
        <v>70</v>
      </c>
      <c r="G153" s="6" t="s">
        <v>70</v>
      </c>
      <c r="H153" s="7"/>
      <c r="I153" s="34" t="str">
        <f t="shared" si="26"/>
        <v>140922</v>
      </c>
      <c r="J153" s="31" t="str">
        <f t="shared" si="27"/>
        <v>01</v>
      </c>
      <c r="N153" s="12">
        <f t="shared" si="28"/>
        <v>0</v>
      </c>
      <c r="O153" s="11" t="str">
        <f t="shared" si="29"/>
        <v>1</v>
      </c>
      <c r="P153" s="11" t="str">
        <f t="shared" si="30"/>
        <v>1</v>
      </c>
      <c r="Q153" s="11" t="str">
        <f t="shared" si="31"/>
        <v>4</v>
      </c>
      <c r="R153" s="11" t="str">
        <f t="shared" si="32"/>
        <v>0</v>
      </c>
      <c r="S153" s="11" t="str">
        <f t="shared" si="33"/>
        <v>9</v>
      </c>
      <c r="T153" s="11" t="str">
        <f t="shared" si="34"/>
        <v>2</v>
      </c>
      <c r="U153" s="11" t="str">
        <f t="shared" si="35"/>
        <v>2</v>
      </c>
      <c r="V153" s="11" t="str">
        <f t="shared" si="36"/>
        <v>1</v>
      </c>
      <c r="W153" s="11" t="str">
        <f t="shared" si="37"/>
        <v>5</v>
      </c>
      <c r="X153" s="11" t="str">
        <f t="shared" si="38"/>
        <v>2</v>
      </c>
    </row>
    <row r="154" spans="1:24" x14ac:dyDescent="0.35">
      <c r="A154" s="5">
        <v>14014</v>
      </c>
      <c r="B154" s="5">
        <v>1140922153</v>
      </c>
      <c r="C154" s="5">
        <v>726936</v>
      </c>
      <c r="D154" s="5">
        <v>3763849</v>
      </c>
      <c r="E154" s="6" t="s">
        <v>70</v>
      </c>
      <c r="F154" s="6" t="s">
        <v>70</v>
      </c>
      <c r="G154" s="6" t="s">
        <v>70</v>
      </c>
      <c r="H154" s="7"/>
      <c r="I154" s="34" t="str">
        <f t="shared" si="26"/>
        <v>140922</v>
      </c>
      <c r="J154" s="31" t="str">
        <f t="shared" si="27"/>
        <v>01</v>
      </c>
      <c r="N154" s="12">
        <f t="shared" si="28"/>
        <v>0</v>
      </c>
      <c r="O154" s="11" t="str">
        <f t="shared" si="29"/>
        <v>1</v>
      </c>
      <c r="P154" s="11" t="str">
        <f t="shared" si="30"/>
        <v>1</v>
      </c>
      <c r="Q154" s="11" t="str">
        <f t="shared" si="31"/>
        <v>4</v>
      </c>
      <c r="R154" s="11" t="str">
        <f t="shared" si="32"/>
        <v>0</v>
      </c>
      <c r="S154" s="11" t="str">
        <f t="shared" si="33"/>
        <v>9</v>
      </c>
      <c r="T154" s="11" t="str">
        <f t="shared" si="34"/>
        <v>2</v>
      </c>
      <c r="U154" s="11" t="str">
        <f t="shared" si="35"/>
        <v>2</v>
      </c>
      <c r="V154" s="11" t="str">
        <f t="shared" si="36"/>
        <v>1</v>
      </c>
      <c r="W154" s="11" t="str">
        <f t="shared" si="37"/>
        <v>5</v>
      </c>
      <c r="X154" s="11" t="str">
        <f t="shared" si="38"/>
        <v>3</v>
      </c>
    </row>
    <row r="155" spans="1:24" x14ac:dyDescent="0.35">
      <c r="A155" s="5">
        <v>14015</v>
      </c>
      <c r="B155" s="5">
        <v>1140922154</v>
      </c>
      <c r="C155" s="5">
        <v>726975</v>
      </c>
      <c r="D155" s="5">
        <v>3763821</v>
      </c>
      <c r="E155" s="6" t="s">
        <v>70</v>
      </c>
      <c r="F155" s="6" t="s">
        <v>70</v>
      </c>
      <c r="G155" s="6" t="s">
        <v>70</v>
      </c>
      <c r="H155" s="7"/>
      <c r="I155" s="34" t="str">
        <f t="shared" si="26"/>
        <v>140922</v>
      </c>
      <c r="J155" s="31" t="str">
        <f t="shared" si="27"/>
        <v>01</v>
      </c>
      <c r="N155" s="12">
        <f t="shared" si="28"/>
        <v>0</v>
      </c>
      <c r="O155" s="11" t="str">
        <f t="shared" si="29"/>
        <v>1</v>
      </c>
      <c r="P155" s="11" t="str">
        <f t="shared" si="30"/>
        <v>1</v>
      </c>
      <c r="Q155" s="11" t="str">
        <f t="shared" si="31"/>
        <v>4</v>
      </c>
      <c r="R155" s="11" t="str">
        <f t="shared" si="32"/>
        <v>0</v>
      </c>
      <c r="S155" s="11" t="str">
        <f t="shared" si="33"/>
        <v>9</v>
      </c>
      <c r="T155" s="11" t="str">
        <f t="shared" si="34"/>
        <v>2</v>
      </c>
      <c r="U155" s="11" t="str">
        <f t="shared" si="35"/>
        <v>2</v>
      </c>
      <c r="V155" s="11" t="str">
        <f t="shared" si="36"/>
        <v>1</v>
      </c>
      <c r="W155" s="11" t="str">
        <f t="shared" si="37"/>
        <v>5</v>
      </c>
      <c r="X155" s="11" t="str">
        <f t="shared" si="38"/>
        <v>4</v>
      </c>
    </row>
    <row r="156" spans="1:24" x14ac:dyDescent="0.35">
      <c r="A156" s="5">
        <v>14016</v>
      </c>
      <c r="B156" s="5">
        <v>1140922155</v>
      </c>
      <c r="C156" s="5">
        <v>726978</v>
      </c>
      <c r="D156" s="5">
        <v>3763825</v>
      </c>
      <c r="E156" s="6" t="s">
        <v>70</v>
      </c>
      <c r="F156" s="6" t="s">
        <v>70</v>
      </c>
      <c r="G156" s="6" t="s">
        <v>70</v>
      </c>
      <c r="H156" s="7"/>
      <c r="I156" s="34" t="str">
        <f t="shared" si="26"/>
        <v>140922</v>
      </c>
      <c r="J156" s="31" t="str">
        <f t="shared" si="27"/>
        <v>01</v>
      </c>
      <c r="N156" s="12">
        <f t="shared" si="28"/>
        <v>0</v>
      </c>
      <c r="O156" s="11" t="str">
        <f t="shared" si="29"/>
        <v>1</v>
      </c>
      <c r="P156" s="11" t="str">
        <f t="shared" si="30"/>
        <v>1</v>
      </c>
      <c r="Q156" s="11" t="str">
        <f t="shared" si="31"/>
        <v>4</v>
      </c>
      <c r="R156" s="11" t="str">
        <f t="shared" si="32"/>
        <v>0</v>
      </c>
      <c r="S156" s="11" t="str">
        <f t="shared" si="33"/>
        <v>9</v>
      </c>
      <c r="T156" s="11" t="str">
        <f t="shared" si="34"/>
        <v>2</v>
      </c>
      <c r="U156" s="11" t="str">
        <f t="shared" si="35"/>
        <v>2</v>
      </c>
      <c r="V156" s="11" t="str">
        <f t="shared" si="36"/>
        <v>1</v>
      </c>
      <c r="W156" s="11" t="str">
        <f t="shared" si="37"/>
        <v>5</v>
      </c>
      <c r="X156" s="11" t="str">
        <f t="shared" si="38"/>
        <v>5</v>
      </c>
    </row>
    <row r="157" spans="1:24" x14ac:dyDescent="0.35">
      <c r="A157" s="5">
        <v>14017</v>
      </c>
      <c r="B157" s="5">
        <v>1140922156</v>
      </c>
      <c r="C157" s="5">
        <v>726978</v>
      </c>
      <c r="D157" s="5">
        <v>3763825</v>
      </c>
      <c r="E157" s="6" t="s">
        <v>70</v>
      </c>
      <c r="F157" s="6" t="s">
        <v>70</v>
      </c>
      <c r="G157" s="6" t="s">
        <v>70</v>
      </c>
      <c r="H157" s="7"/>
      <c r="I157" s="34" t="str">
        <f t="shared" si="26"/>
        <v>140922</v>
      </c>
      <c r="J157" s="31" t="str">
        <f t="shared" si="27"/>
        <v>01</v>
      </c>
      <c r="N157" s="12">
        <f t="shared" si="28"/>
        <v>0</v>
      </c>
      <c r="O157" s="11" t="str">
        <f t="shared" si="29"/>
        <v>1</v>
      </c>
      <c r="P157" s="11" t="str">
        <f t="shared" si="30"/>
        <v>1</v>
      </c>
      <c r="Q157" s="11" t="str">
        <f t="shared" si="31"/>
        <v>4</v>
      </c>
      <c r="R157" s="11" t="str">
        <f t="shared" si="32"/>
        <v>0</v>
      </c>
      <c r="S157" s="11" t="str">
        <f t="shared" si="33"/>
        <v>9</v>
      </c>
      <c r="T157" s="11" t="str">
        <f t="shared" si="34"/>
        <v>2</v>
      </c>
      <c r="U157" s="11" t="str">
        <f t="shared" si="35"/>
        <v>2</v>
      </c>
      <c r="V157" s="11" t="str">
        <f t="shared" si="36"/>
        <v>1</v>
      </c>
      <c r="W157" s="11" t="str">
        <f t="shared" si="37"/>
        <v>5</v>
      </c>
      <c r="X157" s="11" t="str">
        <f t="shared" si="38"/>
        <v>6</v>
      </c>
    </row>
    <row r="158" spans="1:24" x14ac:dyDescent="0.35">
      <c r="A158" s="5">
        <v>14018</v>
      </c>
      <c r="B158" s="5">
        <v>1140922157</v>
      </c>
      <c r="C158" s="5">
        <v>726972</v>
      </c>
      <c r="D158" s="5">
        <v>3763840</v>
      </c>
      <c r="E158" s="6" t="s">
        <v>70</v>
      </c>
      <c r="F158" s="6" t="s">
        <v>70</v>
      </c>
      <c r="G158" s="6" t="s">
        <v>70</v>
      </c>
      <c r="H158" s="7"/>
      <c r="I158" s="34" t="str">
        <f t="shared" si="26"/>
        <v>140922</v>
      </c>
      <c r="J158" s="31" t="str">
        <f t="shared" si="27"/>
        <v>01</v>
      </c>
      <c r="N158" s="12">
        <f t="shared" si="28"/>
        <v>0</v>
      </c>
      <c r="O158" s="11" t="str">
        <f t="shared" si="29"/>
        <v>1</v>
      </c>
      <c r="P158" s="11" t="str">
        <f t="shared" si="30"/>
        <v>1</v>
      </c>
      <c r="Q158" s="11" t="str">
        <f t="shared" si="31"/>
        <v>4</v>
      </c>
      <c r="R158" s="11" t="str">
        <f t="shared" si="32"/>
        <v>0</v>
      </c>
      <c r="S158" s="11" t="str">
        <f t="shared" si="33"/>
        <v>9</v>
      </c>
      <c r="T158" s="11" t="str">
        <f t="shared" si="34"/>
        <v>2</v>
      </c>
      <c r="U158" s="11" t="str">
        <f t="shared" si="35"/>
        <v>2</v>
      </c>
      <c r="V158" s="11" t="str">
        <f t="shared" si="36"/>
        <v>1</v>
      </c>
      <c r="W158" s="11" t="str">
        <f t="shared" si="37"/>
        <v>5</v>
      </c>
      <c r="X158" s="11" t="str">
        <f t="shared" si="38"/>
        <v>7</v>
      </c>
    </row>
    <row r="159" spans="1:24" x14ac:dyDescent="0.35">
      <c r="A159" s="5">
        <v>14019</v>
      </c>
      <c r="B159" s="5">
        <v>1140922158</v>
      </c>
      <c r="C159" s="5">
        <v>726983</v>
      </c>
      <c r="D159" s="5">
        <v>3763870</v>
      </c>
      <c r="E159" s="6" t="s">
        <v>70</v>
      </c>
      <c r="F159" s="6" t="s">
        <v>70</v>
      </c>
      <c r="G159" s="6" t="s">
        <v>70</v>
      </c>
      <c r="H159" s="7"/>
      <c r="I159" s="34" t="str">
        <f t="shared" si="26"/>
        <v>140922</v>
      </c>
      <c r="J159" s="31" t="str">
        <f t="shared" si="27"/>
        <v>01</v>
      </c>
      <c r="N159" s="12">
        <f t="shared" si="28"/>
        <v>0</v>
      </c>
      <c r="O159" s="11" t="str">
        <f t="shared" si="29"/>
        <v>1</v>
      </c>
      <c r="P159" s="11" t="str">
        <f t="shared" si="30"/>
        <v>1</v>
      </c>
      <c r="Q159" s="11" t="str">
        <f t="shared" si="31"/>
        <v>4</v>
      </c>
      <c r="R159" s="11" t="str">
        <f t="shared" si="32"/>
        <v>0</v>
      </c>
      <c r="S159" s="11" t="str">
        <f t="shared" si="33"/>
        <v>9</v>
      </c>
      <c r="T159" s="11" t="str">
        <f t="shared" si="34"/>
        <v>2</v>
      </c>
      <c r="U159" s="11" t="str">
        <f t="shared" si="35"/>
        <v>2</v>
      </c>
      <c r="V159" s="11" t="str">
        <f t="shared" si="36"/>
        <v>1</v>
      </c>
      <c r="W159" s="11" t="str">
        <f t="shared" si="37"/>
        <v>5</v>
      </c>
      <c r="X159" s="11" t="str">
        <f t="shared" si="38"/>
        <v>8</v>
      </c>
    </row>
    <row r="160" spans="1:24" x14ac:dyDescent="0.35">
      <c r="A160" s="5">
        <v>14020</v>
      </c>
      <c r="B160" s="5">
        <v>1140922159</v>
      </c>
      <c r="C160" s="5">
        <v>726958</v>
      </c>
      <c r="D160" s="5">
        <v>3763887</v>
      </c>
      <c r="E160" s="6" t="s">
        <v>70</v>
      </c>
      <c r="F160" s="6" t="s">
        <v>70</v>
      </c>
      <c r="G160" s="6" t="s">
        <v>70</v>
      </c>
      <c r="H160" s="7"/>
      <c r="I160" s="34" t="str">
        <f t="shared" si="26"/>
        <v>140922</v>
      </c>
      <c r="J160" s="31" t="str">
        <f t="shared" si="27"/>
        <v>01</v>
      </c>
      <c r="N160" s="12">
        <f t="shared" si="28"/>
        <v>0</v>
      </c>
      <c r="O160" s="11" t="str">
        <f t="shared" si="29"/>
        <v>1</v>
      </c>
      <c r="P160" s="11" t="str">
        <f t="shared" si="30"/>
        <v>1</v>
      </c>
      <c r="Q160" s="11" t="str">
        <f t="shared" si="31"/>
        <v>4</v>
      </c>
      <c r="R160" s="11" t="str">
        <f t="shared" si="32"/>
        <v>0</v>
      </c>
      <c r="S160" s="11" t="str">
        <f t="shared" si="33"/>
        <v>9</v>
      </c>
      <c r="T160" s="11" t="str">
        <f t="shared" si="34"/>
        <v>2</v>
      </c>
      <c r="U160" s="11" t="str">
        <f t="shared" si="35"/>
        <v>2</v>
      </c>
      <c r="V160" s="11" t="str">
        <f t="shared" si="36"/>
        <v>1</v>
      </c>
      <c r="W160" s="11" t="str">
        <f t="shared" si="37"/>
        <v>5</v>
      </c>
      <c r="X160" s="11" t="str">
        <f t="shared" si="38"/>
        <v>9</v>
      </c>
    </row>
    <row r="161" spans="1:24" x14ac:dyDescent="0.35">
      <c r="A161" s="5">
        <v>14021</v>
      </c>
      <c r="B161" s="5">
        <v>1140922160</v>
      </c>
      <c r="C161" s="5">
        <v>726935</v>
      </c>
      <c r="D161" s="5">
        <v>3763893</v>
      </c>
      <c r="E161" s="6" t="s">
        <v>70</v>
      </c>
      <c r="F161" s="6" t="s">
        <v>70</v>
      </c>
      <c r="G161" s="6" t="s">
        <v>70</v>
      </c>
      <c r="H161" s="7"/>
      <c r="I161" s="34" t="str">
        <f t="shared" si="26"/>
        <v>140922</v>
      </c>
      <c r="J161" s="31" t="str">
        <f t="shared" si="27"/>
        <v>01</v>
      </c>
      <c r="N161" s="12">
        <f t="shared" si="28"/>
        <v>0</v>
      </c>
      <c r="O161" s="11" t="str">
        <f t="shared" si="29"/>
        <v>1</v>
      </c>
      <c r="P161" s="11" t="str">
        <f t="shared" si="30"/>
        <v>1</v>
      </c>
      <c r="Q161" s="11" t="str">
        <f t="shared" si="31"/>
        <v>4</v>
      </c>
      <c r="R161" s="11" t="str">
        <f t="shared" si="32"/>
        <v>0</v>
      </c>
      <c r="S161" s="11" t="str">
        <f t="shared" si="33"/>
        <v>9</v>
      </c>
      <c r="T161" s="11" t="str">
        <f t="shared" si="34"/>
        <v>2</v>
      </c>
      <c r="U161" s="11" t="str">
        <f t="shared" si="35"/>
        <v>2</v>
      </c>
      <c r="V161" s="11" t="str">
        <f t="shared" si="36"/>
        <v>1</v>
      </c>
      <c r="W161" s="11" t="str">
        <f t="shared" si="37"/>
        <v>6</v>
      </c>
      <c r="X161" s="11" t="str">
        <f t="shared" si="38"/>
        <v>0</v>
      </c>
    </row>
    <row r="162" spans="1:24" x14ac:dyDescent="0.35">
      <c r="A162" s="5">
        <v>14022</v>
      </c>
      <c r="B162" s="5">
        <v>1140922161</v>
      </c>
      <c r="C162" s="5">
        <v>726993</v>
      </c>
      <c r="D162" s="5">
        <v>3763884</v>
      </c>
      <c r="E162" s="6" t="s">
        <v>70</v>
      </c>
      <c r="F162" s="6" t="s">
        <v>70</v>
      </c>
      <c r="G162" s="6" t="s">
        <v>70</v>
      </c>
      <c r="H162" s="7"/>
      <c r="I162" s="34" t="str">
        <f t="shared" si="26"/>
        <v>140922</v>
      </c>
      <c r="J162" s="31" t="str">
        <f t="shared" si="27"/>
        <v>01</v>
      </c>
      <c r="N162" s="12">
        <f t="shared" si="28"/>
        <v>0</v>
      </c>
      <c r="O162" s="11" t="str">
        <f t="shared" si="29"/>
        <v>1</v>
      </c>
      <c r="P162" s="11" t="str">
        <f t="shared" si="30"/>
        <v>1</v>
      </c>
      <c r="Q162" s="11" t="str">
        <f t="shared" si="31"/>
        <v>4</v>
      </c>
      <c r="R162" s="11" t="str">
        <f t="shared" si="32"/>
        <v>0</v>
      </c>
      <c r="S162" s="11" t="str">
        <f t="shared" si="33"/>
        <v>9</v>
      </c>
      <c r="T162" s="11" t="str">
        <f t="shared" si="34"/>
        <v>2</v>
      </c>
      <c r="U162" s="11" t="str">
        <f t="shared" si="35"/>
        <v>2</v>
      </c>
      <c r="V162" s="11" t="str">
        <f t="shared" si="36"/>
        <v>1</v>
      </c>
      <c r="W162" s="11" t="str">
        <f t="shared" si="37"/>
        <v>6</v>
      </c>
      <c r="X162" s="11" t="str">
        <f t="shared" si="38"/>
        <v>1</v>
      </c>
    </row>
    <row r="163" spans="1:24" x14ac:dyDescent="0.35">
      <c r="A163" s="5">
        <v>14023</v>
      </c>
      <c r="B163" s="5">
        <v>1140922162</v>
      </c>
      <c r="C163" s="5">
        <v>727004</v>
      </c>
      <c r="D163" s="5">
        <v>3763920</v>
      </c>
      <c r="E163" s="6" t="s">
        <v>70</v>
      </c>
      <c r="F163" s="6" t="s">
        <v>70</v>
      </c>
      <c r="G163" s="6" t="s">
        <v>70</v>
      </c>
      <c r="H163" s="7"/>
      <c r="I163" s="34" t="str">
        <f t="shared" si="26"/>
        <v>140922</v>
      </c>
      <c r="J163" s="31" t="str">
        <f t="shared" si="27"/>
        <v>01</v>
      </c>
      <c r="N163" s="12">
        <f t="shared" si="28"/>
        <v>0</v>
      </c>
      <c r="O163" s="11" t="str">
        <f t="shared" si="29"/>
        <v>1</v>
      </c>
      <c r="P163" s="11" t="str">
        <f t="shared" si="30"/>
        <v>1</v>
      </c>
      <c r="Q163" s="11" t="str">
        <f t="shared" si="31"/>
        <v>4</v>
      </c>
      <c r="R163" s="11" t="str">
        <f t="shared" si="32"/>
        <v>0</v>
      </c>
      <c r="S163" s="11" t="str">
        <f t="shared" si="33"/>
        <v>9</v>
      </c>
      <c r="T163" s="11" t="str">
        <f t="shared" si="34"/>
        <v>2</v>
      </c>
      <c r="U163" s="11" t="str">
        <f t="shared" si="35"/>
        <v>2</v>
      </c>
      <c r="V163" s="11" t="str">
        <f t="shared" si="36"/>
        <v>1</v>
      </c>
      <c r="W163" s="11" t="str">
        <f t="shared" si="37"/>
        <v>6</v>
      </c>
      <c r="X163" s="11" t="str">
        <f t="shared" si="38"/>
        <v>2</v>
      </c>
    </row>
    <row r="164" spans="1:24" x14ac:dyDescent="0.35">
      <c r="A164" s="5">
        <v>14024</v>
      </c>
      <c r="B164" s="5">
        <v>1140922163</v>
      </c>
      <c r="C164" s="5">
        <v>726962</v>
      </c>
      <c r="D164" s="5">
        <v>3763798</v>
      </c>
      <c r="E164" s="6" t="s">
        <v>70</v>
      </c>
      <c r="F164" s="6" t="s">
        <v>70</v>
      </c>
      <c r="G164" s="6" t="s">
        <v>70</v>
      </c>
      <c r="H164" s="7"/>
      <c r="I164" s="34" t="str">
        <f t="shared" si="26"/>
        <v>140922</v>
      </c>
      <c r="J164" s="31" t="str">
        <f t="shared" si="27"/>
        <v>01</v>
      </c>
      <c r="N164" s="12">
        <f t="shared" si="28"/>
        <v>0</v>
      </c>
      <c r="O164" s="11" t="str">
        <f t="shared" si="29"/>
        <v>1</v>
      </c>
      <c r="P164" s="11" t="str">
        <f t="shared" si="30"/>
        <v>1</v>
      </c>
      <c r="Q164" s="11" t="str">
        <f t="shared" si="31"/>
        <v>4</v>
      </c>
      <c r="R164" s="11" t="str">
        <f t="shared" si="32"/>
        <v>0</v>
      </c>
      <c r="S164" s="11" t="str">
        <f t="shared" si="33"/>
        <v>9</v>
      </c>
      <c r="T164" s="11" t="str">
        <f t="shared" si="34"/>
        <v>2</v>
      </c>
      <c r="U164" s="11" t="str">
        <f t="shared" si="35"/>
        <v>2</v>
      </c>
      <c r="V164" s="11" t="str">
        <f t="shared" si="36"/>
        <v>1</v>
      </c>
      <c r="W164" s="11" t="str">
        <f t="shared" si="37"/>
        <v>6</v>
      </c>
      <c r="X164" s="11" t="str">
        <f t="shared" si="38"/>
        <v>3</v>
      </c>
    </row>
    <row r="165" spans="1:24" x14ac:dyDescent="0.35">
      <c r="A165" s="5">
        <v>14025</v>
      </c>
      <c r="B165" s="5">
        <v>1140922164</v>
      </c>
      <c r="C165" s="5">
        <v>726959</v>
      </c>
      <c r="D165" s="5">
        <v>3763778</v>
      </c>
      <c r="E165" s="6" t="s">
        <v>70</v>
      </c>
      <c r="F165" s="6" t="s">
        <v>70</v>
      </c>
      <c r="G165" s="6" t="s">
        <v>70</v>
      </c>
      <c r="H165" s="7"/>
      <c r="I165" s="34" t="str">
        <f t="shared" si="26"/>
        <v>140922</v>
      </c>
      <c r="J165" s="31" t="str">
        <f t="shared" si="27"/>
        <v>01</v>
      </c>
      <c r="N165" s="12">
        <f t="shared" si="28"/>
        <v>0</v>
      </c>
      <c r="O165" s="11" t="str">
        <f t="shared" si="29"/>
        <v>1</v>
      </c>
      <c r="P165" s="11" t="str">
        <f t="shared" si="30"/>
        <v>1</v>
      </c>
      <c r="Q165" s="11" t="str">
        <f t="shared" si="31"/>
        <v>4</v>
      </c>
      <c r="R165" s="11" t="str">
        <f t="shared" si="32"/>
        <v>0</v>
      </c>
      <c r="S165" s="11" t="str">
        <f t="shared" si="33"/>
        <v>9</v>
      </c>
      <c r="T165" s="11" t="str">
        <f t="shared" si="34"/>
        <v>2</v>
      </c>
      <c r="U165" s="11" t="str">
        <f t="shared" si="35"/>
        <v>2</v>
      </c>
      <c r="V165" s="11" t="str">
        <f t="shared" si="36"/>
        <v>1</v>
      </c>
      <c r="W165" s="11" t="str">
        <f t="shared" si="37"/>
        <v>6</v>
      </c>
      <c r="X165" s="11" t="str">
        <f t="shared" si="38"/>
        <v>4</v>
      </c>
    </row>
    <row r="166" spans="1:24" x14ac:dyDescent="0.35">
      <c r="A166" s="5">
        <v>14026</v>
      </c>
      <c r="B166" s="5">
        <v>1140922165</v>
      </c>
      <c r="C166" s="5">
        <v>726942</v>
      </c>
      <c r="D166" s="5">
        <v>3763746</v>
      </c>
      <c r="E166" s="6" t="s">
        <v>70</v>
      </c>
      <c r="F166" s="6" t="s">
        <v>70</v>
      </c>
      <c r="G166" s="6" t="s">
        <v>70</v>
      </c>
      <c r="H166" s="7"/>
      <c r="I166" s="34" t="str">
        <f t="shared" si="26"/>
        <v>140922</v>
      </c>
      <c r="J166" s="31" t="str">
        <f t="shared" si="27"/>
        <v>01</v>
      </c>
      <c r="N166" s="12">
        <f t="shared" si="28"/>
        <v>0</v>
      </c>
      <c r="O166" s="11" t="str">
        <f t="shared" si="29"/>
        <v>1</v>
      </c>
      <c r="P166" s="11" t="str">
        <f t="shared" si="30"/>
        <v>1</v>
      </c>
      <c r="Q166" s="11" t="str">
        <f t="shared" si="31"/>
        <v>4</v>
      </c>
      <c r="R166" s="11" t="str">
        <f t="shared" si="32"/>
        <v>0</v>
      </c>
      <c r="S166" s="11" t="str">
        <f t="shared" si="33"/>
        <v>9</v>
      </c>
      <c r="T166" s="11" t="str">
        <f t="shared" si="34"/>
        <v>2</v>
      </c>
      <c r="U166" s="11" t="str">
        <f t="shared" si="35"/>
        <v>2</v>
      </c>
      <c r="V166" s="11" t="str">
        <f t="shared" si="36"/>
        <v>1</v>
      </c>
      <c r="W166" s="11" t="str">
        <f t="shared" si="37"/>
        <v>6</v>
      </c>
      <c r="X166" s="11" t="str">
        <f t="shared" si="38"/>
        <v>5</v>
      </c>
    </row>
    <row r="167" spans="1:24" x14ac:dyDescent="0.35">
      <c r="A167" s="5">
        <v>14027</v>
      </c>
      <c r="B167" s="5">
        <v>1140922166</v>
      </c>
      <c r="C167" s="5">
        <v>726942</v>
      </c>
      <c r="D167" s="5">
        <v>3763746</v>
      </c>
      <c r="E167" s="6" t="s">
        <v>70</v>
      </c>
      <c r="F167" s="6" t="s">
        <v>70</v>
      </c>
      <c r="G167" s="6" t="s">
        <v>70</v>
      </c>
      <c r="H167" s="7"/>
      <c r="I167" s="34" t="str">
        <f t="shared" si="26"/>
        <v>140922</v>
      </c>
      <c r="J167" s="31" t="str">
        <f t="shared" si="27"/>
        <v>01</v>
      </c>
      <c r="N167" s="12">
        <f t="shared" si="28"/>
        <v>0</v>
      </c>
      <c r="O167" s="11" t="str">
        <f t="shared" si="29"/>
        <v>1</v>
      </c>
      <c r="P167" s="11" t="str">
        <f t="shared" si="30"/>
        <v>1</v>
      </c>
      <c r="Q167" s="11" t="str">
        <f t="shared" si="31"/>
        <v>4</v>
      </c>
      <c r="R167" s="11" t="str">
        <f t="shared" si="32"/>
        <v>0</v>
      </c>
      <c r="S167" s="11" t="str">
        <f t="shared" si="33"/>
        <v>9</v>
      </c>
      <c r="T167" s="11" t="str">
        <f t="shared" si="34"/>
        <v>2</v>
      </c>
      <c r="U167" s="11" t="str">
        <f t="shared" si="35"/>
        <v>2</v>
      </c>
      <c r="V167" s="11" t="str">
        <f t="shared" si="36"/>
        <v>1</v>
      </c>
      <c r="W167" s="11" t="str">
        <f t="shared" si="37"/>
        <v>6</v>
      </c>
      <c r="X167" s="11" t="str">
        <f t="shared" si="38"/>
        <v>6</v>
      </c>
    </row>
    <row r="168" spans="1:24" x14ac:dyDescent="0.35">
      <c r="A168" s="5">
        <v>14028</v>
      </c>
      <c r="B168" s="5">
        <v>1140922167</v>
      </c>
      <c r="C168" s="5">
        <v>726941</v>
      </c>
      <c r="D168" s="5">
        <v>3763745</v>
      </c>
      <c r="E168" s="6" t="s">
        <v>70</v>
      </c>
      <c r="F168" s="6" t="s">
        <v>70</v>
      </c>
      <c r="G168" s="6" t="s">
        <v>70</v>
      </c>
      <c r="H168" s="7"/>
      <c r="I168" s="34" t="str">
        <f t="shared" si="26"/>
        <v>140922</v>
      </c>
      <c r="J168" s="31" t="str">
        <f t="shared" si="27"/>
        <v>01</v>
      </c>
      <c r="N168" s="12">
        <f t="shared" si="28"/>
        <v>0</v>
      </c>
      <c r="O168" s="11" t="str">
        <f t="shared" si="29"/>
        <v>1</v>
      </c>
      <c r="P168" s="11" t="str">
        <f t="shared" si="30"/>
        <v>1</v>
      </c>
      <c r="Q168" s="11" t="str">
        <f t="shared" si="31"/>
        <v>4</v>
      </c>
      <c r="R168" s="11" t="str">
        <f t="shared" si="32"/>
        <v>0</v>
      </c>
      <c r="S168" s="11" t="str">
        <f t="shared" si="33"/>
        <v>9</v>
      </c>
      <c r="T168" s="11" t="str">
        <f t="shared" si="34"/>
        <v>2</v>
      </c>
      <c r="U168" s="11" t="str">
        <f t="shared" si="35"/>
        <v>2</v>
      </c>
      <c r="V168" s="11" t="str">
        <f t="shared" si="36"/>
        <v>1</v>
      </c>
      <c r="W168" s="11" t="str">
        <f t="shared" si="37"/>
        <v>6</v>
      </c>
      <c r="X168" s="11" t="str">
        <f t="shared" si="38"/>
        <v>7</v>
      </c>
    </row>
    <row r="169" spans="1:24" x14ac:dyDescent="0.35">
      <c r="A169" s="5">
        <v>14029</v>
      </c>
      <c r="B169" s="5">
        <v>1140922168</v>
      </c>
      <c r="C169" s="5">
        <v>726906</v>
      </c>
      <c r="D169" s="5">
        <v>3763767</v>
      </c>
      <c r="E169" s="6" t="s">
        <v>70</v>
      </c>
      <c r="F169" s="6" t="s">
        <v>70</v>
      </c>
      <c r="G169" s="6" t="s">
        <v>70</v>
      </c>
      <c r="H169" s="7"/>
      <c r="I169" s="34" t="str">
        <f t="shared" si="26"/>
        <v>140922</v>
      </c>
      <c r="J169" s="31" t="str">
        <f t="shared" si="27"/>
        <v>01</v>
      </c>
      <c r="N169" s="12">
        <f t="shared" si="28"/>
        <v>0</v>
      </c>
      <c r="O169" s="11" t="str">
        <f t="shared" si="29"/>
        <v>1</v>
      </c>
      <c r="P169" s="11" t="str">
        <f t="shared" si="30"/>
        <v>1</v>
      </c>
      <c r="Q169" s="11" t="str">
        <f t="shared" si="31"/>
        <v>4</v>
      </c>
      <c r="R169" s="11" t="str">
        <f t="shared" si="32"/>
        <v>0</v>
      </c>
      <c r="S169" s="11" t="str">
        <f t="shared" si="33"/>
        <v>9</v>
      </c>
      <c r="T169" s="11" t="str">
        <f t="shared" si="34"/>
        <v>2</v>
      </c>
      <c r="U169" s="11" t="str">
        <f t="shared" si="35"/>
        <v>2</v>
      </c>
      <c r="V169" s="11" t="str">
        <f t="shared" si="36"/>
        <v>1</v>
      </c>
      <c r="W169" s="11" t="str">
        <f t="shared" si="37"/>
        <v>6</v>
      </c>
      <c r="X169" s="11" t="str">
        <f t="shared" si="38"/>
        <v>8</v>
      </c>
    </row>
    <row r="170" spans="1:24" x14ac:dyDescent="0.35">
      <c r="A170" s="5">
        <v>14030</v>
      </c>
      <c r="B170" s="5">
        <v>1140922169</v>
      </c>
      <c r="C170" s="5">
        <v>726864</v>
      </c>
      <c r="D170" s="5">
        <v>3763786</v>
      </c>
      <c r="E170" s="6" t="s">
        <v>70</v>
      </c>
      <c r="F170" s="6" t="s">
        <v>70</v>
      </c>
      <c r="G170" s="6" t="s">
        <v>70</v>
      </c>
      <c r="H170" s="7"/>
      <c r="I170" s="34" t="str">
        <f t="shared" si="26"/>
        <v>140922</v>
      </c>
      <c r="J170" s="31" t="str">
        <f t="shared" si="27"/>
        <v>01</v>
      </c>
      <c r="N170" s="12">
        <f t="shared" si="28"/>
        <v>0</v>
      </c>
      <c r="O170" s="11" t="str">
        <f t="shared" si="29"/>
        <v>1</v>
      </c>
      <c r="P170" s="11" t="str">
        <f t="shared" si="30"/>
        <v>1</v>
      </c>
      <c r="Q170" s="11" t="str">
        <f t="shared" si="31"/>
        <v>4</v>
      </c>
      <c r="R170" s="11" t="str">
        <f t="shared" si="32"/>
        <v>0</v>
      </c>
      <c r="S170" s="11" t="str">
        <f t="shared" si="33"/>
        <v>9</v>
      </c>
      <c r="T170" s="11" t="str">
        <f t="shared" si="34"/>
        <v>2</v>
      </c>
      <c r="U170" s="11" t="str">
        <f t="shared" si="35"/>
        <v>2</v>
      </c>
      <c r="V170" s="11" t="str">
        <f t="shared" si="36"/>
        <v>1</v>
      </c>
      <c r="W170" s="11" t="str">
        <f t="shared" si="37"/>
        <v>6</v>
      </c>
      <c r="X170" s="11" t="str">
        <f t="shared" si="38"/>
        <v>9</v>
      </c>
    </row>
    <row r="171" spans="1:24" x14ac:dyDescent="0.35">
      <c r="A171" s="5">
        <v>14031</v>
      </c>
      <c r="B171" s="5">
        <v>1140922170</v>
      </c>
      <c r="C171" s="5">
        <v>726829</v>
      </c>
      <c r="D171" s="5">
        <v>3763805</v>
      </c>
      <c r="E171" s="6" t="s">
        <v>70</v>
      </c>
      <c r="F171" s="6" t="s">
        <v>70</v>
      </c>
      <c r="G171" s="6" t="s">
        <v>70</v>
      </c>
      <c r="H171" s="7"/>
      <c r="I171" s="34" t="str">
        <f t="shared" si="26"/>
        <v>140922</v>
      </c>
      <c r="J171" s="31" t="str">
        <f t="shared" si="27"/>
        <v>01</v>
      </c>
      <c r="N171" s="12">
        <f t="shared" si="28"/>
        <v>0</v>
      </c>
      <c r="O171" s="11" t="str">
        <f t="shared" si="29"/>
        <v>1</v>
      </c>
      <c r="P171" s="11" t="str">
        <f t="shared" si="30"/>
        <v>1</v>
      </c>
      <c r="Q171" s="11" t="str">
        <f t="shared" si="31"/>
        <v>4</v>
      </c>
      <c r="R171" s="11" t="str">
        <f t="shared" si="32"/>
        <v>0</v>
      </c>
      <c r="S171" s="11" t="str">
        <f t="shared" si="33"/>
        <v>9</v>
      </c>
      <c r="T171" s="11" t="str">
        <f t="shared" si="34"/>
        <v>2</v>
      </c>
      <c r="U171" s="11" t="str">
        <f t="shared" si="35"/>
        <v>2</v>
      </c>
      <c r="V171" s="11" t="str">
        <f t="shared" si="36"/>
        <v>1</v>
      </c>
      <c r="W171" s="11" t="str">
        <f t="shared" si="37"/>
        <v>7</v>
      </c>
      <c r="X171" s="11" t="str">
        <f t="shared" si="38"/>
        <v>0</v>
      </c>
    </row>
    <row r="172" spans="1:24" x14ac:dyDescent="0.35">
      <c r="A172" s="5">
        <v>14032</v>
      </c>
      <c r="B172" s="5">
        <v>1140922171</v>
      </c>
      <c r="C172" s="5">
        <v>726925</v>
      </c>
      <c r="D172" s="5">
        <v>3763701</v>
      </c>
      <c r="E172" s="6" t="s">
        <v>70</v>
      </c>
      <c r="F172" s="6" t="s">
        <v>70</v>
      </c>
      <c r="G172" s="6" t="s">
        <v>70</v>
      </c>
      <c r="H172" s="7"/>
      <c r="I172" s="34" t="str">
        <f t="shared" si="26"/>
        <v>140922</v>
      </c>
      <c r="J172" s="31" t="str">
        <f t="shared" si="27"/>
        <v>01</v>
      </c>
      <c r="N172" s="12">
        <f t="shared" si="28"/>
        <v>0</v>
      </c>
      <c r="O172" s="11" t="str">
        <f t="shared" si="29"/>
        <v>1</v>
      </c>
      <c r="P172" s="11" t="str">
        <f t="shared" si="30"/>
        <v>1</v>
      </c>
      <c r="Q172" s="11" t="str">
        <f t="shared" si="31"/>
        <v>4</v>
      </c>
      <c r="R172" s="11" t="str">
        <f t="shared" si="32"/>
        <v>0</v>
      </c>
      <c r="S172" s="11" t="str">
        <f t="shared" si="33"/>
        <v>9</v>
      </c>
      <c r="T172" s="11" t="str">
        <f t="shared" si="34"/>
        <v>2</v>
      </c>
      <c r="U172" s="11" t="str">
        <f t="shared" si="35"/>
        <v>2</v>
      </c>
      <c r="V172" s="11" t="str">
        <f t="shared" si="36"/>
        <v>1</v>
      </c>
      <c r="W172" s="11" t="str">
        <f t="shared" si="37"/>
        <v>7</v>
      </c>
      <c r="X172" s="11" t="str">
        <f t="shared" si="38"/>
        <v>1</v>
      </c>
    </row>
    <row r="173" spans="1:24" x14ac:dyDescent="0.35">
      <c r="A173" s="5">
        <v>14033</v>
      </c>
      <c r="B173" s="5">
        <v>1140922172</v>
      </c>
      <c r="C173" s="5">
        <v>726907</v>
      </c>
      <c r="D173" s="5">
        <v>3763662</v>
      </c>
      <c r="E173" s="6" t="s">
        <v>70</v>
      </c>
      <c r="F173" s="6" t="s">
        <v>70</v>
      </c>
      <c r="G173" s="6" t="s">
        <v>70</v>
      </c>
      <c r="H173" s="7"/>
      <c r="I173" s="34" t="str">
        <f t="shared" si="26"/>
        <v>140922</v>
      </c>
      <c r="J173" s="31" t="str">
        <f t="shared" si="27"/>
        <v>01</v>
      </c>
      <c r="N173" s="12">
        <f t="shared" si="28"/>
        <v>0</v>
      </c>
      <c r="O173" s="11" t="str">
        <f t="shared" si="29"/>
        <v>1</v>
      </c>
      <c r="P173" s="11" t="str">
        <f t="shared" si="30"/>
        <v>1</v>
      </c>
      <c r="Q173" s="11" t="str">
        <f t="shared" si="31"/>
        <v>4</v>
      </c>
      <c r="R173" s="11" t="str">
        <f t="shared" si="32"/>
        <v>0</v>
      </c>
      <c r="S173" s="11" t="str">
        <f t="shared" si="33"/>
        <v>9</v>
      </c>
      <c r="T173" s="11" t="str">
        <f t="shared" si="34"/>
        <v>2</v>
      </c>
      <c r="U173" s="11" t="str">
        <f t="shared" si="35"/>
        <v>2</v>
      </c>
      <c r="V173" s="11" t="str">
        <f t="shared" si="36"/>
        <v>1</v>
      </c>
      <c r="W173" s="11" t="str">
        <f t="shared" si="37"/>
        <v>7</v>
      </c>
      <c r="X173" s="11" t="str">
        <f t="shared" si="38"/>
        <v>2</v>
      </c>
    </row>
    <row r="174" spans="1:24" x14ac:dyDescent="0.35">
      <c r="A174" s="5">
        <v>14034</v>
      </c>
      <c r="B174" s="5">
        <v>1140922173</v>
      </c>
      <c r="C174" s="5">
        <v>726902</v>
      </c>
      <c r="D174" s="5">
        <v>3763660</v>
      </c>
      <c r="E174" s="6" t="s">
        <v>70</v>
      </c>
      <c r="F174" s="6" t="s">
        <v>70</v>
      </c>
      <c r="G174" s="6" t="s">
        <v>70</v>
      </c>
      <c r="H174" s="7"/>
      <c r="I174" s="34" t="str">
        <f t="shared" si="26"/>
        <v>140922</v>
      </c>
      <c r="J174" s="31" t="str">
        <f t="shared" si="27"/>
        <v>01</v>
      </c>
      <c r="N174" s="12">
        <f t="shared" si="28"/>
        <v>0</v>
      </c>
      <c r="O174" s="11" t="str">
        <f t="shared" si="29"/>
        <v>1</v>
      </c>
      <c r="P174" s="11" t="str">
        <f t="shared" si="30"/>
        <v>1</v>
      </c>
      <c r="Q174" s="11" t="str">
        <f t="shared" si="31"/>
        <v>4</v>
      </c>
      <c r="R174" s="11" t="str">
        <f t="shared" si="32"/>
        <v>0</v>
      </c>
      <c r="S174" s="11" t="str">
        <f t="shared" si="33"/>
        <v>9</v>
      </c>
      <c r="T174" s="11" t="str">
        <f t="shared" si="34"/>
        <v>2</v>
      </c>
      <c r="U174" s="11" t="str">
        <f t="shared" si="35"/>
        <v>2</v>
      </c>
      <c r="V174" s="11" t="str">
        <f t="shared" si="36"/>
        <v>1</v>
      </c>
      <c r="W174" s="11" t="str">
        <f t="shared" si="37"/>
        <v>7</v>
      </c>
      <c r="X174" s="11" t="str">
        <f t="shared" si="38"/>
        <v>3</v>
      </c>
    </row>
    <row r="175" spans="1:24" x14ac:dyDescent="0.35">
      <c r="A175" s="5">
        <v>14035</v>
      </c>
      <c r="B175" s="5">
        <v>1140922174</v>
      </c>
      <c r="C175" s="5">
        <v>726903</v>
      </c>
      <c r="D175" s="5">
        <v>3763661</v>
      </c>
      <c r="E175" s="6" t="s">
        <v>70</v>
      </c>
      <c r="F175" s="6" t="s">
        <v>70</v>
      </c>
      <c r="G175" s="6" t="s">
        <v>70</v>
      </c>
      <c r="H175" s="7"/>
      <c r="I175" s="34" t="str">
        <f t="shared" si="26"/>
        <v>140922</v>
      </c>
      <c r="J175" s="31" t="str">
        <f t="shared" si="27"/>
        <v>01</v>
      </c>
      <c r="N175" s="12">
        <f t="shared" si="28"/>
        <v>0</v>
      </c>
      <c r="O175" s="11" t="str">
        <f t="shared" si="29"/>
        <v>1</v>
      </c>
      <c r="P175" s="11" t="str">
        <f t="shared" si="30"/>
        <v>1</v>
      </c>
      <c r="Q175" s="11" t="str">
        <f t="shared" si="31"/>
        <v>4</v>
      </c>
      <c r="R175" s="11" t="str">
        <f t="shared" si="32"/>
        <v>0</v>
      </c>
      <c r="S175" s="11" t="str">
        <f t="shared" si="33"/>
        <v>9</v>
      </c>
      <c r="T175" s="11" t="str">
        <f t="shared" si="34"/>
        <v>2</v>
      </c>
      <c r="U175" s="11" t="str">
        <f t="shared" si="35"/>
        <v>2</v>
      </c>
      <c r="V175" s="11" t="str">
        <f t="shared" si="36"/>
        <v>1</v>
      </c>
      <c r="W175" s="11" t="str">
        <f t="shared" si="37"/>
        <v>7</v>
      </c>
      <c r="X175" s="11" t="str">
        <f t="shared" si="38"/>
        <v>4</v>
      </c>
    </row>
    <row r="176" spans="1:24" x14ac:dyDescent="0.35">
      <c r="A176" s="5">
        <v>14036</v>
      </c>
      <c r="B176" s="5">
        <v>1140922175</v>
      </c>
      <c r="C176" s="5">
        <v>726862</v>
      </c>
      <c r="D176" s="5">
        <v>3763685</v>
      </c>
      <c r="E176" s="6" t="s">
        <v>70</v>
      </c>
      <c r="F176" s="6" t="s">
        <v>70</v>
      </c>
      <c r="G176" s="6" t="s">
        <v>70</v>
      </c>
      <c r="H176" s="7"/>
      <c r="I176" s="34" t="str">
        <f t="shared" si="26"/>
        <v>140922</v>
      </c>
      <c r="J176" s="31" t="str">
        <f t="shared" si="27"/>
        <v>01</v>
      </c>
      <c r="N176" s="12">
        <f t="shared" si="28"/>
        <v>0</v>
      </c>
      <c r="O176" s="11" t="str">
        <f t="shared" si="29"/>
        <v>1</v>
      </c>
      <c r="P176" s="11" t="str">
        <f t="shared" si="30"/>
        <v>1</v>
      </c>
      <c r="Q176" s="11" t="str">
        <f t="shared" si="31"/>
        <v>4</v>
      </c>
      <c r="R176" s="11" t="str">
        <f t="shared" si="32"/>
        <v>0</v>
      </c>
      <c r="S176" s="11" t="str">
        <f t="shared" si="33"/>
        <v>9</v>
      </c>
      <c r="T176" s="11" t="str">
        <f t="shared" si="34"/>
        <v>2</v>
      </c>
      <c r="U176" s="11" t="str">
        <f t="shared" si="35"/>
        <v>2</v>
      </c>
      <c r="V176" s="11" t="str">
        <f t="shared" si="36"/>
        <v>1</v>
      </c>
      <c r="W176" s="11" t="str">
        <f t="shared" si="37"/>
        <v>7</v>
      </c>
      <c r="X176" s="11" t="str">
        <f t="shared" si="38"/>
        <v>5</v>
      </c>
    </row>
    <row r="177" spans="1:24" x14ac:dyDescent="0.35">
      <c r="A177" s="5">
        <v>14037</v>
      </c>
      <c r="B177" s="5">
        <v>1140922176</v>
      </c>
      <c r="C177" s="5">
        <v>726826</v>
      </c>
      <c r="D177" s="5">
        <v>3763706</v>
      </c>
      <c r="E177" s="6" t="s">
        <v>70</v>
      </c>
      <c r="F177" s="6" t="s">
        <v>70</v>
      </c>
      <c r="G177" s="6" t="s">
        <v>70</v>
      </c>
      <c r="H177" s="7"/>
      <c r="I177" s="34" t="str">
        <f t="shared" si="26"/>
        <v>140922</v>
      </c>
      <c r="J177" s="31" t="str">
        <f t="shared" si="27"/>
        <v>01</v>
      </c>
      <c r="N177" s="12">
        <f t="shared" si="28"/>
        <v>0</v>
      </c>
      <c r="O177" s="11" t="str">
        <f t="shared" si="29"/>
        <v>1</v>
      </c>
      <c r="P177" s="11" t="str">
        <f t="shared" si="30"/>
        <v>1</v>
      </c>
      <c r="Q177" s="11" t="str">
        <f t="shared" si="31"/>
        <v>4</v>
      </c>
      <c r="R177" s="11" t="str">
        <f t="shared" si="32"/>
        <v>0</v>
      </c>
      <c r="S177" s="11" t="str">
        <f t="shared" si="33"/>
        <v>9</v>
      </c>
      <c r="T177" s="11" t="str">
        <f t="shared" si="34"/>
        <v>2</v>
      </c>
      <c r="U177" s="11" t="str">
        <f t="shared" si="35"/>
        <v>2</v>
      </c>
      <c r="V177" s="11" t="str">
        <f t="shared" si="36"/>
        <v>1</v>
      </c>
      <c r="W177" s="11" t="str">
        <f t="shared" si="37"/>
        <v>7</v>
      </c>
      <c r="X177" s="11" t="str">
        <f t="shared" si="38"/>
        <v>6</v>
      </c>
    </row>
    <row r="178" spans="1:24" x14ac:dyDescent="0.35">
      <c r="A178" s="5">
        <v>14038</v>
      </c>
      <c r="B178" s="5">
        <v>1140922177</v>
      </c>
      <c r="C178" s="5">
        <v>726797</v>
      </c>
      <c r="D178" s="5">
        <v>3763731</v>
      </c>
      <c r="E178" s="6" t="s">
        <v>70</v>
      </c>
      <c r="F178" s="6" t="s">
        <v>70</v>
      </c>
      <c r="G178" s="6" t="s">
        <v>70</v>
      </c>
      <c r="H178" s="7"/>
      <c r="I178" s="34" t="str">
        <f t="shared" si="26"/>
        <v>140922</v>
      </c>
      <c r="J178" s="31" t="str">
        <f t="shared" si="27"/>
        <v>01</v>
      </c>
      <c r="N178" s="12">
        <f t="shared" si="28"/>
        <v>0</v>
      </c>
      <c r="O178" s="11" t="str">
        <f t="shared" si="29"/>
        <v>1</v>
      </c>
      <c r="P178" s="11" t="str">
        <f t="shared" si="30"/>
        <v>1</v>
      </c>
      <c r="Q178" s="11" t="str">
        <f t="shared" si="31"/>
        <v>4</v>
      </c>
      <c r="R178" s="11" t="str">
        <f t="shared" si="32"/>
        <v>0</v>
      </c>
      <c r="S178" s="11" t="str">
        <f t="shared" si="33"/>
        <v>9</v>
      </c>
      <c r="T178" s="11" t="str">
        <f t="shared" si="34"/>
        <v>2</v>
      </c>
      <c r="U178" s="11" t="str">
        <f t="shared" si="35"/>
        <v>2</v>
      </c>
      <c r="V178" s="11" t="str">
        <f t="shared" si="36"/>
        <v>1</v>
      </c>
      <c r="W178" s="11" t="str">
        <f t="shared" si="37"/>
        <v>7</v>
      </c>
      <c r="X178" s="11" t="str">
        <f t="shared" si="38"/>
        <v>7</v>
      </c>
    </row>
    <row r="179" spans="1:24" x14ac:dyDescent="0.35">
      <c r="A179" s="5">
        <v>14039</v>
      </c>
      <c r="B179" s="5">
        <v>1140922178</v>
      </c>
      <c r="C179" s="5">
        <v>726886</v>
      </c>
      <c r="D179" s="5">
        <v>3763727</v>
      </c>
      <c r="E179" s="6" t="s">
        <v>70</v>
      </c>
      <c r="F179" s="6" t="s">
        <v>70</v>
      </c>
      <c r="G179" s="6" t="s">
        <v>70</v>
      </c>
      <c r="H179" s="7"/>
      <c r="I179" s="34" t="str">
        <f t="shared" si="26"/>
        <v>140922</v>
      </c>
      <c r="J179" s="31" t="str">
        <f t="shared" si="27"/>
        <v>01</v>
      </c>
      <c r="N179" s="12">
        <f t="shared" si="28"/>
        <v>0</v>
      </c>
      <c r="O179" s="11" t="str">
        <f t="shared" si="29"/>
        <v>1</v>
      </c>
      <c r="P179" s="11" t="str">
        <f t="shared" si="30"/>
        <v>1</v>
      </c>
      <c r="Q179" s="11" t="str">
        <f t="shared" si="31"/>
        <v>4</v>
      </c>
      <c r="R179" s="11" t="str">
        <f t="shared" si="32"/>
        <v>0</v>
      </c>
      <c r="S179" s="11" t="str">
        <f t="shared" si="33"/>
        <v>9</v>
      </c>
      <c r="T179" s="11" t="str">
        <f t="shared" si="34"/>
        <v>2</v>
      </c>
      <c r="U179" s="11" t="str">
        <f t="shared" si="35"/>
        <v>2</v>
      </c>
      <c r="V179" s="11" t="str">
        <f t="shared" si="36"/>
        <v>1</v>
      </c>
      <c r="W179" s="11" t="str">
        <f t="shared" si="37"/>
        <v>7</v>
      </c>
      <c r="X179" s="11" t="str">
        <f t="shared" si="38"/>
        <v>8</v>
      </c>
    </row>
    <row r="180" spans="1:24" x14ac:dyDescent="0.35">
      <c r="A180" s="5">
        <v>14040</v>
      </c>
      <c r="B180" s="5">
        <v>1140922179</v>
      </c>
      <c r="C180" s="5">
        <v>726916</v>
      </c>
      <c r="D180" s="5">
        <v>3763659</v>
      </c>
      <c r="E180" s="6" t="s">
        <v>70</v>
      </c>
      <c r="F180" s="6" t="s">
        <v>70</v>
      </c>
      <c r="G180" s="6" t="s">
        <v>70</v>
      </c>
      <c r="H180" s="7"/>
      <c r="I180" s="34" t="str">
        <f t="shared" si="26"/>
        <v>140922</v>
      </c>
      <c r="J180" s="31" t="str">
        <f t="shared" si="27"/>
        <v>01</v>
      </c>
      <c r="N180" s="12">
        <f t="shared" si="28"/>
        <v>0</v>
      </c>
      <c r="O180" s="11" t="str">
        <f t="shared" si="29"/>
        <v>1</v>
      </c>
      <c r="P180" s="11" t="str">
        <f t="shared" si="30"/>
        <v>1</v>
      </c>
      <c r="Q180" s="11" t="str">
        <f t="shared" si="31"/>
        <v>4</v>
      </c>
      <c r="R180" s="11" t="str">
        <f t="shared" si="32"/>
        <v>0</v>
      </c>
      <c r="S180" s="11" t="str">
        <f t="shared" si="33"/>
        <v>9</v>
      </c>
      <c r="T180" s="11" t="str">
        <f t="shared" si="34"/>
        <v>2</v>
      </c>
      <c r="U180" s="11" t="str">
        <f t="shared" si="35"/>
        <v>2</v>
      </c>
      <c r="V180" s="11" t="str">
        <f t="shared" si="36"/>
        <v>1</v>
      </c>
      <c r="W180" s="11" t="str">
        <f t="shared" si="37"/>
        <v>7</v>
      </c>
      <c r="X180" s="11" t="str">
        <f t="shared" si="38"/>
        <v>9</v>
      </c>
    </row>
    <row r="181" spans="1:24" x14ac:dyDescent="0.35">
      <c r="A181" s="5">
        <v>14041</v>
      </c>
      <c r="B181" s="5">
        <v>1140922180</v>
      </c>
      <c r="C181" s="5">
        <v>726916</v>
      </c>
      <c r="D181" s="5">
        <v>3763662</v>
      </c>
      <c r="E181" s="6" t="s">
        <v>70</v>
      </c>
      <c r="F181" s="6" t="s">
        <v>70</v>
      </c>
      <c r="G181" s="6" t="s">
        <v>70</v>
      </c>
      <c r="H181" s="7"/>
      <c r="I181" s="34" t="str">
        <f t="shared" si="26"/>
        <v>140922</v>
      </c>
      <c r="J181" s="31" t="str">
        <f t="shared" si="27"/>
        <v>01</v>
      </c>
      <c r="N181" s="12">
        <f t="shared" si="28"/>
        <v>0</v>
      </c>
      <c r="O181" s="11" t="str">
        <f t="shared" si="29"/>
        <v>1</v>
      </c>
      <c r="P181" s="11" t="str">
        <f t="shared" si="30"/>
        <v>1</v>
      </c>
      <c r="Q181" s="11" t="str">
        <f t="shared" si="31"/>
        <v>4</v>
      </c>
      <c r="R181" s="11" t="str">
        <f t="shared" si="32"/>
        <v>0</v>
      </c>
      <c r="S181" s="11" t="str">
        <f t="shared" si="33"/>
        <v>9</v>
      </c>
      <c r="T181" s="11" t="str">
        <f t="shared" si="34"/>
        <v>2</v>
      </c>
      <c r="U181" s="11" t="str">
        <f t="shared" si="35"/>
        <v>2</v>
      </c>
      <c r="V181" s="11" t="str">
        <f t="shared" si="36"/>
        <v>1</v>
      </c>
      <c r="W181" s="11" t="str">
        <f t="shared" si="37"/>
        <v>8</v>
      </c>
      <c r="X181" s="11" t="str">
        <f t="shared" si="38"/>
        <v>0</v>
      </c>
    </row>
    <row r="182" spans="1:24" x14ac:dyDescent="0.35">
      <c r="A182" s="5">
        <v>14042</v>
      </c>
      <c r="B182" s="5">
        <v>1140922181</v>
      </c>
      <c r="C182" s="5">
        <v>726917</v>
      </c>
      <c r="D182" s="5">
        <v>3763662</v>
      </c>
      <c r="E182" s="6" t="s">
        <v>70</v>
      </c>
      <c r="F182" s="6" t="s">
        <v>70</v>
      </c>
      <c r="G182" s="6" t="s">
        <v>70</v>
      </c>
      <c r="H182" s="7"/>
      <c r="I182" s="34" t="str">
        <f t="shared" si="26"/>
        <v>140922</v>
      </c>
      <c r="J182" s="31" t="str">
        <f t="shared" si="27"/>
        <v>01</v>
      </c>
      <c r="N182" s="12">
        <f t="shared" si="28"/>
        <v>0</v>
      </c>
      <c r="O182" s="11" t="str">
        <f t="shared" si="29"/>
        <v>1</v>
      </c>
      <c r="P182" s="11" t="str">
        <f t="shared" si="30"/>
        <v>1</v>
      </c>
      <c r="Q182" s="11" t="str">
        <f t="shared" si="31"/>
        <v>4</v>
      </c>
      <c r="R182" s="11" t="str">
        <f t="shared" si="32"/>
        <v>0</v>
      </c>
      <c r="S182" s="11" t="str">
        <f t="shared" si="33"/>
        <v>9</v>
      </c>
      <c r="T182" s="11" t="str">
        <f t="shared" si="34"/>
        <v>2</v>
      </c>
      <c r="U182" s="11" t="str">
        <f t="shared" si="35"/>
        <v>2</v>
      </c>
      <c r="V182" s="11" t="str">
        <f t="shared" si="36"/>
        <v>1</v>
      </c>
      <c r="W182" s="11" t="str">
        <f t="shared" si="37"/>
        <v>8</v>
      </c>
      <c r="X182" s="11" t="str">
        <f t="shared" si="38"/>
        <v>1</v>
      </c>
    </row>
    <row r="183" spans="1:24" x14ac:dyDescent="0.35">
      <c r="A183" s="5">
        <v>14043</v>
      </c>
      <c r="B183" s="5">
        <v>1140922182</v>
      </c>
      <c r="C183" s="5">
        <v>726960</v>
      </c>
      <c r="D183" s="5">
        <v>3763640</v>
      </c>
      <c r="E183" s="6" t="s">
        <v>70</v>
      </c>
      <c r="F183" s="6" t="s">
        <v>70</v>
      </c>
      <c r="G183" s="6" t="s">
        <v>70</v>
      </c>
      <c r="H183" s="7"/>
      <c r="I183" s="34" t="str">
        <f t="shared" si="26"/>
        <v>140922</v>
      </c>
      <c r="J183" s="31" t="str">
        <f t="shared" si="27"/>
        <v>01</v>
      </c>
      <c r="N183" s="12">
        <f t="shared" si="28"/>
        <v>0</v>
      </c>
      <c r="O183" s="11" t="str">
        <f t="shared" si="29"/>
        <v>1</v>
      </c>
      <c r="P183" s="11" t="str">
        <f t="shared" si="30"/>
        <v>1</v>
      </c>
      <c r="Q183" s="11" t="str">
        <f t="shared" si="31"/>
        <v>4</v>
      </c>
      <c r="R183" s="11" t="str">
        <f t="shared" si="32"/>
        <v>0</v>
      </c>
      <c r="S183" s="11" t="str">
        <f t="shared" si="33"/>
        <v>9</v>
      </c>
      <c r="T183" s="11" t="str">
        <f t="shared" si="34"/>
        <v>2</v>
      </c>
      <c r="U183" s="11" t="str">
        <f t="shared" si="35"/>
        <v>2</v>
      </c>
      <c r="V183" s="11" t="str">
        <f t="shared" si="36"/>
        <v>1</v>
      </c>
      <c r="W183" s="11" t="str">
        <f t="shared" si="37"/>
        <v>8</v>
      </c>
      <c r="X183" s="11" t="str">
        <f t="shared" si="38"/>
        <v>2</v>
      </c>
    </row>
    <row r="184" spans="1:24" x14ac:dyDescent="0.35">
      <c r="A184" s="5">
        <v>14044</v>
      </c>
      <c r="B184" s="5">
        <v>1140922183</v>
      </c>
      <c r="C184" s="5">
        <v>726962</v>
      </c>
      <c r="D184" s="5">
        <v>3763641</v>
      </c>
      <c r="E184" s="6" t="s">
        <v>70</v>
      </c>
      <c r="F184" s="6" t="s">
        <v>70</v>
      </c>
      <c r="G184" s="6" t="s">
        <v>70</v>
      </c>
      <c r="H184" s="7"/>
      <c r="I184" s="34" t="str">
        <f t="shared" si="26"/>
        <v>140922</v>
      </c>
      <c r="J184" s="31" t="str">
        <f t="shared" si="27"/>
        <v>01</v>
      </c>
      <c r="N184" s="12">
        <f t="shared" si="28"/>
        <v>0</v>
      </c>
      <c r="O184" s="11" t="str">
        <f t="shared" si="29"/>
        <v>1</v>
      </c>
      <c r="P184" s="11" t="str">
        <f t="shared" si="30"/>
        <v>1</v>
      </c>
      <c r="Q184" s="11" t="str">
        <f t="shared" si="31"/>
        <v>4</v>
      </c>
      <c r="R184" s="11" t="str">
        <f t="shared" si="32"/>
        <v>0</v>
      </c>
      <c r="S184" s="11" t="str">
        <f t="shared" si="33"/>
        <v>9</v>
      </c>
      <c r="T184" s="11" t="str">
        <f t="shared" si="34"/>
        <v>2</v>
      </c>
      <c r="U184" s="11" t="str">
        <f t="shared" si="35"/>
        <v>2</v>
      </c>
      <c r="V184" s="11" t="str">
        <f t="shared" si="36"/>
        <v>1</v>
      </c>
      <c r="W184" s="11" t="str">
        <f t="shared" si="37"/>
        <v>8</v>
      </c>
      <c r="X184" s="11" t="str">
        <f t="shared" si="38"/>
        <v>3</v>
      </c>
    </row>
    <row r="185" spans="1:24" x14ac:dyDescent="0.35">
      <c r="A185" s="5">
        <v>14045</v>
      </c>
      <c r="B185" s="5">
        <v>1140922184</v>
      </c>
      <c r="C185" s="5">
        <v>726960</v>
      </c>
      <c r="D185" s="5">
        <v>3763641</v>
      </c>
      <c r="E185" s="6" t="s">
        <v>70</v>
      </c>
      <c r="F185" s="6" t="s">
        <v>70</v>
      </c>
      <c r="G185" s="6" t="s">
        <v>70</v>
      </c>
      <c r="H185" s="7"/>
      <c r="I185" s="34" t="str">
        <f t="shared" si="26"/>
        <v>140922</v>
      </c>
      <c r="J185" s="31" t="str">
        <f t="shared" si="27"/>
        <v>01</v>
      </c>
      <c r="N185" s="12">
        <f t="shared" si="28"/>
        <v>0</v>
      </c>
      <c r="O185" s="11" t="str">
        <f t="shared" si="29"/>
        <v>1</v>
      </c>
      <c r="P185" s="11" t="str">
        <f t="shared" si="30"/>
        <v>1</v>
      </c>
      <c r="Q185" s="11" t="str">
        <f t="shared" si="31"/>
        <v>4</v>
      </c>
      <c r="R185" s="11" t="str">
        <f t="shared" si="32"/>
        <v>0</v>
      </c>
      <c r="S185" s="11" t="str">
        <f t="shared" si="33"/>
        <v>9</v>
      </c>
      <c r="T185" s="11" t="str">
        <f t="shared" si="34"/>
        <v>2</v>
      </c>
      <c r="U185" s="11" t="str">
        <f t="shared" si="35"/>
        <v>2</v>
      </c>
      <c r="V185" s="11" t="str">
        <f t="shared" si="36"/>
        <v>1</v>
      </c>
      <c r="W185" s="11" t="str">
        <f t="shared" si="37"/>
        <v>8</v>
      </c>
      <c r="X185" s="11" t="str">
        <f t="shared" si="38"/>
        <v>4</v>
      </c>
    </row>
    <row r="186" spans="1:24" s="19" customFormat="1" x14ac:dyDescent="0.35">
      <c r="A186" s="8">
        <v>14046</v>
      </c>
      <c r="B186" s="8">
        <v>1150922185</v>
      </c>
      <c r="C186" s="8">
        <v>726881</v>
      </c>
      <c r="D186" s="8">
        <v>3763615</v>
      </c>
      <c r="E186" s="22" t="s">
        <v>70</v>
      </c>
      <c r="F186" s="22" t="s">
        <v>70</v>
      </c>
      <c r="G186" s="22" t="s">
        <v>70</v>
      </c>
      <c r="H186" s="23"/>
      <c r="I186" s="34" t="str">
        <f t="shared" si="26"/>
        <v>150922</v>
      </c>
      <c r="J186" s="31" t="str">
        <f t="shared" si="27"/>
        <v>01</v>
      </c>
      <c r="N186" s="24">
        <f t="shared" si="28"/>
        <v>0</v>
      </c>
      <c r="O186" s="25" t="str">
        <f t="shared" si="29"/>
        <v>1</v>
      </c>
      <c r="P186" s="25" t="str">
        <f t="shared" si="30"/>
        <v>1</v>
      </c>
      <c r="Q186" s="25" t="str">
        <f t="shared" si="31"/>
        <v>5</v>
      </c>
      <c r="R186" s="25" t="str">
        <f t="shared" si="32"/>
        <v>0</v>
      </c>
      <c r="S186" s="25" t="str">
        <f t="shared" si="33"/>
        <v>9</v>
      </c>
      <c r="T186" s="25" t="str">
        <f t="shared" si="34"/>
        <v>2</v>
      </c>
      <c r="U186" s="25" t="str">
        <f t="shared" si="35"/>
        <v>2</v>
      </c>
      <c r="V186" s="25" t="str">
        <f t="shared" si="36"/>
        <v>1</v>
      </c>
      <c r="W186" s="25" t="str">
        <f t="shared" si="37"/>
        <v>8</v>
      </c>
      <c r="X186" s="25" t="str">
        <f t="shared" si="38"/>
        <v>5</v>
      </c>
    </row>
    <row r="187" spans="1:24" x14ac:dyDescent="0.35">
      <c r="A187" s="5">
        <v>14047</v>
      </c>
      <c r="B187" s="5">
        <v>1150922186</v>
      </c>
      <c r="C187" s="5">
        <v>726881</v>
      </c>
      <c r="D187" s="5">
        <v>3763614</v>
      </c>
      <c r="E187" s="6" t="s">
        <v>70</v>
      </c>
      <c r="F187" s="6" t="s">
        <v>70</v>
      </c>
      <c r="G187" s="6" t="s">
        <v>70</v>
      </c>
      <c r="H187" s="7"/>
      <c r="I187" s="34" t="str">
        <f t="shared" si="26"/>
        <v>150922</v>
      </c>
      <c r="J187" s="31" t="str">
        <f t="shared" si="27"/>
        <v>01</v>
      </c>
      <c r="N187" s="12">
        <f t="shared" si="28"/>
        <v>0</v>
      </c>
      <c r="O187" s="11" t="str">
        <f t="shared" si="29"/>
        <v>1</v>
      </c>
      <c r="P187" s="11" t="str">
        <f t="shared" si="30"/>
        <v>1</v>
      </c>
      <c r="Q187" s="11" t="str">
        <f t="shared" si="31"/>
        <v>5</v>
      </c>
      <c r="R187" s="11" t="str">
        <f t="shared" si="32"/>
        <v>0</v>
      </c>
      <c r="S187" s="11" t="str">
        <f t="shared" si="33"/>
        <v>9</v>
      </c>
      <c r="T187" s="11" t="str">
        <f t="shared" si="34"/>
        <v>2</v>
      </c>
      <c r="U187" s="11" t="str">
        <f t="shared" si="35"/>
        <v>2</v>
      </c>
      <c r="V187" s="11" t="str">
        <f t="shared" si="36"/>
        <v>1</v>
      </c>
      <c r="W187" s="11" t="str">
        <f t="shared" si="37"/>
        <v>8</v>
      </c>
      <c r="X187" s="11" t="str">
        <f t="shared" si="38"/>
        <v>6</v>
      </c>
    </row>
    <row r="188" spans="1:24" x14ac:dyDescent="0.35">
      <c r="A188" s="5">
        <v>14048</v>
      </c>
      <c r="B188" s="5">
        <v>1150922187</v>
      </c>
      <c r="C188" s="5">
        <v>726880</v>
      </c>
      <c r="D188" s="5">
        <v>3763612</v>
      </c>
      <c r="E188" s="6" t="s">
        <v>70</v>
      </c>
      <c r="F188" s="6" t="s">
        <v>70</v>
      </c>
      <c r="G188" s="6" t="s">
        <v>70</v>
      </c>
      <c r="H188" s="7"/>
      <c r="I188" s="34" t="str">
        <f t="shared" si="26"/>
        <v>150922</v>
      </c>
      <c r="J188" s="31" t="str">
        <f t="shared" si="27"/>
        <v>01</v>
      </c>
      <c r="N188" s="12">
        <f t="shared" si="28"/>
        <v>0</v>
      </c>
      <c r="O188" s="11" t="str">
        <f t="shared" si="29"/>
        <v>1</v>
      </c>
      <c r="P188" s="11" t="str">
        <f t="shared" si="30"/>
        <v>1</v>
      </c>
      <c r="Q188" s="11" t="str">
        <f t="shared" si="31"/>
        <v>5</v>
      </c>
      <c r="R188" s="11" t="str">
        <f t="shared" si="32"/>
        <v>0</v>
      </c>
      <c r="S188" s="11" t="str">
        <f t="shared" si="33"/>
        <v>9</v>
      </c>
      <c r="T188" s="11" t="str">
        <f t="shared" si="34"/>
        <v>2</v>
      </c>
      <c r="U188" s="11" t="str">
        <f t="shared" si="35"/>
        <v>2</v>
      </c>
      <c r="V188" s="11" t="str">
        <f t="shared" si="36"/>
        <v>1</v>
      </c>
      <c r="W188" s="11" t="str">
        <f t="shared" si="37"/>
        <v>8</v>
      </c>
      <c r="X188" s="11" t="str">
        <f t="shared" si="38"/>
        <v>7</v>
      </c>
    </row>
    <row r="189" spans="1:24" x14ac:dyDescent="0.35">
      <c r="A189" s="5">
        <v>14049</v>
      </c>
      <c r="B189" s="5">
        <v>1150922188</v>
      </c>
      <c r="C189" s="5">
        <v>726842</v>
      </c>
      <c r="D189" s="5">
        <v>3763631</v>
      </c>
      <c r="E189" s="6" t="s">
        <v>70</v>
      </c>
      <c r="F189" s="6" t="s">
        <v>70</v>
      </c>
      <c r="G189" s="6" t="s">
        <v>70</v>
      </c>
      <c r="H189" s="7"/>
      <c r="I189" s="34" t="str">
        <f t="shared" si="26"/>
        <v>150922</v>
      </c>
      <c r="J189" s="31" t="str">
        <f t="shared" si="27"/>
        <v>01</v>
      </c>
      <c r="N189" s="12">
        <f t="shared" si="28"/>
        <v>0</v>
      </c>
      <c r="O189" s="11" t="str">
        <f t="shared" si="29"/>
        <v>1</v>
      </c>
      <c r="P189" s="11" t="str">
        <f t="shared" si="30"/>
        <v>1</v>
      </c>
      <c r="Q189" s="11" t="str">
        <f t="shared" si="31"/>
        <v>5</v>
      </c>
      <c r="R189" s="11" t="str">
        <f t="shared" si="32"/>
        <v>0</v>
      </c>
      <c r="S189" s="11" t="str">
        <f t="shared" si="33"/>
        <v>9</v>
      </c>
      <c r="T189" s="11" t="str">
        <f t="shared" si="34"/>
        <v>2</v>
      </c>
      <c r="U189" s="11" t="str">
        <f t="shared" si="35"/>
        <v>2</v>
      </c>
      <c r="V189" s="11" t="str">
        <f t="shared" si="36"/>
        <v>1</v>
      </c>
      <c r="W189" s="11" t="str">
        <f t="shared" si="37"/>
        <v>8</v>
      </c>
      <c r="X189" s="11" t="str">
        <f t="shared" si="38"/>
        <v>8</v>
      </c>
    </row>
    <row r="190" spans="1:24" x14ac:dyDescent="0.35">
      <c r="A190" s="5">
        <v>14050</v>
      </c>
      <c r="B190" s="5">
        <v>1150922189</v>
      </c>
      <c r="C190" s="5">
        <v>726810</v>
      </c>
      <c r="D190" s="5">
        <v>3763651</v>
      </c>
      <c r="E190" s="6" t="s">
        <v>70</v>
      </c>
      <c r="F190" s="6" t="s">
        <v>70</v>
      </c>
      <c r="G190" s="6" t="s">
        <v>70</v>
      </c>
      <c r="H190" s="7"/>
      <c r="I190" s="34" t="str">
        <f t="shared" si="26"/>
        <v>150922</v>
      </c>
      <c r="J190" s="31" t="str">
        <f t="shared" si="27"/>
        <v>01</v>
      </c>
      <c r="N190" s="12">
        <f t="shared" si="28"/>
        <v>0</v>
      </c>
      <c r="O190" s="11" t="str">
        <f t="shared" si="29"/>
        <v>1</v>
      </c>
      <c r="P190" s="11" t="str">
        <f t="shared" si="30"/>
        <v>1</v>
      </c>
      <c r="Q190" s="11" t="str">
        <f t="shared" si="31"/>
        <v>5</v>
      </c>
      <c r="R190" s="11" t="str">
        <f t="shared" si="32"/>
        <v>0</v>
      </c>
      <c r="S190" s="11" t="str">
        <f t="shared" si="33"/>
        <v>9</v>
      </c>
      <c r="T190" s="11" t="str">
        <f t="shared" si="34"/>
        <v>2</v>
      </c>
      <c r="U190" s="11" t="str">
        <f t="shared" si="35"/>
        <v>2</v>
      </c>
      <c r="V190" s="11" t="str">
        <f t="shared" si="36"/>
        <v>1</v>
      </c>
      <c r="W190" s="11" t="str">
        <f t="shared" si="37"/>
        <v>8</v>
      </c>
      <c r="X190" s="11" t="str">
        <f t="shared" si="38"/>
        <v>9</v>
      </c>
    </row>
    <row r="191" spans="1:24" x14ac:dyDescent="0.35">
      <c r="A191" s="5">
        <v>14051</v>
      </c>
      <c r="B191" s="5">
        <v>1150922190</v>
      </c>
      <c r="C191" s="5">
        <v>726769</v>
      </c>
      <c r="D191" s="5">
        <v>3763681</v>
      </c>
      <c r="E191" s="6" t="s">
        <v>70</v>
      </c>
      <c r="F191" s="6" t="s">
        <v>70</v>
      </c>
      <c r="G191" s="6" t="s">
        <v>70</v>
      </c>
      <c r="H191" s="7"/>
      <c r="I191" s="34" t="str">
        <f t="shared" si="26"/>
        <v>150922</v>
      </c>
      <c r="J191" s="31" t="str">
        <f t="shared" si="27"/>
        <v>01</v>
      </c>
      <c r="N191" s="12">
        <f t="shared" si="28"/>
        <v>0</v>
      </c>
      <c r="O191" s="11" t="str">
        <f t="shared" si="29"/>
        <v>1</v>
      </c>
      <c r="P191" s="11" t="str">
        <f t="shared" si="30"/>
        <v>1</v>
      </c>
      <c r="Q191" s="11" t="str">
        <f t="shared" si="31"/>
        <v>5</v>
      </c>
      <c r="R191" s="11" t="str">
        <f t="shared" si="32"/>
        <v>0</v>
      </c>
      <c r="S191" s="11" t="str">
        <f t="shared" si="33"/>
        <v>9</v>
      </c>
      <c r="T191" s="11" t="str">
        <f t="shared" si="34"/>
        <v>2</v>
      </c>
      <c r="U191" s="11" t="str">
        <f t="shared" si="35"/>
        <v>2</v>
      </c>
      <c r="V191" s="11" t="str">
        <f t="shared" si="36"/>
        <v>1</v>
      </c>
      <c r="W191" s="11" t="str">
        <f t="shared" si="37"/>
        <v>9</v>
      </c>
      <c r="X191" s="11" t="str">
        <f t="shared" si="38"/>
        <v>0</v>
      </c>
    </row>
    <row r="192" spans="1:24" x14ac:dyDescent="0.35">
      <c r="A192" s="5">
        <v>14052</v>
      </c>
      <c r="B192" s="5">
        <v>1150922191</v>
      </c>
      <c r="C192" s="5">
        <v>726723</v>
      </c>
      <c r="D192" s="5">
        <v>3763715</v>
      </c>
      <c r="E192" s="6" t="s">
        <v>70</v>
      </c>
      <c r="F192" s="6" t="s">
        <v>70</v>
      </c>
      <c r="G192" s="6" t="s">
        <v>70</v>
      </c>
      <c r="H192" s="7"/>
      <c r="I192" s="34" t="str">
        <f t="shared" si="26"/>
        <v>150922</v>
      </c>
      <c r="J192" s="31" t="str">
        <f t="shared" si="27"/>
        <v>01</v>
      </c>
      <c r="N192" s="12">
        <f t="shared" si="28"/>
        <v>0</v>
      </c>
      <c r="O192" s="11" t="str">
        <f t="shared" si="29"/>
        <v>1</v>
      </c>
      <c r="P192" s="11" t="str">
        <f t="shared" si="30"/>
        <v>1</v>
      </c>
      <c r="Q192" s="11" t="str">
        <f t="shared" si="31"/>
        <v>5</v>
      </c>
      <c r="R192" s="11" t="str">
        <f t="shared" si="32"/>
        <v>0</v>
      </c>
      <c r="S192" s="11" t="str">
        <f t="shared" si="33"/>
        <v>9</v>
      </c>
      <c r="T192" s="11" t="str">
        <f t="shared" si="34"/>
        <v>2</v>
      </c>
      <c r="U192" s="11" t="str">
        <f t="shared" si="35"/>
        <v>2</v>
      </c>
      <c r="V192" s="11" t="str">
        <f t="shared" si="36"/>
        <v>1</v>
      </c>
      <c r="W192" s="11" t="str">
        <f t="shared" si="37"/>
        <v>9</v>
      </c>
      <c r="X192" s="11" t="str">
        <f t="shared" si="38"/>
        <v>1</v>
      </c>
    </row>
    <row r="193" spans="1:24" x14ac:dyDescent="0.35">
      <c r="A193" s="5">
        <v>14053</v>
      </c>
      <c r="B193" s="5">
        <v>1150922192</v>
      </c>
      <c r="C193" s="5">
        <v>726869</v>
      </c>
      <c r="D193" s="5">
        <v>3763582</v>
      </c>
      <c r="E193" s="6" t="s">
        <v>70</v>
      </c>
      <c r="F193" s="6" t="s">
        <v>70</v>
      </c>
      <c r="G193" s="6" t="s">
        <v>70</v>
      </c>
      <c r="H193" s="7"/>
      <c r="I193" s="34" t="str">
        <f t="shared" si="26"/>
        <v>150922</v>
      </c>
      <c r="J193" s="31" t="str">
        <f t="shared" si="27"/>
        <v>01</v>
      </c>
      <c r="N193" s="12">
        <f t="shared" si="28"/>
        <v>0</v>
      </c>
      <c r="O193" s="11" t="str">
        <f t="shared" si="29"/>
        <v>1</v>
      </c>
      <c r="P193" s="11" t="str">
        <f t="shared" si="30"/>
        <v>1</v>
      </c>
      <c r="Q193" s="11" t="str">
        <f t="shared" si="31"/>
        <v>5</v>
      </c>
      <c r="R193" s="11" t="str">
        <f t="shared" si="32"/>
        <v>0</v>
      </c>
      <c r="S193" s="11" t="str">
        <f t="shared" si="33"/>
        <v>9</v>
      </c>
      <c r="T193" s="11" t="str">
        <f t="shared" si="34"/>
        <v>2</v>
      </c>
      <c r="U193" s="11" t="str">
        <f t="shared" si="35"/>
        <v>2</v>
      </c>
      <c r="V193" s="11" t="str">
        <f t="shared" si="36"/>
        <v>1</v>
      </c>
      <c r="W193" s="11" t="str">
        <f t="shared" si="37"/>
        <v>9</v>
      </c>
      <c r="X193" s="11" t="str">
        <f t="shared" si="38"/>
        <v>2</v>
      </c>
    </row>
    <row r="194" spans="1:24" x14ac:dyDescent="0.35">
      <c r="A194" s="5">
        <v>14054</v>
      </c>
      <c r="B194" s="5">
        <v>1150922193</v>
      </c>
      <c r="C194" s="5">
        <v>726869</v>
      </c>
      <c r="D194" s="5">
        <v>3763581</v>
      </c>
      <c r="E194" s="6" t="s">
        <v>70</v>
      </c>
      <c r="F194" s="6" t="s">
        <v>70</v>
      </c>
      <c r="G194" s="6" t="s">
        <v>70</v>
      </c>
      <c r="H194" s="7"/>
      <c r="I194" s="34" t="str">
        <f t="shared" si="26"/>
        <v>150922</v>
      </c>
      <c r="J194" s="31" t="str">
        <f t="shared" si="27"/>
        <v>01</v>
      </c>
      <c r="N194" s="12">
        <f t="shared" si="28"/>
        <v>0</v>
      </c>
      <c r="O194" s="11" t="str">
        <f t="shared" si="29"/>
        <v>1</v>
      </c>
      <c r="P194" s="11" t="str">
        <f t="shared" si="30"/>
        <v>1</v>
      </c>
      <c r="Q194" s="11" t="str">
        <f t="shared" si="31"/>
        <v>5</v>
      </c>
      <c r="R194" s="11" t="str">
        <f t="shared" si="32"/>
        <v>0</v>
      </c>
      <c r="S194" s="11" t="str">
        <f t="shared" si="33"/>
        <v>9</v>
      </c>
      <c r="T194" s="11" t="str">
        <f t="shared" si="34"/>
        <v>2</v>
      </c>
      <c r="U194" s="11" t="str">
        <f t="shared" si="35"/>
        <v>2</v>
      </c>
      <c r="V194" s="11" t="str">
        <f t="shared" si="36"/>
        <v>1</v>
      </c>
      <c r="W194" s="11" t="str">
        <f t="shared" si="37"/>
        <v>9</v>
      </c>
      <c r="X194" s="11" t="str">
        <f t="shared" si="38"/>
        <v>3</v>
      </c>
    </row>
    <row r="195" spans="1:24" x14ac:dyDescent="0.35">
      <c r="A195" s="5">
        <v>14055</v>
      </c>
      <c r="B195" s="5">
        <v>1150922194</v>
      </c>
      <c r="C195" s="5">
        <v>726867</v>
      </c>
      <c r="D195" s="5">
        <v>3763579</v>
      </c>
      <c r="E195" s="6" t="s">
        <v>70</v>
      </c>
      <c r="F195" s="6" t="s">
        <v>70</v>
      </c>
      <c r="G195" s="6" t="s">
        <v>70</v>
      </c>
      <c r="H195" s="7"/>
      <c r="I195" s="34" t="str">
        <f t="shared" ref="I195:I258" si="39">MID(B195,IF(LEN(B195)=10,2,3),6)</f>
        <v>150922</v>
      </c>
      <c r="J195" s="31" t="str">
        <f t="shared" ref="J195:J258" si="40">TEXT(MID(B195,1,IF(LEN(B195)=10,1,2)),"00")</f>
        <v>01</v>
      </c>
      <c r="N195" s="12">
        <f t="shared" ref="N195:N258" si="41">IFERROR(MID($B195,LEN($B195)-10,1),0)</f>
        <v>0</v>
      </c>
      <c r="O195" s="11" t="str">
        <f t="shared" ref="O195:O258" si="42">MID($B195,LEN($B195)-9,1)</f>
        <v>1</v>
      </c>
      <c r="P195" s="11" t="str">
        <f t="shared" ref="P195:P258" si="43">MID($B195,LEN($B195)-8,1)</f>
        <v>1</v>
      </c>
      <c r="Q195" s="11" t="str">
        <f t="shared" ref="Q195:Q258" si="44">MID($B195,LEN($B195)-7,1)</f>
        <v>5</v>
      </c>
      <c r="R195" s="11" t="str">
        <f t="shared" ref="R195:R258" si="45">MID($B195,LEN($B195)-6,1)</f>
        <v>0</v>
      </c>
      <c r="S195" s="11" t="str">
        <f t="shared" ref="S195:S258" si="46">MID($B195,LEN($B195)-5,1)</f>
        <v>9</v>
      </c>
      <c r="T195" s="11" t="str">
        <f t="shared" ref="T195:T258" si="47">MID($B195,LEN($B195)-4,1)</f>
        <v>2</v>
      </c>
      <c r="U195" s="11" t="str">
        <f t="shared" ref="U195:U258" si="48">MID($B195,LEN($B195)-3,1)</f>
        <v>2</v>
      </c>
      <c r="V195" s="11" t="str">
        <f t="shared" ref="V195:V258" si="49">MID($B195,LEN($B195)-2,1)</f>
        <v>1</v>
      </c>
      <c r="W195" s="11" t="str">
        <f t="shared" ref="W195:W258" si="50">MID($B195,LEN($B195)-1,1)</f>
        <v>9</v>
      </c>
      <c r="X195" s="11" t="str">
        <f t="shared" ref="X195:X258" si="51">MID($B195,LEN($B195)-0,1)</f>
        <v>4</v>
      </c>
    </row>
    <row r="196" spans="1:24" x14ac:dyDescent="0.35">
      <c r="A196" s="5">
        <v>14056</v>
      </c>
      <c r="B196" s="5">
        <v>1150922195</v>
      </c>
      <c r="C196" s="5">
        <v>726859</v>
      </c>
      <c r="D196" s="5">
        <v>3763564</v>
      </c>
      <c r="E196" s="6" t="s">
        <v>70</v>
      </c>
      <c r="F196" s="6" t="s">
        <v>70</v>
      </c>
      <c r="G196" s="6" t="s">
        <v>70</v>
      </c>
      <c r="H196" s="7"/>
      <c r="I196" s="34" t="str">
        <f t="shared" si="39"/>
        <v>150922</v>
      </c>
      <c r="J196" s="31" t="str">
        <f t="shared" si="40"/>
        <v>01</v>
      </c>
      <c r="N196" s="12">
        <f t="shared" si="41"/>
        <v>0</v>
      </c>
      <c r="O196" s="11" t="str">
        <f t="shared" si="42"/>
        <v>1</v>
      </c>
      <c r="P196" s="11" t="str">
        <f t="shared" si="43"/>
        <v>1</v>
      </c>
      <c r="Q196" s="11" t="str">
        <f t="shared" si="44"/>
        <v>5</v>
      </c>
      <c r="R196" s="11" t="str">
        <f t="shared" si="45"/>
        <v>0</v>
      </c>
      <c r="S196" s="11" t="str">
        <f t="shared" si="46"/>
        <v>9</v>
      </c>
      <c r="T196" s="11" t="str">
        <f t="shared" si="47"/>
        <v>2</v>
      </c>
      <c r="U196" s="11" t="str">
        <f t="shared" si="48"/>
        <v>2</v>
      </c>
      <c r="V196" s="11" t="str">
        <f t="shared" si="49"/>
        <v>1</v>
      </c>
      <c r="W196" s="11" t="str">
        <f t="shared" si="50"/>
        <v>9</v>
      </c>
      <c r="X196" s="11" t="str">
        <f t="shared" si="51"/>
        <v>5</v>
      </c>
    </row>
    <row r="197" spans="1:24" x14ac:dyDescent="0.35">
      <c r="A197" s="5">
        <v>14057</v>
      </c>
      <c r="B197" s="5">
        <v>1150922196</v>
      </c>
      <c r="C197" s="5">
        <v>726901</v>
      </c>
      <c r="D197" s="5">
        <v>3763546</v>
      </c>
      <c r="E197" s="6" t="s">
        <v>70</v>
      </c>
      <c r="F197" s="6" t="s">
        <v>70</v>
      </c>
      <c r="G197" s="6" t="s">
        <v>70</v>
      </c>
      <c r="H197" s="7"/>
      <c r="I197" s="34" t="str">
        <f t="shared" si="39"/>
        <v>150922</v>
      </c>
      <c r="J197" s="31" t="str">
        <f t="shared" si="40"/>
        <v>01</v>
      </c>
      <c r="N197" s="12">
        <f t="shared" si="41"/>
        <v>0</v>
      </c>
      <c r="O197" s="11" t="str">
        <f t="shared" si="42"/>
        <v>1</v>
      </c>
      <c r="P197" s="11" t="str">
        <f t="shared" si="43"/>
        <v>1</v>
      </c>
      <c r="Q197" s="11" t="str">
        <f t="shared" si="44"/>
        <v>5</v>
      </c>
      <c r="R197" s="11" t="str">
        <f t="shared" si="45"/>
        <v>0</v>
      </c>
      <c r="S197" s="11" t="str">
        <f t="shared" si="46"/>
        <v>9</v>
      </c>
      <c r="T197" s="11" t="str">
        <f t="shared" si="47"/>
        <v>2</v>
      </c>
      <c r="U197" s="11" t="str">
        <f t="shared" si="48"/>
        <v>2</v>
      </c>
      <c r="V197" s="11" t="str">
        <f t="shared" si="49"/>
        <v>1</v>
      </c>
      <c r="W197" s="11" t="str">
        <f t="shared" si="50"/>
        <v>9</v>
      </c>
      <c r="X197" s="11" t="str">
        <f t="shared" si="51"/>
        <v>6</v>
      </c>
    </row>
    <row r="198" spans="1:24" x14ac:dyDescent="0.35">
      <c r="A198" s="5">
        <v>14058</v>
      </c>
      <c r="B198" s="5">
        <v>1150922197</v>
      </c>
      <c r="C198" s="5">
        <v>726941</v>
      </c>
      <c r="D198" s="5">
        <v>3763527</v>
      </c>
      <c r="E198" s="6" t="s">
        <v>70</v>
      </c>
      <c r="F198" s="6" t="s">
        <v>70</v>
      </c>
      <c r="G198" s="6" t="s">
        <v>70</v>
      </c>
      <c r="H198" s="7"/>
      <c r="I198" s="34" t="str">
        <f t="shared" si="39"/>
        <v>150922</v>
      </c>
      <c r="J198" s="31" t="str">
        <f t="shared" si="40"/>
        <v>01</v>
      </c>
      <c r="N198" s="12">
        <f t="shared" si="41"/>
        <v>0</v>
      </c>
      <c r="O198" s="11" t="str">
        <f t="shared" si="42"/>
        <v>1</v>
      </c>
      <c r="P198" s="11" t="str">
        <f t="shared" si="43"/>
        <v>1</v>
      </c>
      <c r="Q198" s="11" t="str">
        <f t="shared" si="44"/>
        <v>5</v>
      </c>
      <c r="R198" s="11" t="str">
        <f t="shared" si="45"/>
        <v>0</v>
      </c>
      <c r="S198" s="11" t="str">
        <f t="shared" si="46"/>
        <v>9</v>
      </c>
      <c r="T198" s="11" t="str">
        <f t="shared" si="47"/>
        <v>2</v>
      </c>
      <c r="U198" s="11" t="str">
        <f t="shared" si="48"/>
        <v>2</v>
      </c>
      <c r="V198" s="11" t="str">
        <f t="shared" si="49"/>
        <v>1</v>
      </c>
      <c r="W198" s="11" t="str">
        <f t="shared" si="50"/>
        <v>9</v>
      </c>
      <c r="X198" s="11" t="str">
        <f t="shared" si="51"/>
        <v>7</v>
      </c>
    </row>
    <row r="199" spans="1:24" x14ac:dyDescent="0.35">
      <c r="A199" s="5">
        <v>14059</v>
      </c>
      <c r="B199" s="5">
        <v>1150922198</v>
      </c>
      <c r="C199" s="5">
        <v>726837</v>
      </c>
      <c r="D199" s="5">
        <v>3763515</v>
      </c>
      <c r="E199" s="6" t="s">
        <v>70</v>
      </c>
      <c r="F199" s="6" t="s">
        <v>70</v>
      </c>
      <c r="G199" s="6" t="s">
        <v>70</v>
      </c>
      <c r="H199" s="7"/>
      <c r="I199" s="34" t="str">
        <f t="shared" si="39"/>
        <v>150922</v>
      </c>
      <c r="J199" s="31" t="str">
        <f t="shared" si="40"/>
        <v>01</v>
      </c>
      <c r="N199" s="12">
        <f t="shared" si="41"/>
        <v>0</v>
      </c>
      <c r="O199" s="11" t="str">
        <f t="shared" si="42"/>
        <v>1</v>
      </c>
      <c r="P199" s="11" t="str">
        <f t="shared" si="43"/>
        <v>1</v>
      </c>
      <c r="Q199" s="11" t="str">
        <f t="shared" si="44"/>
        <v>5</v>
      </c>
      <c r="R199" s="11" t="str">
        <f t="shared" si="45"/>
        <v>0</v>
      </c>
      <c r="S199" s="11" t="str">
        <f t="shared" si="46"/>
        <v>9</v>
      </c>
      <c r="T199" s="11" t="str">
        <f t="shared" si="47"/>
        <v>2</v>
      </c>
      <c r="U199" s="11" t="str">
        <f t="shared" si="48"/>
        <v>2</v>
      </c>
      <c r="V199" s="11" t="str">
        <f t="shared" si="49"/>
        <v>1</v>
      </c>
      <c r="W199" s="11" t="str">
        <f t="shared" si="50"/>
        <v>9</v>
      </c>
      <c r="X199" s="11" t="str">
        <f t="shared" si="51"/>
        <v>8</v>
      </c>
    </row>
    <row r="200" spans="1:24" x14ac:dyDescent="0.35">
      <c r="A200" s="5">
        <v>14060</v>
      </c>
      <c r="B200" s="5">
        <v>1150922199</v>
      </c>
      <c r="C200" s="5">
        <v>726830</v>
      </c>
      <c r="D200" s="5">
        <v>3763526</v>
      </c>
      <c r="E200" s="6" t="s">
        <v>70</v>
      </c>
      <c r="F200" s="6" t="s">
        <v>70</v>
      </c>
      <c r="G200" s="6" t="s">
        <v>70</v>
      </c>
      <c r="H200" s="7"/>
      <c r="I200" s="34" t="str">
        <f t="shared" si="39"/>
        <v>150922</v>
      </c>
      <c r="J200" s="31" t="str">
        <f t="shared" si="40"/>
        <v>01</v>
      </c>
      <c r="N200" s="12">
        <f t="shared" si="41"/>
        <v>0</v>
      </c>
      <c r="O200" s="11" t="str">
        <f t="shared" si="42"/>
        <v>1</v>
      </c>
      <c r="P200" s="11" t="str">
        <f t="shared" si="43"/>
        <v>1</v>
      </c>
      <c r="Q200" s="11" t="str">
        <f t="shared" si="44"/>
        <v>5</v>
      </c>
      <c r="R200" s="11" t="str">
        <f t="shared" si="45"/>
        <v>0</v>
      </c>
      <c r="S200" s="11" t="str">
        <f t="shared" si="46"/>
        <v>9</v>
      </c>
      <c r="T200" s="11" t="str">
        <f t="shared" si="47"/>
        <v>2</v>
      </c>
      <c r="U200" s="11" t="str">
        <f t="shared" si="48"/>
        <v>2</v>
      </c>
      <c r="V200" s="11" t="str">
        <f t="shared" si="49"/>
        <v>1</v>
      </c>
      <c r="W200" s="11" t="str">
        <f t="shared" si="50"/>
        <v>9</v>
      </c>
      <c r="X200" s="11" t="str">
        <f t="shared" si="51"/>
        <v>9</v>
      </c>
    </row>
    <row r="201" spans="1:24" x14ac:dyDescent="0.35">
      <c r="A201" s="5">
        <v>14061</v>
      </c>
      <c r="B201" s="5">
        <v>1150922200</v>
      </c>
      <c r="C201" s="5">
        <v>726829</v>
      </c>
      <c r="D201" s="5">
        <v>3763526</v>
      </c>
      <c r="E201" s="6" t="s">
        <v>70</v>
      </c>
      <c r="F201" s="6" t="s">
        <v>70</v>
      </c>
      <c r="G201" s="6" t="s">
        <v>70</v>
      </c>
      <c r="H201" s="7"/>
      <c r="I201" s="34" t="str">
        <f t="shared" si="39"/>
        <v>150922</v>
      </c>
      <c r="J201" s="31" t="str">
        <f t="shared" si="40"/>
        <v>01</v>
      </c>
      <c r="N201" s="12">
        <f t="shared" si="41"/>
        <v>0</v>
      </c>
      <c r="O201" s="11" t="str">
        <f t="shared" si="42"/>
        <v>1</v>
      </c>
      <c r="P201" s="11" t="str">
        <f t="shared" si="43"/>
        <v>1</v>
      </c>
      <c r="Q201" s="11" t="str">
        <f t="shared" si="44"/>
        <v>5</v>
      </c>
      <c r="R201" s="11" t="str">
        <f t="shared" si="45"/>
        <v>0</v>
      </c>
      <c r="S201" s="11" t="str">
        <f t="shared" si="46"/>
        <v>9</v>
      </c>
      <c r="T201" s="11" t="str">
        <f t="shared" si="47"/>
        <v>2</v>
      </c>
      <c r="U201" s="11" t="str">
        <f t="shared" si="48"/>
        <v>2</v>
      </c>
      <c r="V201" s="11" t="str">
        <f t="shared" si="49"/>
        <v>2</v>
      </c>
      <c r="W201" s="11" t="str">
        <f t="shared" si="50"/>
        <v>0</v>
      </c>
      <c r="X201" s="11" t="str">
        <f t="shared" si="51"/>
        <v>0</v>
      </c>
    </row>
    <row r="202" spans="1:24" x14ac:dyDescent="0.35">
      <c r="A202" s="5">
        <v>14062</v>
      </c>
      <c r="B202" s="5">
        <v>1150922201</v>
      </c>
      <c r="C202" s="5">
        <v>726820</v>
      </c>
      <c r="D202" s="5">
        <v>3763583</v>
      </c>
      <c r="E202" s="6" t="s">
        <v>70</v>
      </c>
      <c r="F202" s="6" t="s">
        <v>70</v>
      </c>
      <c r="G202" s="6" t="s">
        <v>70</v>
      </c>
      <c r="H202" s="7"/>
      <c r="I202" s="34" t="str">
        <f t="shared" si="39"/>
        <v>150922</v>
      </c>
      <c r="J202" s="31" t="str">
        <f t="shared" si="40"/>
        <v>01</v>
      </c>
      <c r="N202" s="12">
        <f t="shared" si="41"/>
        <v>0</v>
      </c>
      <c r="O202" s="11" t="str">
        <f t="shared" si="42"/>
        <v>1</v>
      </c>
      <c r="P202" s="11" t="str">
        <f t="shared" si="43"/>
        <v>1</v>
      </c>
      <c r="Q202" s="11" t="str">
        <f t="shared" si="44"/>
        <v>5</v>
      </c>
      <c r="R202" s="11" t="str">
        <f t="shared" si="45"/>
        <v>0</v>
      </c>
      <c r="S202" s="11" t="str">
        <f t="shared" si="46"/>
        <v>9</v>
      </c>
      <c r="T202" s="11" t="str">
        <f t="shared" si="47"/>
        <v>2</v>
      </c>
      <c r="U202" s="11" t="str">
        <f t="shared" si="48"/>
        <v>2</v>
      </c>
      <c r="V202" s="11" t="str">
        <f t="shared" si="49"/>
        <v>2</v>
      </c>
      <c r="W202" s="11" t="str">
        <f t="shared" si="50"/>
        <v>0</v>
      </c>
      <c r="X202" s="11" t="str">
        <f t="shared" si="51"/>
        <v>1</v>
      </c>
    </row>
    <row r="203" spans="1:24" x14ac:dyDescent="0.35">
      <c r="A203" s="5">
        <v>14063</v>
      </c>
      <c r="B203" s="5">
        <v>1150922202</v>
      </c>
      <c r="C203" s="5">
        <v>726782</v>
      </c>
      <c r="D203" s="5">
        <v>3763604</v>
      </c>
      <c r="E203" s="6" t="s">
        <v>70</v>
      </c>
      <c r="F203" s="6" t="s">
        <v>70</v>
      </c>
      <c r="G203" s="6" t="s">
        <v>70</v>
      </c>
      <c r="H203" s="7"/>
      <c r="I203" s="34" t="str">
        <f t="shared" si="39"/>
        <v>150922</v>
      </c>
      <c r="J203" s="31" t="str">
        <f t="shared" si="40"/>
        <v>01</v>
      </c>
      <c r="N203" s="12">
        <f t="shared" si="41"/>
        <v>0</v>
      </c>
      <c r="O203" s="11" t="str">
        <f t="shared" si="42"/>
        <v>1</v>
      </c>
      <c r="P203" s="11" t="str">
        <f t="shared" si="43"/>
        <v>1</v>
      </c>
      <c r="Q203" s="11" t="str">
        <f t="shared" si="44"/>
        <v>5</v>
      </c>
      <c r="R203" s="11" t="str">
        <f t="shared" si="45"/>
        <v>0</v>
      </c>
      <c r="S203" s="11" t="str">
        <f t="shared" si="46"/>
        <v>9</v>
      </c>
      <c r="T203" s="11" t="str">
        <f t="shared" si="47"/>
        <v>2</v>
      </c>
      <c r="U203" s="11" t="str">
        <f t="shared" si="48"/>
        <v>2</v>
      </c>
      <c r="V203" s="11" t="str">
        <f t="shared" si="49"/>
        <v>2</v>
      </c>
      <c r="W203" s="11" t="str">
        <f t="shared" si="50"/>
        <v>0</v>
      </c>
      <c r="X203" s="11" t="str">
        <f t="shared" si="51"/>
        <v>2</v>
      </c>
    </row>
    <row r="204" spans="1:24" x14ac:dyDescent="0.35">
      <c r="A204" s="5">
        <v>14064</v>
      </c>
      <c r="B204" s="5">
        <v>1150922203</v>
      </c>
      <c r="C204" s="5">
        <v>726739</v>
      </c>
      <c r="D204" s="5">
        <v>3763631</v>
      </c>
      <c r="E204" s="6" t="s">
        <v>70</v>
      </c>
      <c r="F204" s="6" t="s">
        <v>70</v>
      </c>
      <c r="G204" s="6" t="s">
        <v>70</v>
      </c>
      <c r="H204" s="7"/>
      <c r="I204" s="34" t="str">
        <f t="shared" si="39"/>
        <v>150922</v>
      </c>
      <c r="J204" s="31" t="str">
        <f t="shared" si="40"/>
        <v>01</v>
      </c>
      <c r="N204" s="12">
        <f t="shared" si="41"/>
        <v>0</v>
      </c>
      <c r="O204" s="11" t="str">
        <f t="shared" si="42"/>
        <v>1</v>
      </c>
      <c r="P204" s="11" t="str">
        <f t="shared" si="43"/>
        <v>1</v>
      </c>
      <c r="Q204" s="11" t="str">
        <f t="shared" si="44"/>
        <v>5</v>
      </c>
      <c r="R204" s="11" t="str">
        <f t="shared" si="45"/>
        <v>0</v>
      </c>
      <c r="S204" s="11" t="str">
        <f t="shared" si="46"/>
        <v>9</v>
      </c>
      <c r="T204" s="11" t="str">
        <f t="shared" si="47"/>
        <v>2</v>
      </c>
      <c r="U204" s="11" t="str">
        <f t="shared" si="48"/>
        <v>2</v>
      </c>
      <c r="V204" s="11" t="str">
        <f t="shared" si="49"/>
        <v>2</v>
      </c>
      <c r="W204" s="11" t="str">
        <f t="shared" si="50"/>
        <v>0</v>
      </c>
      <c r="X204" s="11" t="str">
        <f t="shared" si="51"/>
        <v>3</v>
      </c>
    </row>
    <row r="205" spans="1:24" x14ac:dyDescent="0.35">
      <c r="A205" s="5">
        <v>14065</v>
      </c>
      <c r="B205" s="5">
        <v>1150922204</v>
      </c>
      <c r="C205" s="5">
        <v>726879</v>
      </c>
      <c r="D205" s="5">
        <v>3763501</v>
      </c>
      <c r="E205" s="6" t="s">
        <v>70</v>
      </c>
      <c r="F205" s="6" t="s">
        <v>70</v>
      </c>
      <c r="G205" s="6" t="s">
        <v>70</v>
      </c>
      <c r="H205" s="7"/>
      <c r="I205" s="34" t="str">
        <f t="shared" si="39"/>
        <v>150922</v>
      </c>
      <c r="J205" s="31" t="str">
        <f t="shared" si="40"/>
        <v>01</v>
      </c>
      <c r="N205" s="12">
        <f t="shared" si="41"/>
        <v>0</v>
      </c>
      <c r="O205" s="11" t="str">
        <f t="shared" si="42"/>
        <v>1</v>
      </c>
      <c r="P205" s="11" t="str">
        <f t="shared" si="43"/>
        <v>1</v>
      </c>
      <c r="Q205" s="11" t="str">
        <f t="shared" si="44"/>
        <v>5</v>
      </c>
      <c r="R205" s="11" t="str">
        <f t="shared" si="45"/>
        <v>0</v>
      </c>
      <c r="S205" s="11" t="str">
        <f t="shared" si="46"/>
        <v>9</v>
      </c>
      <c r="T205" s="11" t="str">
        <f t="shared" si="47"/>
        <v>2</v>
      </c>
      <c r="U205" s="11" t="str">
        <f t="shared" si="48"/>
        <v>2</v>
      </c>
      <c r="V205" s="11" t="str">
        <f t="shared" si="49"/>
        <v>2</v>
      </c>
      <c r="W205" s="11" t="str">
        <f t="shared" si="50"/>
        <v>0</v>
      </c>
      <c r="X205" s="11" t="str">
        <f t="shared" si="51"/>
        <v>4</v>
      </c>
    </row>
    <row r="206" spans="1:24" x14ac:dyDescent="0.35">
      <c r="A206" s="5">
        <v>14066</v>
      </c>
      <c r="B206" s="5">
        <v>1150922205</v>
      </c>
      <c r="C206" s="5">
        <v>726921</v>
      </c>
      <c r="D206" s="5">
        <v>3763483</v>
      </c>
      <c r="E206" s="6" t="s">
        <v>70</v>
      </c>
      <c r="F206" s="6" t="s">
        <v>70</v>
      </c>
      <c r="G206" s="6" t="s">
        <v>70</v>
      </c>
      <c r="H206" s="7"/>
      <c r="I206" s="34" t="str">
        <f t="shared" si="39"/>
        <v>150922</v>
      </c>
      <c r="J206" s="31" t="str">
        <f t="shared" si="40"/>
        <v>01</v>
      </c>
      <c r="N206" s="12">
        <f t="shared" si="41"/>
        <v>0</v>
      </c>
      <c r="O206" s="11" t="str">
        <f t="shared" si="42"/>
        <v>1</v>
      </c>
      <c r="P206" s="11" t="str">
        <f t="shared" si="43"/>
        <v>1</v>
      </c>
      <c r="Q206" s="11" t="str">
        <f t="shared" si="44"/>
        <v>5</v>
      </c>
      <c r="R206" s="11" t="str">
        <f t="shared" si="45"/>
        <v>0</v>
      </c>
      <c r="S206" s="11" t="str">
        <f t="shared" si="46"/>
        <v>9</v>
      </c>
      <c r="T206" s="11" t="str">
        <f t="shared" si="47"/>
        <v>2</v>
      </c>
      <c r="U206" s="11" t="str">
        <f t="shared" si="48"/>
        <v>2</v>
      </c>
      <c r="V206" s="11" t="str">
        <f t="shared" si="49"/>
        <v>2</v>
      </c>
      <c r="W206" s="11" t="str">
        <f t="shared" si="50"/>
        <v>0</v>
      </c>
      <c r="X206" s="11" t="str">
        <f t="shared" si="51"/>
        <v>5</v>
      </c>
    </row>
    <row r="207" spans="1:24" x14ac:dyDescent="0.35">
      <c r="A207" s="5">
        <v>14067</v>
      </c>
      <c r="B207" s="5">
        <v>1150922206</v>
      </c>
      <c r="C207" s="5">
        <v>726965</v>
      </c>
      <c r="D207" s="5">
        <v>3763461</v>
      </c>
      <c r="E207" s="6" t="s">
        <v>70</v>
      </c>
      <c r="F207" s="6" t="s">
        <v>70</v>
      </c>
      <c r="G207" s="6" t="s">
        <v>70</v>
      </c>
      <c r="H207" s="7"/>
      <c r="I207" s="34" t="str">
        <f t="shared" si="39"/>
        <v>150922</v>
      </c>
      <c r="J207" s="31" t="str">
        <f t="shared" si="40"/>
        <v>01</v>
      </c>
      <c r="N207" s="12">
        <f t="shared" si="41"/>
        <v>0</v>
      </c>
      <c r="O207" s="11" t="str">
        <f t="shared" si="42"/>
        <v>1</v>
      </c>
      <c r="P207" s="11" t="str">
        <f t="shared" si="43"/>
        <v>1</v>
      </c>
      <c r="Q207" s="11" t="str">
        <f t="shared" si="44"/>
        <v>5</v>
      </c>
      <c r="R207" s="11" t="str">
        <f t="shared" si="45"/>
        <v>0</v>
      </c>
      <c r="S207" s="11" t="str">
        <f t="shared" si="46"/>
        <v>9</v>
      </c>
      <c r="T207" s="11" t="str">
        <f t="shared" si="47"/>
        <v>2</v>
      </c>
      <c r="U207" s="11" t="str">
        <f t="shared" si="48"/>
        <v>2</v>
      </c>
      <c r="V207" s="11" t="str">
        <f t="shared" si="49"/>
        <v>2</v>
      </c>
      <c r="W207" s="11" t="str">
        <f t="shared" si="50"/>
        <v>0</v>
      </c>
      <c r="X207" s="11" t="str">
        <f t="shared" si="51"/>
        <v>6</v>
      </c>
    </row>
    <row r="208" spans="1:24" x14ac:dyDescent="0.35">
      <c r="A208" s="5">
        <v>14068</v>
      </c>
      <c r="B208" s="5">
        <v>1150922207</v>
      </c>
      <c r="C208" s="5">
        <v>726796</v>
      </c>
      <c r="D208" s="5">
        <v>3763537</v>
      </c>
      <c r="E208" s="6" t="s">
        <v>70</v>
      </c>
      <c r="F208" s="6" t="s">
        <v>70</v>
      </c>
      <c r="G208" s="6" t="s">
        <v>70</v>
      </c>
      <c r="H208" s="7"/>
      <c r="I208" s="34" t="str">
        <f t="shared" si="39"/>
        <v>150922</v>
      </c>
      <c r="J208" s="31" t="str">
        <f t="shared" si="40"/>
        <v>01</v>
      </c>
      <c r="N208" s="12">
        <f t="shared" si="41"/>
        <v>0</v>
      </c>
      <c r="O208" s="11" t="str">
        <f t="shared" si="42"/>
        <v>1</v>
      </c>
      <c r="P208" s="11" t="str">
        <f t="shared" si="43"/>
        <v>1</v>
      </c>
      <c r="Q208" s="11" t="str">
        <f t="shared" si="44"/>
        <v>5</v>
      </c>
      <c r="R208" s="11" t="str">
        <f t="shared" si="45"/>
        <v>0</v>
      </c>
      <c r="S208" s="11" t="str">
        <f t="shared" si="46"/>
        <v>9</v>
      </c>
      <c r="T208" s="11" t="str">
        <f t="shared" si="47"/>
        <v>2</v>
      </c>
      <c r="U208" s="11" t="str">
        <f t="shared" si="48"/>
        <v>2</v>
      </c>
      <c r="V208" s="11" t="str">
        <f t="shared" si="49"/>
        <v>2</v>
      </c>
      <c r="W208" s="11" t="str">
        <f t="shared" si="50"/>
        <v>0</v>
      </c>
      <c r="X208" s="11" t="str">
        <f t="shared" si="51"/>
        <v>7</v>
      </c>
    </row>
    <row r="209" spans="1:24" x14ac:dyDescent="0.35">
      <c r="A209" s="5">
        <v>14069</v>
      </c>
      <c r="B209" s="5">
        <v>1150922208</v>
      </c>
      <c r="C209" s="5">
        <v>726748</v>
      </c>
      <c r="D209" s="5">
        <v>3763559</v>
      </c>
      <c r="E209" s="6" t="s">
        <v>70</v>
      </c>
      <c r="F209" s="6" t="s">
        <v>70</v>
      </c>
      <c r="G209" s="6" t="s">
        <v>70</v>
      </c>
      <c r="H209" s="7"/>
      <c r="I209" s="34" t="str">
        <f t="shared" si="39"/>
        <v>150922</v>
      </c>
      <c r="J209" s="31" t="str">
        <f t="shared" si="40"/>
        <v>01</v>
      </c>
      <c r="N209" s="12">
        <f t="shared" si="41"/>
        <v>0</v>
      </c>
      <c r="O209" s="11" t="str">
        <f t="shared" si="42"/>
        <v>1</v>
      </c>
      <c r="P209" s="11" t="str">
        <f t="shared" si="43"/>
        <v>1</v>
      </c>
      <c r="Q209" s="11" t="str">
        <f t="shared" si="44"/>
        <v>5</v>
      </c>
      <c r="R209" s="11" t="str">
        <f t="shared" si="45"/>
        <v>0</v>
      </c>
      <c r="S209" s="11" t="str">
        <f t="shared" si="46"/>
        <v>9</v>
      </c>
      <c r="T209" s="11" t="str">
        <f t="shared" si="47"/>
        <v>2</v>
      </c>
      <c r="U209" s="11" t="str">
        <f t="shared" si="48"/>
        <v>2</v>
      </c>
      <c r="V209" s="11" t="str">
        <f t="shared" si="49"/>
        <v>2</v>
      </c>
      <c r="W209" s="11" t="str">
        <f t="shared" si="50"/>
        <v>0</v>
      </c>
      <c r="X209" s="11" t="str">
        <f t="shared" si="51"/>
        <v>8</v>
      </c>
    </row>
    <row r="210" spans="1:24" x14ac:dyDescent="0.35">
      <c r="A210" s="5">
        <v>14070</v>
      </c>
      <c r="B210" s="5">
        <v>1150922209</v>
      </c>
      <c r="C210" s="5">
        <v>726702</v>
      </c>
      <c r="D210" s="5">
        <v>3763602</v>
      </c>
      <c r="E210" s="6" t="s">
        <v>70</v>
      </c>
      <c r="F210" s="6" t="s">
        <v>70</v>
      </c>
      <c r="G210" s="6" t="s">
        <v>70</v>
      </c>
      <c r="H210" s="7"/>
      <c r="I210" s="34" t="str">
        <f t="shared" si="39"/>
        <v>150922</v>
      </c>
      <c r="J210" s="31" t="str">
        <f t="shared" si="40"/>
        <v>01</v>
      </c>
      <c r="N210" s="12">
        <f t="shared" si="41"/>
        <v>0</v>
      </c>
      <c r="O210" s="11" t="str">
        <f t="shared" si="42"/>
        <v>1</v>
      </c>
      <c r="P210" s="11" t="str">
        <f t="shared" si="43"/>
        <v>1</v>
      </c>
      <c r="Q210" s="11" t="str">
        <f t="shared" si="44"/>
        <v>5</v>
      </c>
      <c r="R210" s="11" t="str">
        <f t="shared" si="45"/>
        <v>0</v>
      </c>
      <c r="S210" s="11" t="str">
        <f t="shared" si="46"/>
        <v>9</v>
      </c>
      <c r="T210" s="11" t="str">
        <f t="shared" si="47"/>
        <v>2</v>
      </c>
      <c r="U210" s="11" t="str">
        <f t="shared" si="48"/>
        <v>2</v>
      </c>
      <c r="V210" s="11" t="str">
        <f t="shared" si="49"/>
        <v>2</v>
      </c>
      <c r="W210" s="11" t="str">
        <f t="shared" si="50"/>
        <v>0</v>
      </c>
      <c r="X210" s="11" t="str">
        <f t="shared" si="51"/>
        <v>9</v>
      </c>
    </row>
    <row r="211" spans="1:24" x14ac:dyDescent="0.35">
      <c r="A211" s="5">
        <v>14071</v>
      </c>
      <c r="B211" s="5">
        <v>1150922210</v>
      </c>
      <c r="C211" s="5">
        <v>726679</v>
      </c>
      <c r="D211" s="5">
        <v>3763621</v>
      </c>
      <c r="E211" s="6" t="s">
        <v>70</v>
      </c>
      <c r="F211" s="6" t="s">
        <v>70</v>
      </c>
      <c r="G211" s="6" t="s">
        <v>70</v>
      </c>
      <c r="H211" s="7"/>
      <c r="I211" s="34" t="str">
        <f t="shared" si="39"/>
        <v>150922</v>
      </c>
      <c r="J211" s="31" t="str">
        <f t="shared" si="40"/>
        <v>01</v>
      </c>
      <c r="N211" s="12">
        <f t="shared" si="41"/>
        <v>0</v>
      </c>
      <c r="O211" s="11" t="str">
        <f t="shared" si="42"/>
        <v>1</v>
      </c>
      <c r="P211" s="11" t="str">
        <f t="shared" si="43"/>
        <v>1</v>
      </c>
      <c r="Q211" s="11" t="str">
        <f t="shared" si="44"/>
        <v>5</v>
      </c>
      <c r="R211" s="11" t="str">
        <f t="shared" si="45"/>
        <v>0</v>
      </c>
      <c r="S211" s="11" t="str">
        <f t="shared" si="46"/>
        <v>9</v>
      </c>
      <c r="T211" s="11" t="str">
        <f t="shared" si="47"/>
        <v>2</v>
      </c>
      <c r="U211" s="11" t="str">
        <f t="shared" si="48"/>
        <v>2</v>
      </c>
      <c r="V211" s="11" t="str">
        <f t="shared" si="49"/>
        <v>2</v>
      </c>
      <c r="W211" s="11" t="str">
        <f t="shared" si="50"/>
        <v>1</v>
      </c>
      <c r="X211" s="11" t="str">
        <f t="shared" si="51"/>
        <v>0</v>
      </c>
    </row>
    <row r="212" spans="1:24" x14ac:dyDescent="0.35">
      <c r="A212" s="5">
        <v>14072</v>
      </c>
      <c r="B212" s="5">
        <v>1150922211</v>
      </c>
      <c r="C212" s="5">
        <v>726663</v>
      </c>
      <c r="D212" s="5">
        <v>3763640</v>
      </c>
      <c r="E212" s="6" t="s">
        <v>70</v>
      </c>
      <c r="F212" s="6" t="s">
        <v>70</v>
      </c>
      <c r="G212" s="6" t="s">
        <v>70</v>
      </c>
      <c r="H212" s="7"/>
      <c r="I212" s="34" t="str">
        <f t="shared" si="39"/>
        <v>150922</v>
      </c>
      <c r="J212" s="31" t="str">
        <f t="shared" si="40"/>
        <v>01</v>
      </c>
      <c r="N212" s="12">
        <f t="shared" si="41"/>
        <v>0</v>
      </c>
      <c r="O212" s="11" t="str">
        <f t="shared" si="42"/>
        <v>1</v>
      </c>
      <c r="P212" s="11" t="str">
        <f t="shared" si="43"/>
        <v>1</v>
      </c>
      <c r="Q212" s="11" t="str">
        <f t="shared" si="44"/>
        <v>5</v>
      </c>
      <c r="R212" s="11" t="str">
        <f t="shared" si="45"/>
        <v>0</v>
      </c>
      <c r="S212" s="11" t="str">
        <f t="shared" si="46"/>
        <v>9</v>
      </c>
      <c r="T212" s="11" t="str">
        <f t="shared" si="47"/>
        <v>2</v>
      </c>
      <c r="U212" s="11" t="str">
        <f t="shared" si="48"/>
        <v>2</v>
      </c>
      <c r="V212" s="11" t="str">
        <f t="shared" si="49"/>
        <v>2</v>
      </c>
      <c r="W212" s="11" t="str">
        <f t="shared" si="50"/>
        <v>1</v>
      </c>
      <c r="X212" s="11" t="str">
        <f t="shared" si="51"/>
        <v>1</v>
      </c>
    </row>
    <row r="213" spans="1:24" x14ac:dyDescent="0.35">
      <c r="A213" s="5">
        <v>14073</v>
      </c>
      <c r="B213" s="5">
        <v>1150922212</v>
      </c>
      <c r="C213" s="5">
        <v>726710</v>
      </c>
      <c r="D213" s="5">
        <v>3763663</v>
      </c>
      <c r="E213" s="6" t="s">
        <v>70</v>
      </c>
      <c r="F213" s="6" t="s">
        <v>70</v>
      </c>
      <c r="G213" s="6" t="s">
        <v>70</v>
      </c>
      <c r="H213" s="7"/>
      <c r="I213" s="34" t="str">
        <f t="shared" si="39"/>
        <v>150922</v>
      </c>
      <c r="J213" s="31" t="str">
        <f t="shared" si="40"/>
        <v>01</v>
      </c>
      <c r="N213" s="12">
        <f t="shared" si="41"/>
        <v>0</v>
      </c>
      <c r="O213" s="11" t="str">
        <f t="shared" si="42"/>
        <v>1</v>
      </c>
      <c r="P213" s="11" t="str">
        <f t="shared" si="43"/>
        <v>1</v>
      </c>
      <c r="Q213" s="11" t="str">
        <f t="shared" si="44"/>
        <v>5</v>
      </c>
      <c r="R213" s="11" t="str">
        <f t="shared" si="45"/>
        <v>0</v>
      </c>
      <c r="S213" s="11" t="str">
        <f t="shared" si="46"/>
        <v>9</v>
      </c>
      <c r="T213" s="11" t="str">
        <f t="shared" si="47"/>
        <v>2</v>
      </c>
      <c r="U213" s="11" t="str">
        <f t="shared" si="48"/>
        <v>2</v>
      </c>
      <c r="V213" s="11" t="str">
        <f t="shared" si="49"/>
        <v>2</v>
      </c>
      <c r="W213" s="11" t="str">
        <f t="shared" si="50"/>
        <v>1</v>
      </c>
      <c r="X213" s="11" t="str">
        <f t="shared" si="51"/>
        <v>2</v>
      </c>
    </row>
    <row r="214" spans="1:24" x14ac:dyDescent="0.35">
      <c r="A214" s="5">
        <v>14074</v>
      </c>
      <c r="B214" s="5">
        <v>1150922213</v>
      </c>
      <c r="C214" s="5">
        <v>726737</v>
      </c>
      <c r="D214" s="5">
        <v>3763642</v>
      </c>
      <c r="E214" s="6" t="s">
        <v>70</v>
      </c>
      <c r="F214" s="6" t="s">
        <v>70</v>
      </c>
      <c r="G214" s="6" t="s">
        <v>70</v>
      </c>
      <c r="H214" s="7"/>
      <c r="I214" s="34" t="str">
        <f t="shared" si="39"/>
        <v>150922</v>
      </c>
      <c r="J214" s="31" t="str">
        <f t="shared" si="40"/>
        <v>01</v>
      </c>
      <c r="N214" s="12">
        <f t="shared" si="41"/>
        <v>0</v>
      </c>
      <c r="O214" s="11" t="str">
        <f t="shared" si="42"/>
        <v>1</v>
      </c>
      <c r="P214" s="11" t="str">
        <f t="shared" si="43"/>
        <v>1</v>
      </c>
      <c r="Q214" s="11" t="str">
        <f t="shared" si="44"/>
        <v>5</v>
      </c>
      <c r="R214" s="11" t="str">
        <f t="shared" si="45"/>
        <v>0</v>
      </c>
      <c r="S214" s="11" t="str">
        <f t="shared" si="46"/>
        <v>9</v>
      </c>
      <c r="T214" s="11" t="str">
        <f t="shared" si="47"/>
        <v>2</v>
      </c>
      <c r="U214" s="11" t="str">
        <f t="shared" si="48"/>
        <v>2</v>
      </c>
      <c r="V214" s="11" t="str">
        <f t="shared" si="49"/>
        <v>2</v>
      </c>
      <c r="W214" s="11" t="str">
        <f t="shared" si="50"/>
        <v>1</v>
      </c>
      <c r="X214" s="11" t="str">
        <f t="shared" si="51"/>
        <v>3</v>
      </c>
    </row>
    <row r="215" spans="1:24" x14ac:dyDescent="0.35">
      <c r="A215" s="5">
        <v>14075</v>
      </c>
      <c r="B215" s="5">
        <v>1150922214</v>
      </c>
      <c r="C215" s="5">
        <v>726737</v>
      </c>
      <c r="D215" s="5">
        <v>3763644</v>
      </c>
      <c r="E215" s="6" t="s">
        <v>70</v>
      </c>
      <c r="F215" s="6" t="s">
        <v>70</v>
      </c>
      <c r="G215" s="6" t="s">
        <v>70</v>
      </c>
      <c r="H215" s="7"/>
      <c r="I215" s="34" t="str">
        <f t="shared" si="39"/>
        <v>150922</v>
      </c>
      <c r="J215" s="31" t="str">
        <f t="shared" si="40"/>
        <v>01</v>
      </c>
      <c r="N215" s="12">
        <f t="shared" si="41"/>
        <v>0</v>
      </c>
      <c r="O215" s="11" t="str">
        <f t="shared" si="42"/>
        <v>1</v>
      </c>
      <c r="P215" s="11" t="str">
        <f t="shared" si="43"/>
        <v>1</v>
      </c>
      <c r="Q215" s="11" t="str">
        <f t="shared" si="44"/>
        <v>5</v>
      </c>
      <c r="R215" s="11" t="str">
        <f t="shared" si="45"/>
        <v>0</v>
      </c>
      <c r="S215" s="11" t="str">
        <f t="shared" si="46"/>
        <v>9</v>
      </c>
      <c r="T215" s="11" t="str">
        <f t="shared" si="47"/>
        <v>2</v>
      </c>
      <c r="U215" s="11" t="str">
        <f t="shared" si="48"/>
        <v>2</v>
      </c>
      <c r="V215" s="11" t="str">
        <f t="shared" si="49"/>
        <v>2</v>
      </c>
      <c r="W215" s="11" t="str">
        <f t="shared" si="50"/>
        <v>1</v>
      </c>
      <c r="X215" s="11" t="str">
        <f t="shared" si="51"/>
        <v>4</v>
      </c>
    </row>
    <row r="216" spans="1:24" x14ac:dyDescent="0.35">
      <c r="A216" s="5">
        <v>14076</v>
      </c>
      <c r="B216" s="5">
        <v>1150922215</v>
      </c>
      <c r="C216" s="5">
        <v>726817</v>
      </c>
      <c r="D216" s="5">
        <v>3763469</v>
      </c>
      <c r="E216" s="6" t="s">
        <v>70</v>
      </c>
      <c r="F216" s="6" t="s">
        <v>70</v>
      </c>
      <c r="G216" s="6" t="s">
        <v>70</v>
      </c>
      <c r="H216" s="7"/>
      <c r="I216" s="34" t="str">
        <f t="shared" si="39"/>
        <v>150922</v>
      </c>
      <c r="J216" s="31" t="str">
        <f t="shared" si="40"/>
        <v>01</v>
      </c>
      <c r="N216" s="12">
        <f t="shared" si="41"/>
        <v>0</v>
      </c>
      <c r="O216" s="11" t="str">
        <f t="shared" si="42"/>
        <v>1</v>
      </c>
      <c r="P216" s="11" t="str">
        <f t="shared" si="43"/>
        <v>1</v>
      </c>
      <c r="Q216" s="11" t="str">
        <f t="shared" si="44"/>
        <v>5</v>
      </c>
      <c r="R216" s="11" t="str">
        <f t="shared" si="45"/>
        <v>0</v>
      </c>
      <c r="S216" s="11" t="str">
        <f t="shared" si="46"/>
        <v>9</v>
      </c>
      <c r="T216" s="11" t="str">
        <f t="shared" si="47"/>
        <v>2</v>
      </c>
      <c r="U216" s="11" t="str">
        <f t="shared" si="48"/>
        <v>2</v>
      </c>
      <c r="V216" s="11" t="str">
        <f t="shared" si="49"/>
        <v>2</v>
      </c>
      <c r="W216" s="11" t="str">
        <f t="shared" si="50"/>
        <v>1</v>
      </c>
      <c r="X216" s="11" t="str">
        <f t="shared" si="51"/>
        <v>5</v>
      </c>
    </row>
    <row r="217" spans="1:24" x14ac:dyDescent="0.35">
      <c r="A217" s="5">
        <v>14077</v>
      </c>
      <c r="B217" s="5">
        <v>1150922216</v>
      </c>
      <c r="C217" s="5">
        <v>726815</v>
      </c>
      <c r="D217" s="5">
        <v>3763464</v>
      </c>
      <c r="E217" s="6" t="s">
        <v>70</v>
      </c>
      <c r="F217" s="6" t="s">
        <v>70</v>
      </c>
      <c r="G217" s="6" t="s">
        <v>70</v>
      </c>
      <c r="H217" s="7"/>
      <c r="I217" s="34" t="str">
        <f t="shared" si="39"/>
        <v>150922</v>
      </c>
      <c r="J217" s="31" t="str">
        <f t="shared" si="40"/>
        <v>01</v>
      </c>
      <c r="N217" s="12">
        <f t="shared" si="41"/>
        <v>0</v>
      </c>
      <c r="O217" s="11" t="str">
        <f t="shared" si="42"/>
        <v>1</v>
      </c>
      <c r="P217" s="11" t="str">
        <f t="shared" si="43"/>
        <v>1</v>
      </c>
      <c r="Q217" s="11" t="str">
        <f t="shared" si="44"/>
        <v>5</v>
      </c>
      <c r="R217" s="11" t="str">
        <f t="shared" si="45"/>
        <v>0</v>
      </c>
      <c r="S217" s="11" t="str">
        <f t="shared" si="46"/>
        <v>9</v>
      </c>
      <c r="T217" s="11" t="str">
        <f t="shared" si="47"/>
        <v>2</v>
      </c>
      <c r="U217" s="11" t="str">
        <f t="shared" si="48"/>
        <v>2</v>
      </c>
      <c r="V217" s="11" t="str">
        <f t="shared" si="49"/>
        <v>2</v>
      </c>
      <c r="W217" s="11" t="str">
        <f t="shared" si="50"/>
        <v>1</v>
      </c>
      <c r="X217" s="11" t="str">
        <f t="shared" si="51"/>
        <v>6</v>
      </c>
    </row>
    <row r="218" spans="1:24" x14ac:dyDescent="0.35">
      <c r="A218" s="5">
        <v>14078</v>
      </c>
      <c r="B218" s="5">
        <v>1150922217</v>
      </c>
      <c r="C218" s="5">
        <v>726814</v>
      </c>
      <c r="D218" s="5">
        <v>3763464</v>
      </c>
      <c r="E218" s="6" t="s">
        <v>70</v>
      </c>
      <c r="F218" s="6" t="s">
        <v>70</v>
      </c>
      <c r="G218" s="6" t="s">
        <v>70</v>
      </c>
      <c r="H218" s="7"/>
      <c r="I218" s="34" t="str">
        <f t="shared" si="39"/>
        <v>150922</v>
      </c>
      <c r="J218" s="31" t="str">
        <f t="shared" si="40"/>
        <v>01</v>
      </c>
      <c r="N218" s="12">
        <f t="shared" si="41"/>
        <v>0</v>
      </c>
      <c r="O218" s="11" t="str">
        <f t="shared" si="42"/>
        <v>1</v>
      </c>
      <c r="P218" s="11" t="str">
        <f t="shared" si="43"/>
        <v>1</v>
      </c>
      <c r="Q218" s="11" t="str">
        <f t="shared" si="44"/>
        <v>5</v>
      </c>
      <c r="R218" s="11" t="str">
        <f t="shared" si="45"/>
        <v>0</v>
      </c>
      <c r="S218" s="11" t="str">
        <f t="shared" si="46"/>
        <v>9</v>
      </c>
      <c r="T218" s="11" t="str">
        <f t="shared" si="47"/>
        <v>2</v>
      </c>
      <c r="U218" s="11" t="str">
        <f t="shared" si="48"/>
        <v>2</v>
      </c>
      <c r="V218" s="11" t="str">
        <f t="shared" si="49"/>
        <v>2</v>
      </c>
      <c r="W218" s="11" t="str">
        <f t="shared" si="50"/>
        <v>1</v>
      </c>
      <c r="X218" s="11" t="str">
        <f t="shared" si="51"/>
        <v>7</v>
      </c>
    </row>
    <row r="219" spans="1:24" x14ac:dyDescent="0.35">
      <c r="A219" s="5">
        <v>14079</v>
      </c>
      <c r="B219" s="5">
        <v>1150922218</v>
      </c>
      <c r="C219" s="5">
        <v>726858</v>
      </c>
      <c r="D219" s="5">
        <v>3763449</v>
      </c>
      <c r="E219" s="6" t="s">
        <v>70</v>
      </c>
      <c r="F219" s="6" t="s">
        <v>70</v>
      </c>
      <c r="G219" s="6" t="s">
        <v>70</v>
      </c>
      <c r="H219" s="7"/>
      <c r="I219" s="34" t="str">
        <f t="shared" si="39"/>
        <v>150922</v>
      </c>
      <c r="J219" s="31" t="str">
        <f t="shared" si="40"/>
        <v>01</v>
      </c>
      <c r="N219" s="12">
        <f t="shared" si="41"/>
        <v>0</v>
      </c>
      <c r="O219" s="11" t="str">
        <f t="shared" si="42"/>
        <v>1</v>
      </c>
      <c r="P219" s="11" t="str">
        <f t="shared" si="43"/>
        <v>1</v>
      </c>
      <c r="Q219" s="11" t="str">
        <f t="shared" si="44"/>
        <v>5</v>
      </c>
      <c r="R219" s="11" t="str">
        <f t="shared" si="45"/>
        <v>0</v>
      </c>
      <c r="S219" s="11" t="str">
        <f t="shared" si="46"/>
        <v>9</v>
      </c>
      <c r="T219" s="11" t="str">
        <f t="shared" si="47"/>
        <v>2</v>
      </c>
      <c r="U219" s="11" t="str">
        <f t="shared" si="48"/>
        <v>2</v>
      </c>
      <c r="V219" s="11" t="str">
        <f t="shared" si="49"/>
        <v>2</v>
      </c>
      <c r="W219" s="11" t="str">
        <f t="shared" si="50"/>
        <v>1</v>
      </c>
      <c r="X219" s="11" t="str">
        <f t="shared" si="51"/>
        <v>8</v>
      </c>
    </row>
    <row r="220" spans="1:24" x14ac:dyDescent="0.35">
      <c r="A220" s="5">
        <v>14080</v>
      </c>
      <c r="B220" s="5">
        <v>1150922219</v>
      </c>
      <c r="C220" s="5">
        <v>726899</v>
      </c>
      <c r="D220" s="5">
        <v>3763441</v>
      </c>
      <c r="E220" s="6" t="s">
        <v>70</v>
      </c>
      <c r="F220" s="6" t="s">
        <v>70</v>
      </c>
      <c r="G220" s="6" t="s">
        <v>70</v>
      </c>
      <c r="H220" s="7"/>
      <c r="I220" s="34" t="str">
        <f t="shared" si="39"/>
        <v>150922</v>
      </c>
      <c r="J220" s="31" t="str">
        <f t="shared" si="40"/>
        <v>01</v>
      </c>
      <c r="N220" s="12">
        <f t="shared" si="41"/>
        <v>0</v>
      </c>
      <c r="O220" s="11" t="str">
        <f t="shared" si="42"/>
        <v>1</v>
      </c>
      <c r="P220" s="11" t="str">
        <f t="shared" si="43"/>
        <v>1</v>
      </c>
      <c r="Q220" s="11" t="str">
        <f t="shared" si="44"/>
        <v>5</v>
      </c>
      <c r="R220" s="11" t="str">
        <f t="shared" si="45"/>
        <v>0</v>
      </c>
      <c r="S220" s="11" t="str">
        <f t="shared" si="46"/>
        <v>9</v>
      </c>
      <c r="T220" s="11" t="str">
        <f t="shared" si="47"/>
        <v>2</v>
      </c>
      <c r="U220" s="11" t="str">
        <f t="shared" si="48"/>
        <v>2</v>
      </c>
      <c r="V220" s="11" t="str">
        <f t="shared" si="49"/>
        <v>2</v>
      </c>
      <c r="W220" s="11" t="str">
        <f t="shared" si="50"/>
        <v>1</v>
      </c>
      <c r="X220" s="11" t="str">
        <f t="shared" si="51"/>
        <v>9</v>
      </c>
    </row>
    <row r="221" spans="1:24" x14ac:dyDescent="0.35">
      <c r="A221" s="5">
        <v>14081</v>
      </c>
      <c r="B221" s="5">
        <v>1150922220</v>
      </c>
      <c r="C221" s="5">
        <v>726941</v>
      </c>
      <c r="D221" s="5">
        <v>3763415</v>
      </c>
      <c r="E221" s="6" t="s">
        <v>70</v>
      </c>
      <c r="F221" s="6" t="s">
        <v>70</v>
      </c>
      <c r="G221" s="6" t="s">
        <v>70</v>
      </c>
      <c r="H221" s="7"/>
      <c r="I221" s="34" t="str">
        <f t="shared" si="39"/>
        <v>150922</v>
      </c>
      <c r="J221" s="31" t="str">
        <f t="shared" si="40"/>
        <v>01</v>
      </c>
      <c r="N221" s="12">
        <f t="shared" si="41"/>
        <v>0</v>
      </c>
      <c r="O221" s="11" t="str">
        <f t="shared" si="42"/>
        <v>1</v>
      </c>
      <c r="P221" s="11" t="str">
        <f t="shared" si="43"/>
        <v>1</v>
      </c>
      <c r="Q221" s="11" t="str">
        <f t="shared" si="44"/>
        <v>5</v>
      </c>
      <c r="R221" s="11" t="str">
        <f t="shared" si="45"/>
        <v>0</v>
      </c>
      <c r="S221" s="11" t="str">
        <f t="shared" si="46"/>
        <v>9</v>
      </c>
      <c r="T221" s="11" t="str">
        <f t="shared" si="47"/>
        <v>2</v>
      </c>
      <c r="U221" s="11" t="str">
        <f t="shared" si="48"/>
        <v>2</v>
      </c>
      <c r="V221" s="11" t="str">
        <f t="shared" si="49"/>
        <v>2</v>
      </c>
      <c r="W221" s="11" t="str">
        <f t="shared" si="50"/>
        <v>2</v>
      </c>
      <c r="X221" s="11" t="str">
        <f t="shared" si="51"/>
        <v>0</v>
      </c>
    </row>
    <row r="222" spans="1:24" x14ac:dyDescent="0.35">
      <c r="A222" s="5">
        <v>14082</v>
      </c>
      <c r="B222" s="5">
        <v>1150922221</v>
      </c>
      <c r="C222" s="5">
        <v>726792</v>
      </c>
      <c r="D222" s="5">
        <v>3763415</v>
      </c>
      <c r="E222" s="6" t="s">
        <v>70</v>
      </c>
      <c r="F222" s="6" t="s">
        <v>70</v>
      </c>
      <c r="G222" s="6" t="s">
        <v>70</v>
      </c>
      <c r="H222" s="7"/>
      <c r="I222" s="34" t="str">
        <f t="shared" si="39"/>
        <v>150922</v>
      </c>
      <c r="J222" s="31" t="str">
        <f t="shared" si="40"/>
        <v>01</v>
      </c>
      <c r="N222" s="12">
        <f t="shared" si="41"/>
        <v>0</v>
      </c>
      <c r="O222" s="11" t="str">
        <f t="shared" si="42"/>
        <v>1</v>
      </c>
      <c r="P222" s="11" t="str">
        <f t="shared" si="43"/>
        <v>1</v>
      </c>
      <c r="Q222" s="11" t="str">
        <f t="shared" si="44"/>
        <v>5</v>
      </c>
      <c r="R222" s="11" t="str">
        <f t="shared" si="45"/>
        <v>0</v>
      </c>
      <c r="S222" s="11" t="str">
        <f t="shared" si="46"/>
        <v>9</v>
      </c>
      <c r="T222" s="11" t="str">
        <f t="shared" si="47"/>
        <v>2</v>
      </c>
      <c r="U222" s="11" t="str">
        <f t="shared" si="48"/>
        <v>2</v>
      </c>
      <c r="V222" s="11" t="str">
        <f t="shared" si="49"/>
        <v>2</v>
      </c>
      <c r="W222" s="11" t="str">
        <f t="shared" si="50"/>
        <v>2</v>
      </c>
      <c r="X222" s="11" t="str">
        <f t="shared" si="51"/>
        <v>1</v>
      </c>
    </row>
    <row r="223" spans="1:24" x14ac:dyDescent="0.35">
      <c r="A223" s="5">
        <v>14083</v>
      </c>
      <c r="B223" s="5">
        <v>1150922222</v>
      </c>
      <c r="C223" s="5">
        <v>726789</v>
      </c>
      <c r="D223" s="5">
        <v>3763414</v>
      </c>
      <c r="E223" s="6" t="s">
        <v>70</v>
      </c>
      <c r="F223" s="6" t="s">
        <v>70</v>
      </c>
      <c r="G223" s="6" t="s">
        <v>70</v>
      </c>
      <c r="H223" s="7"/>
      <c r="I223" s="34" t="str">
        <f t="shared" si="39"/>
        <v>150922</v>
      </c>
      <c r="J223" s="31" t="str">
        <f t="shared" si="40"/>
        <v>01</v>
      </c>
      <c r="N223" s="12">
        <f t="shared" si="41"/>
        <v>0</v>
      </c>
      <c r="O223" s="11" t="str">
        <f t="shared" si="42"/>
        <v>1</v>
      </c>
      <c r="P223" s="11" t="str">
        <f t="shared" si="43"/>
        <v>1</v>
      </c>
      <c r="Q223" s="11" t="str">
        <f t="shared" si="44"/>
        <v>5</v>
      </c>
      <c r="R223" s="11" t="str">
        <f t="shared" si="45"/>
        <v>0</v>
      </c>
      <c r="S223" s="11" t="str">
        <f t="shared" si="46"/>
        <v>9</v>
      </c>
      <c r="T223" s="11" t="str">
        <f t="shared" si="47"/>
        <v>2</v>
      </c>
      <c r="U223" s="11" t="str">
        <f t="shared" si="48"/>
        <v>2</v>
      </c>
      <c r="V223" s="11" t="str">
        <f t="shared" si="49"/>
        <v>2</v>
      </c>
      <c r="W223" s="11" t="str">
        <f t="shared" si="50"/>
        <v>2</v>
      </c>
      <c r="X223" s="11" t="str">
        <f t="shared" si="51"/>
        <v>2</v>
      </c>
    </row>
    <row r="224" spans="1:24" x14ac:dyDescent="0.35">
      <c r="A224" s="5">
        <v>14084</v>
      </c>
      <c r="B224" s="5">
        <v>1150922223</v>
      </c>
      <c r="C224" s="5">
        <v>726789</v>
      </c>
      <c r="D224" s="5">
        <v>3763413</v>
      </c>
      <c r="E224" s="6" t="s">
        <v>70</v>
      </c>
      <c r="F224" s="6" t="s">
        <v>70</v>
      </c>
      <c r="G224" s="6" t="s">
        <v>70</v>
      </c>
      <c r="H224" s="7"/>
      <c r="I224" s="34" t="str">
        <f t="shared" si="39"/>
        <v>150922</v>
      </c>
      <c r="J224" s="31" t="str">
        <f t="shared" si="40"/>
        <v>01</v>
      </c>
      <c r="N224" s="12">
        <f t="shared" si="41"/>
        <v>0</v>
      </c>
      <c r="O224" s="11" t="str">
        <f t="shared" si="42"/>
        <v>1</v>
      </c>
      <c r="P224" s="11" t="str">
        <f t="shared" si="43"/>
        <v>1</v>
      </c>
      <c r="Q224" s="11" t="str">
        <f t="shared" si="44"/>
        <v>5</v>
      </c>
      <c r="R224" s="11" t="str">
        <f t="shared" si="45"/>
        <v>0</v>
      </c>
      <c r="S224" s="11" t="str">
        <f t="shared" si="46"/>
        <v>9</v>
      </c>
      <c r="T224" s="11" t="str">
        <f t="shared" si="47"/>
        <v>2</v>
      </c>
      <c r="U224" s="11" t="str">
        <f t="shared" si="48"/>
        <v>2</v>
      </c>
      <c r="V224" s="11" t="str">
        <f t="shared" si="49"/>
        <v>2</v>
      </c>
      <c r="W224" s="11" t="str">
        <f t="shared" si="50"/>
        <v>2</v>
      </c>
      <c r="X224" s="11" t="str">
        <f t="shared" si="51"/>
        <v>3</v>
      </c>
    </row>
    <row r="225" spans="1:24" x14ac:dyDescent="0.35">
      <c r="A225" s="5">
        <v>14085</v>
      </c>
      <c r="B225" s="5">
        <v>1150922224</v>
      </c>
      <c r="C225" s="5">
        <v>726831</v>
      </c>
      <c r="D225" s="5">
        <v>3763398</v>
      </c>
      <c r="E225" s="6" t="s">
        <v>70</v>
      </c>
      <c r="F225" s="6" t="s">
        <v>70</v>
      </c>
      <c r="G225" s="6" t="s">
        <v>70</v>
      </c>
      <c r="H225" s="7"/>
      <c r="I225" s="34" t="str">
        <f t="shared" si="39"/>
        <v>150922</v>
      </c>
      <c r="J225" s="31" t="str">
        <f t="shared" si="40"/>
        <v>01</v>
      </c>
      <c r="N225" s="12">
        <f t="shared" si="41"/>
        <v>0</v>
      </c>
      <c r="O225" s="11" t="str">
        <f t="shared" si="42"/>
        <v>1</v>
      </c>
      <c r="P225" s="11" t="str">
        <f t="shared" si="43"/>
        <v>1</v>
      </c>
      <c r="Q225" s="11" t="str">
        <f t="shared" si="44"/>
        <v>5</v>
      </c>
      <c r="R225" s="11" t="str">
        <f t="shared" si="45"/>
        <v>0</v>
      </c>
      <c r="S225" s="11" t="str">
        <f t="shared" si="46"/>
        <v>9</v>
      </c>
      <c r="T225" s="11" t="str">
        <f t="shared" si="47"/>
        <v>2</v>
      </c>
      <c r="U225" s="11" t="str">
        <f t="shared" si="48"/>
        <v>2</v>
      </c>
      <c r="V225" s="11" t="str">
        <f t="shared" si="49"/>
        <v>2</v>
      </c>
      <c r="W225" s="11" t="str">
        <f t="shared" si="50"/>
        <v>2</v>
      </c>
      <c r="X225" s="11" t="str">
        <f t="shared" si="51"/>
        <v>4</v>
      </c>
    </row>
    <row r="226" spans="1:24" x14ac:dyDescent="0.35">
      <c r="A226" s="5">
        <v>14086</v>
      </c>
      <c r="B226" s="5">
        <v>1150922225</v>
      </c>
      <c r="C226" s="5">
        <v>726873</v>
      </c>
      <c r="D226" s="5">
        <v>3763383</v>
      </c>
      <c r="E226" s="6" t="s">
        <v>70</v>
      </c>
      <c r="F226" s="6" t="s">
        <v>70</v>
      </c>
      <c r="G226" s="6" t="s">
        <v>70</v>
      </c>
      <c r="H226" s="7"/>
      <c r="I226" s="34" t="str">
        <f t="shared" si="39"/>
        <v>150922</v>
      </c>
      <c r="J226" s="31" t="str">
        <f t="shared" si="40"/>
        <v>01</v>
      </c>
      <c r="N226" s="12">
        <f t="shared" si="41"/>
        <v>0</v>
      </c>
      <c r="O226" s="11" t="str">
        <f t="shared" si="42"/>
        <v>1</v>
      </c>
      <c r="P226" s="11" t="str">
        <f t="shared" si="43"/>
        <v>1</v>
      </c>
      <c r="Q226" s="11" t="str">
        <f t="shared" si="44"/>
        <v>5</v>
      </c>
      <c r="R226" s="11" t="str">
        <f t="shared" si="45"/>
        <v>0</v>
      </c>
      <c r="S226" s="11" t="str">
        <f t="shared" si="46"/>
        <v>9</v>
      </c>
      <c r="T226" s="11" t="str">
        <f t="shared" si="47"/>
        <v>2</v>
      </c>
      <c r="U226" s="11" t="str">
        <f t="shared" si="48"/>
        <v>2</v>
      </c>
      <c r="V226" s="11" t="str">
        <f t="shared" si="49"/>
        <v>2</v>
      </c>
      <c r="W226" s="11" t="str">
        <f t="shared" si="50"/>
        <v>2</v>
      </c>
      <c r="X226" s="11" t="str">
        <f t="shared" si="51"/>
        <v>5</v>
      </c>
    </row>
    <row r="227" spans="1:24" x14ac:dyDescent="0.35">
      <c r="A227" s="5">
        <v>14087</v>
      </c>
      <c r="B227" s="5">
        <v>1150922226</v>
      </c>
      <c r="C227" s="5">
        <v>726913</v>
      </c>
      <c r="D227" s="5">
        <v>3763361</v>
      </c>
      <c r="E227" s="6" t="s">
        <v>70</v>
      </c>
      <c r="F227" s="6" t="s">
        <v>70</v>
      </c>
      <c r="G227" s="6" t="s">
        <v>70</v>
      </c>
      <c r="H227" s="7"/>
      <c r="I227" s="34" t="str">
        <f t="shared" si="39"/>
        <v>150922</v>
      </c>
      <c r="J227" s="31" t="str">
        <f t="shared" si="40"/>
        <v>01</v>
      </c>
      <c r="N227" s="12">
        <f t="shared" si="41"/>
        <v>0</v>
      </c>
      <c r="O227" s="11" t="str">
        <f t="shared" si="42"/>
        <v>1</v>
      </c>
      <c r="P227" s="11" t="str">
        <f t="shared" si="43"/>
        <v>1</v>
      </c>
      <c r="Q227" s="11" t="str">
        <f t="shared" si="44"/>
        <v>5</v>
      </c>
      <c r="R227" s="11" t="str">
        <f t="shared" si="45"/>
        <v>0</v>
      </c>
      <c r="S227" s="11" t="str">
        <f t="shared" si="46"/>
        <v>9</v>
      </c>
      <c r="T227" s="11" t="str">
        <f t="shared" si="47"/>
        <v>2</v>
      </c>
      <c r="U227" s="11" t="str">
        <f t="shared" si="48"/>
        <v>2</v>
      </c>
      <c r="V227" s="11" t="str">
        <f t="shared" si="49"/>
        <v>2</v>
      </c>
      <c r="W227" s="11" t="str">
        <f t="shared" si="50"/>
        <v>2</v>
      </c>
      <c r="X227" s="11" t="str">
        <f t="shared" si="51"/>
        <v>6</v>
      </c>
    </row>
    <row r="228" spans="1:24" x14ac:dyDescent="0.35">
      <c r="A228" s="5">
        <v>14088</v>
      </c>
      <c r="B228" s="5">
        <v>1150922227</v>
      </c>
      <c r="C228" s="5">
        <v>726755</v>
      </c>
      <c r="D228" s="5">
        <v>3763436</v>
      </c>
      <c r="E228" s="6" t="s">
        <v>70</v>
      </c>
      <c r="F228" s="6" t="s">
        <v>70</v>
      </c>
      <c r="G228" s="6" t="s">
        <v>70</v>
      </c>
      <c r="H228" s="7"/>
      <c r="I228" s="34" t="str">
        <f t="shared" si="39"/>
        <v>150922</v>
      </c>
      <c r="J228" s="31" t="str">
        <f t="shared" si="40"/>
        <v>01</v>
      </c>
      <c r="N228" s="12">
        <f t="shared" si="41"/>
        <v>0</v>
      </c>
      <c r="O228" s="11" t="str">
        <f t="shared" si="42"/>
        <v>1</v>
      </c>
      <c r="P228" s="11" t="str">
        <f t="shared" si="43"/>
        <v>1</v>
      </c>
      <c r="Q228" s="11" t="str">
        <f t="shared" si="44"/>
        <v>5</v>
      </c>
      <c r="R228" s="11" t="str">
        <f t="shared" si="45"/>
        <v>0</v>
      </c>
      <c r="S228" s="11" t="str">
        <f t="shared" si="46"/>
        <v>9</v>
      </c>
      <c r="T228" s="11" t="str">
        <f t="shared" si="47"/>
        <v>2</v>
      </c>
      <c r="U228" s="11" t="str">
        <f t="shared" si="48"/>
        <v>2</v>
      </c>
      <c r="V228" s="11" t="str">
        <f t="shared" si="49"/>
        <v>2</v>
      </c>
      <c r="W228" s="11" t="str">
        <f t="shared" si="50"/>
        <v>2</v>
      </c>
      <c r="X228" s="11" t="str">
        <f t="shared" si="51"/>
        <v>7</v>
      </c>
    </row>
    <row r="229" spans="1:24" x14ac:dyDescent="0.35">
      <c r="A229" s="5">
        <v>14089</v>
      </c>
      <c r="B229" s="5">
        <v>1150922228</v>
      </c>
      <c r="C229" s="5">
        <v>726752</v>
      </c>
      <c r="D229" s="5">
        <v>3763437</v>
      </c>
      <c r="E229" s="6" t="s">
        <v>70</v>
      </c>
      <c r="F229" s="6" t="s">
        <v>70</v>
      </c>
      <c r="G229" s="6" t="s">
        <v>70</v>
      </c>
      <c r="H229" s="7"/>
      <c r="I229" s="34" t="str">
        <f t="shared" si="39"/>
        <v>150922</v>
      </c>
      <c r="J229" s="31" t="str">
        <f t="shared" si="40"/>
        <v>01</v>
      </c>
      <c r="N229" s="12">
        <f t="shared" si="41"/>
        <v>0</v>
      </c>
      <c r="O229" s="11" t="str">
        <f t="shared" si="42"/>
        <v>1</v>
      </c>
      <c r="P229" s="11" t="str">
        <f t="shared" si="43"/>
        <v>1</v>
      </c>
      <c r="Q229" s="11" t="str">
        <f t="shared" si="44"/>
        <v>5</v>
      </c>
      <c r="R229" s="11" t="str">
        <f t="shared" si="45"/>
        <v>0</v>
      </c>
      <c r="S229" s="11" t="str">
        <f t="shared" si="46"/>
        <v>9</v>
      </c>
      <c r="T229" s="11" t="str">
        <f t="shared" si="47"/>
        <v>2</v>
      </c>
      <c r="U229" s="11" t="str">
        <f t="shared" si="48"/>
        <v>2</v>
      </c>
      <c r="V229" s="11" t="str">
        <f t="shared" si="49"/>
        <v>2</v>
      </c>
      <c r="W229" s="11" t="str">
        <f t="shared" si="50"/>
        <v>2</v>
      </c>
      <c r="X229" s="11" t="str">
        <f t="shared" si="51"/>
        <v>8</v>
      </c>
    </row>
    <row r="230" spans="1:24" x14ac:dyDescent="0.35">
      <c r="A230" s="5">
        <v>14090</v>
      </c>
      <c r="B230" s="5">
        <v>1150922229</v>
      </c>
      <c r="C230" s="5">
        <v>726754</v>
      </c>
      <c r="D230" s="5">
        <v>3763436</v>
      </c>
      <c r="E230" s="6" t="s">
        <v>70</v>
      </c>
      <c r="F230" s="6" t="s">
        <v>70</v>
      </c>
      <c r="G230" s="6" t="s">
        <v>70</v>
      </c>
      <c r="H230" s="7"/>
      <c r="I230" s="34" t="str">
        <f t="shared" si="39"/>
        <v>150922</v>
      </c>
      <c r="J230" s="31" t="str">
        <f t="shared" si="40"/>
        <v>01</v>
      </c>
      <c r="N230" s="12">
        <f t="shared" si="41"/>
        <v>0</v>
      </c>
      <c r="O230" s="11" t="str">
        <f t="shared" si="42"/>
        <v>1</v>
      </c>
      <c r="P230" s="11" t="str">
        <f t="shared" si="43"/>
        <v>1</v>
      </c>
      <c r="Q230" s="11" t="str">
        <f t="shared" si="44"/>
        <v>5</v>
      </c>
      <c r="R230" s="11" t="str">
        <f t="shared" si="45"/>
        <v>0</v>
      </c>
      <c r="S230" s="11" t="str">
        <f t="shared" si="46"/>
        <v>9</v>
      </c>
      <c r="T230" s="11" t="str">
        <f t="shared" si="47"/>
        <v>2</v>
      </c>
      <c r="U230" s="11" t="str">
        <f t="shared" si="48"/>
        <v>2</v>
      </c>
      <c r="V230" s="11" t="str">
        <f t="shared" si="49"/>
        <v>2</v>
      </c>
      <c r="W230" s="11" t="str">
        <f t="shared" si="50"/>
        <v>2</v>
      </c>
      <c r="X230" s="11" t="str">
        <f t="shared" si="51"/>
        <v>9</v>
      </c>
    </row>
    <row r="231" spans="1:24" x14ac:dyDescent="0.35">
      <c r="A231" s="5">
        <v>14091</v>
      </c>
      <c r="B231" s="5">
        <v>1150922230</v>
      </c>
      <c r="C231" s="5">
        <v>726704</v>
      </c>
      <c r="D231" s="5">
        <v>3763461</v>
      </c>
      <c r="E231" s="6" t="s">
        <v>70</v>
      </c>
      <c r="F231" s="6" t="s">
        <v>70</v>
      </c>
      <c r="G231" s="6" t="s">
        <v>70</v>
      </c>
      <c r="H231" s="7"/>
      <c r="I231" s="34" t="str">
        <f t="shared" si="39"/>
        <v>150922</v>
      </c>
      <c r="J231" s="31" t="str">
        <f t="shared" si="40"/>
        <v>01</v>
      </c>
      <c r="N231" s="12">
        <f t="shared" si="41"/>
        <v>0</v>
      </c>
      <c r="O231" s="11" t="str">
        <f t="shared" si="42"/>
        <v>1</v>
      </c>
      <c r="P231" s="11" t="str">
        <f t="shared" si="43"/>
        <v>1</v>
      </c>
      <c r="Q231" s="11" t="str">
        <f t="shared" si="44"/>
        <v>5</v>
      </c>
      <c r="R231" s="11" t="str">
        <f t="shared" si="45"/>
        <v>0</v>
      </c>
      <c r="S231" s="11" t="str">
        <f t="shared" si="46"/>
        <v>9</v>
      </c>
      <c r="T231" s="11" t="str">
        <f t="shared" si="47"/>
        <v>2</v>
      </c>
      <c r="U231" s="11" t="str">
        <f t="shared" si="48"/>
        <v>2</v>
      </c>
      <c r="V231" s="11" t="str">
        <f t="shared" si="49"/>
        <v>2</v>
      </c>
      <c r="W231" s="11" t="str">
        <f t="shared" si="50"/>
        <v>3</v>
      </c>
      <c r="X231" s="11" t="str">
        <f t="shared" si="51"/>
        <v>0</v>
      </c>
    </row>
    <row r="232" spans="1:24" x14ac:dyDescent="0.35">
      <c r="A232" s="5">
        <v>14092</v>
      </c>
      <c r="B232" s="5">
        <v>1150922231</v>
      </c>
      <c r="C232" s="5">
        <v>726668</v>
      </c>
      <c r="D232" s="5">
        <v>3763484</v>
      </c>
      <c r="E232" s="6" t="s">
        <v>70</v>
      </c>
      <c r="F232" s="6" t="s">
        <v>70</v>
      </c>
      <c r="G232" s="6" t="s">
        <v>70</v>
      </c>
      <c r="H232" s="7"/>
      <c r="I232" s="34" t="str">
        <f t="shared" si="39"/>
        <v>150922</v>
      </c>
      <c r="J232" s="31" t="str">
        <f t="shared" si="40"/>
        <v>01</v>
      </c>
      <c r="N232" s="12">
        <f t="shared" si="41"/>
        <v>0</v>
      </c>
      <c r="O232" s="11" t="str">
        <f t="shared" si="42"/>
        <v>1</v>
      </c>
      <c r="P232" s="11" t="str">
        <f t="shared" si="43"/>
        <v>1</v>
      </c>
      <c r="Q232" s="11" t="str">
        <f t="shared" si="44"/>
        <v>5</v>
      </c>
      <c r="R232" s="11" t="str">
        <f t="shared" si="45"/>
        <v>0</v>
      </c>
      <c r="S232" s="11" t="str">
        <f t="shared" si="46"/>
        <v>9</v>
      </c>
      <c r="T232" s="11" t="str">
        <f t="shared" si="47"/>
        <v>2</v>
      </c>
      <c r="U232" s="11" t="str">
        <f t="shared" si="48"/>
        <v>2</v>
      </c>
      <c r="V232" s="11" t="str">
        <f t="shared" si="49"/>
        <v>2</v>
      </c>
      <c r="W232" s="11" t="str">
        <f t="shared" si="50"/>
        <v>3</v>
      </c>
      <c r="X232" s="11" t="str">
        <f t="shared" si="51"/>
        <v>1</v>
      </c>
    </row>
    <row r="233" spans="1:24" x14ac:dyDescent="0.35">
      <c r="A233" s="5">
        <v>14093</v>
      </c>
      <c r="B233" s="5">
        <v>1150922232</v>
      </c>
      <c r="C233" s="5">
        <v>726627</v>
      </c>
      <c r="D233" s="5">
        <v>3763516</v>
      </c>
      <c r="E233" s="6" t="s">
        <v>70</v>
      </c>
      <c r="F233" s="6" t="s">
        <v>70</v>
      </c>
      <c r="G233" s="6" t="s">
        <v>70</v>
      </c>
      <c r="H233" s="7"/>
      <c r="I233" s="34" t="str">
        <f t="shared" si="39"/>
        <v>150922</v>
      </c>
      <c r="J233" s="31" t="str">
        <f t="shared" si="40"/>
        <v>01</v>
      </c>
      <c r="N233" s="12">
        <f t="shared" si="41"/>
        <v>0</v>
      </c>
      <c r="O233" s="11" t="str">
        <f t="shared" si="42"/>
        <v>1</v>
      </c>
      <c r="P233" s="11" t="str">
        <f t="shared" si="43"/>
        <v>1</v>
      </c>
      <c r="Q233" s="11" t="str">
        <f t="shared" si="44"/>
        <v>5</v>
      </c>
      <c r="R233" s="11" t="str">
        <f t="shared" si="45"/>
        <v>0</v>
      </c>
      <c r="S233" s="11" t="str">
        <f t="shared" si="46"/>
        <v>9</v>
      </c>
      <c r="T233" s="11" t="str">
        <f t="shared" si="47"/>
        <v>2</v>
      </c>
      <c r="U233" s="11" t="str">
        <f t="shared" si="48"/>
        <v>2</v>
      </c>
      <c r="V233" s="11" t="str">
        <f t="shared" si="49"/>
        <v>2</v>
      </c>
      <c r="W233" s="11" t="str">
        <f t="shared" si="50"/>
        <v>3</v>
      </c>
      <c r="X233" s="11" t="str">
        <f t="shared" si="51"/>
        <v>2</v>
      </c>
    </row>
    <row r="234" spans="1:24" x14ac:dyDescent="0.35">
      <c r="A234" s="5">
        <v>14094</v>
      </c>
      <c r="B234" s="5">
        <v>1150922233</v>
      </c>
      <c r="C234" s="5">
        <v>726767</v>
      </c>
      <c r="D234" s="5">
        <v>3763377</v>
      </c>
      <c r="E234" s="6" t="s">
        <v>70</v>
      </c>
      <c r="F234" s="6" t="s">
        <v>70</v>
      </c>
      <c r="G234" s="6" t="s">
        <v>70</v>
      </c>
      <c r="H234" s="7"/>
      <c r="I234" s="34" t="str">
        <f t="shared" si="39"/>
        <v>150922</v>
      </c>
      <c r="J234" s="31" t="str">
        <f t="shared" si="40"/>
        <v>01</v>
      </c>
      <c r="N234" s="12">
        <f t="shared" si="41"/>
        <v>0</v>
      </c>
      <c r="O234" s="11" t="str">
        <f t="shared" si="42"/>
        <v>1</v>
      </c>
      <c r="P234" s="11" t="str">
        <f t="shared" si="43"/>
        <v>1</v>
      </c>
      <c r="Q234" s="11" t="str">
        <f t="shared" si="44"/>
        <v>5</v>
      </c>
      <c r="R234" s="11" t="str">
        <f t="shared" si="45"/>
        <v>0</v>
      </c>
      <c r="S234" s="11" t="str">
        <f t="shared" si="46"/>
        <v>9</v>
      </c>
      <c r="T234" s="11" t="str">
        <f t="shared" si="47"/>
        <v>2</v>
      </c>
      <c r="U234" s="11" t="str">
        <f t="shared" si="48"/>
        <v>2</v>
      </c>
      <c r="V234" s="11" t="str">
        <f t="shared" si="49"/>
        <v>2</v>
      </c>
      <c r="W234" s="11" t="str">
        <f t="shared" si="50"/>
        <v>3</v>
      </c>
      <c r="X234" s="11" t="str">
        <f t="shared" si="51"/>
        <v>3</v>
      </c>
    </row>
    <row r="235" spans="1:24" x14ac:dyDescent="0.35">
      <c r="A235" s="5">
        <v>14095</v>
      </c>
      <c r="B235" s="5">
        <v>1150922234</v>
      </c>
      <c r="C235" s="5">
        <v>726765</v>
      </c>
      <c r="D235" s="5">
        <v>3763361</v>
      </c>
      <c r="E235" s="6" t="s">
        <v>70</v>
      </c>
      <c r="F235" s="6" t="s">
        <v>70</v>
      </c>
      <c r="G235" s="6" t="s">
        <v>70</v>
      </c>
      <c r="H235" s="7"/>
      <c r="I235" s="34" t="str">
        <f t="shared" si="39"/>
        <v>150922</v>
      </c>
      <c r="J235" s="31" t="str">
        <f t="shared" si="40"/>
        <v>01</v>
      </c>
      <c r="N235" s="12">
        <f t="shared" si="41"/>
        <v>0</v>
      </c>
      <c r="O235" s="11" t="str">
        <f t="shared" si="42"/>
        <v>1</v>
      </c>
      <c r="P235" s="11" t="str">
        <f t="shared" si="43"/>
        <v>1</v>
      </c>
      <c r="Q235" s="11" t="str">
        <f t="shared" si="44"/>
        <v>5</v>
      </c>
      <c r="R235" s="11" t="str">
        <f t="shared" si="45"/>
        <v>0</v>
      </c>
      <c r="S235" s="11" t="str">
        <f t="shared" si="46"/>
        <v>9</v>
      </c>
      <c r="T235" s="11" t="str">
        <f t="shared" si="47"/>
        <v>2</v>
      </c>
      <c r="U235" s="11" t="str">
        <f t="shared" si="48"/>
        <v>2</v>
      </c>
      <c r="V235" s="11" t="str">
        <f t="shared" si="49"/>
        <v>2</v>
      </c>
      <c r="W235" s="11" t="str">
        <f t="shared" si="50"/>
        <v>3</v>
      </c>
      <c r="X235" s="11" t="str">
        <f t="shared" si="51"/>
        <v>4</v>
      </c>
    </row>
    <row r="236" spans="1:24" x14ac:dyDescent="0.35">
      <c r="A236" s="5">
        <v>14096</v>
      </c>
      <c r="B236" s="5">
        <v>1150922235</v>
      </c>
      <c r="C236" s="5">
        <v>726727</v>
      </c>
      <c r="D236" s="5">
        <v>3763377</v>
      </c>
      <c r="E236" s="6" t="s">
        <v>70</v>
      </c>
      <c r="F236" s="6" t="s">
        <v>70</v>
      </c>
      <c r="G236" s="6" t="s">
        <v>70</v>
      </c>
      <c r="H236" s="7"/>
      <c r="I236" s="34" t="str">
        <f t="shared" si="39"/>
        <v>150922</v>
      </c>
      <c r="J236" s="31" t="str">
        <f t="shared" si="40"/>
        <v>01</v>
      </c>
      <c r="N236" s="12">
        <f t="shared" si="41"/>
        <v>0</v>
      </c>
      <c r="O236" s="11" t="str">
        <f t="shared" si="42"/>
        <v>1</v>
      </c>
      <c r="P236" s="11" t="str">
        <f t="shared" si="43"/>
        <v>1</v>
      </c>
      <c r="Q236" s="11" t="str">
        <f t="shared" si="44"/>
        <v>5</v>
      </c>
      <c r="R236" s="11" t="str">
        <f t="shared" si="45"/>
        <v>0</v>
      </c>
      <c r="S236" s="11" t="str">
        <f t="shared" si="46"/>
        <v>9</v>
      </c>
      <c r="T236" s="11" t="str">
        <f t="shared" si="47"/>
        <v>2</v>
      </c>
      <c r="U236" s="11" t="str">
        <f t="shared" si="48"/>
        <v>2</v>
      </c>
      <c r="V236" s="11" t="str">
        <f t="shared" si="49"/>
        <v>2</v>
      </c>
      <c r="W236" s="11" t="str">
        <f t="shared" si="50"/>
        <v>3</v>
      </c>
      <c r="X236" s="11" t="str">
        <f t="shared" si="51"/>
        <v>5</v>
      </c>
    </row>
    <row r="237" spans="1:24" x14ac:dyDescent="0.35">
      <c r="A237" s="5">
        <v>14097</v>
      </c>
      <c r="B237" s="5">
        <v>1150922236</v>
      </c>
      <c r="C237" s="5">
        <v>726727</v>
      </c>
      <c r="D237" s="5">
        <v>3763378</v>
      </c>
      <c r="E237" s="6" t="s">
        <v>70</v>
      </c>
      <c r="F237" s="6" t="s">
        <v>70</v>
      </c>
      <c r="G237" s="6" t="s">
        <v>70</v>
      </c>
      <c r="H237" s="7"/>
      <c r="I237" s="34" t="str">
        <f t="shared" si="39"/>
        <v>150922</v>
      </c>
      <c r="J237" s="31" t="str">
        <f t="shared" si="40"/>
        <v>01</v>
      </c>
      <c r="N237" s="12">
        <f t="shared" si="41"/>
        <v>0</v>
      </c>
      <c r="O237" s="11" t="str">
        <f t="shared" si="42"/>
        <v>1</v>
      </c>
      <c r="P237" s="11" t="str">
        <f t="shared" si="43"/>
        <v>1</v>
      </c>
      <c r="Q237" s="11" t="str">
        <f t="shared" si="44"/>
        <v>5</v>
      </c>
      <c r="R237" s="11" t="str">
        <f t="shared" si="45"/>
        <v>0</v>
      </c>
      <c r="S237" s="11" t="str">
        <f t="shared" si="46"/>
        <v>9</v>
      </c>
      <c r="T237" s="11" t="str">
        <f t="shared" si="47"/>
        <v>2</v>
      </c>
      <c r="U237" s="11" t="str">
        <f t="shared" si="48"/>
        <v>2</v>
      </c>
      <c r="V237" s="11" t="str">
        <f t="shared" si="49"/>
        <v>2</v>
      </c>
      <c r="W237" s="11" t="str">
        <f t="shared" si="50"/>
        <v>3</v>
      </c>
      <c r="X237" s="11" t="str">
        <f t="shared" si="51"/>
        <v>6</v>
      </c>
    </row>
    <row r="238" spans="1:24" x14ac:dyDescent="0.35">
      <c r="A238" s="5">
        <v>14098</v>
      </c>
      <c r="B238" s="5">
        <v>1150922237</v>
      </c>
      <c r="C238" s="5">
        <v>726725</v>
      </c>
      <c r="D238" s="5">
        <v>3763378</v>
      </c>
      <c r="E238" s="6" t="s">
        <v>70</v>
      </c>
      <c r="F238" s="6" t="s">
        <v>70</v>
      </c>
      <c r="G238" s="6" t="s">
        <v>70</v>
      </c>
      <c r="H238" s="7"/>
      <c r="I238" s="34" t="str">
        <f t="shared" si="39"/>
        <v>150922</v>
      </c>
      <c r="J238" s="31" t="str">
        <f t="shared" si="40"/>
        <v>01</v>
      </c>
      <c r="N238" s="12">
        <f t="shared" si="41"/>
        <v>0</v>
      </c>
      <c r="O238" s="11" t="str">
        <f t="shared" si="42"/>
        <v>1</v>
      </c>
      <c r="P238" s="11" t="str">
        <f t="shared" si="43"/>
        <v>1</v>
      </c>
      <c r="Q238" s="11" t="str">
        <f t="shared" si="44"/>
        <v>5</v>
      </c>
      <c r="R238" s="11" t="str">
        <f t="shared" si="45"/>
        <v>0</v>
      </c>
      <c r="S238" s="11" t="str">
        <f t="shared" si="46"/>
        <v>9</v>
      </c>
      <c r="T238" s="11" t="str">
        <f t="shared" si="47"/>
        <v>2</v>
      </c>
      <c r="U238" s="11" t="str">
        <f t="shared" si="48"/>
        <v>2</v>
      </c>
      <c r="V238" s="11" t="str">
        <f t="shared" si="49"/>
        <v>2</v>
      </c>
      <c r="W238" s="11" t="str">
        <f t="shared" si="50"/>
        <v>3</v>
      </c>
      <c r="X238" s="11" t="str">
        <f t="shared" si="51"/>
        <v>7</v>
      </c>
    </row>
    <row r="239" spans="1:24" x14ac:dyDescent="0.35">
      <c r="A239" s="5">
        <v>14099</v>
      </c>
      <c r="B239" s="5">
        <v>1150922238</v>
      </c>
      <c r="C239" s="5">
        <v>726682</v>
      </c>
      <c r="D239" s="5">
        <v>3763397</v>
      </c>
      <c r="E239" s="6" t="s">
        <v>70</v>
      </c>
      <c r="F239" s="6" t="s">
        <v>70</v>
      </c>
      <c r="G239" s="6" t="s">
        <v>70</v>
      </c>
      <c r="H239" s="7"/>
      <c r="I239" s="34" t="str">
        <f t="shared" si="39"/>
        <v>150922</v>
      </c>
      <c r="J239" s="31" t="str">
        <f t="shared" si="40"/>
        <v>01</v>
      </c>
      <c r="N239" s="12">
        <f t="shared" si="41"/>
        <v>0</v>
      </c>
      <c r="O239" s="11" t="str">
        <f t="shared" si="42"/>
        <v>1</v>
      </c>
      <c r="P239" s="11" t="str">
        <f t="shared" si="43"/>
        <v>1</v>
      </c>
      <c r="Q239" s="11" t="str">
        <f t="shared" si="44"/>
        <v>5</v>
      </c>
      <c r="R239" s="11" t="str">
        <f t="shared" si="45"/>
        <v>0</v>
      </c>
      <c r="S239" s="11" t="str">
        <f t="shared" si="46"/>
        <v>9</v>
      </c>
      <c r="T239" s="11" t="str">
        <f t="shared" si="47"/>
        <v>2</v>
      </c>
      <c r="U239" s="11" t="str">
        <f t="shared" si="48"/>
        <v>2</v>
      </c>
      <c r="V239" s="11" t="str">
        <f t="shared" si="49"/>
        <v>2</v>
      </c>
      <c r="W239" s="11" t="str">
        <f t="shared" si="50"/>
        <v>3</v>
      </c>
      <c r="X239" s="11" t="str">
        <f t="shared" si="51"/>
        <v>8</v>
      </c>
    </row>
    <row r="240" spans="1:24" x14ac:dyDescent="0.35">
      <c r="A240" s="5">
        <v>14100</v>
      </c>
      <c r="B240" s="5">
        <v>1150922239</v>
      </c>
      <c r="C240" s="5">
        <v>726811</v>
      </c>
      <c r="D240" s="5">
        <v>3763338</v>
      </c>
      <c r="E240" s="6" t="s">
        <v>70</v>
      </c>
      <c r="F240" s="6" t="s">
        <v>70</v>
      </c>
      <c r="G240" s="6" t="s">
        <v>70</v>
      </c>
      <c r="H240" s="7"/>
      <c r="I240" s="34" t="str">
        <f t="shared" si="39"/>
        <v>150922</v>
      </c>
      <c r="J240" s="31" t="str">
        <f t="shared" si="40"/>
        <v>01</v>
      </c>
      <c r="N240" s="12">
        <f t="shared" si="41"/>
        <v>0</v>
      </c>
      <c r="O240" s="11" t="str">
        <f t="shared" si="42"/>
        <v>1</v>
      </c>
      <c r="P240" s="11" t="str">
        <f t="shared" si="43"/>
        <v>1</v>
      </c>
      <c r="Q240" s="11" t="str">
        <f t="shared" si="44"/>
        <v>5</v>
      </c>
      <c r="R240" s="11" t="str">
        <f t="shared" si="45"/>
        <v>0</v>
      </c>
      <c r="S240" s="11" t="str">
        <f t="shared" si="46"/>
        <v>9</v>
      </c>
      <c r="T240" s="11" t="str">
        <f t="shared" si="47"/>
        <v>2</v>
      </c>
      <c r="U240" s="11" t="str">
        <f t="shared" si="48"/>
        <v>2</v>
      </c>
      <c r="V240" s="11" t="str">
        <f t="shared" si="49"/>
        <v>2</v>
      </c>
      <c r="W240" s="11" t="str">
        <f t="shared" si="50"/>
        <v>3</v>
      </c>
      <c r="X240" s="11" t="str">
        <f t="shared" si="51"/>
        <v>9</v>
      </c>
    </row>
    <row r="241" spans="1:24" x14ac:dyDescent="0.35">
      <c r="A241" s="5">
        <v>14101</v>
      </c>
      <c r="B241" s="5">
        <v>1150922240</v>
      </c>
      <c r="C241" s="5">
        <v>726631</v>
      </c>
      <c r="D241" s="5">
        <v>3763427</v>
      </c>
      <c r="E241" s="6" t="s">
        <v>70</v>
      </c>
      <c r="F241" s="6" t="s">
        <v>70</v>
      </c>
      <c r="G241" s="6" t="s">
        <v>70</v>
      </c>
      <c r="H241" s="7"/>
      <c r="I241" s="34" t="str">
        <f t="shared" si="39"/>
        <v>150922</v>
      </c>
      <c r="J241" s="31" t="str">
        <f t="shared" si="40"/>
        <v>01</v>
      </c>
      <c r="N241" s="12">
        <f t="shared" si="41"/>
        <v>0</v>
      </c>
      <c r="O241" s="11" t="str">
        <f t="shared" si="42"/>
        <v>1</v>
      </c>
      <c r="P241" s="11" t="str">
        <f t="shared" si="43"/>
        <v>1</v>
      </c>
      <c r="Q241" s="11" t="str">
        <f t="shared" si="44"/>
        <v>5</v>
      </c>
      <c r="R241" s="11" t="str">
        <f t="shared" si="45"/>
        <v>0</v>
      </c>
      <c r="S241" s="11" t="str">
        <f t="shared" si="46"/>
        <v>9</v>
      </c>
      <c r="T241" s="11" t="str">
        <f t="shared" si="47"/>
        <v>2</v>
      </c>
      <c r="U241" s="11" t="str">
        <f t="shared" si="48"/>
        <v>2</v>
      </c>
      <c r="V241" s="11" t="str">
        <f t="shared" si="49"/>
        <v>2</v>
      </c>
      <c r="W241" s="11" t="str">
        <f t="shared" si="50"/>
        <v>4</v>
      </c>
      <c r="X241" s="11" t="str">
        <f t="shared" si="51"/>
        <v>0</v>
      </c>
    </row>
    <row r="242" spans="1:24" x14ac:dyDescent="0.35">
      <c r="A242" s="5">
        <v>14102</v>
      </c>
      <c r="B242" s="5">
        <v>1150922241</v>
      </c>
      <c r="C242" s="5">
        <v>726630</v>
      </c>
      <c r="D242" s="5">
        <v>3763427</v>
      </c>
      <c r="E242" s="6" t="s">
        <v>70</v>
      </c>
      <c r="F242" s="6" t="s">
        <v>70</v>
      </c>
      <c r="G242" s="6" t="s">
        <v>70</v>
      </c>
      <c r="H242" s="7"/>
      <c r="I242" s="34" t="str">
        <f t="shared" si="39"/>
        <v>150922</v>
      </c>
      <c r="J242" s="31" t="str">
        <f t="shared" si="40"/>
        <v>01</v>
      </c>
      <c r="N242" s="12">
        <f t="shared" si="41"/>
        <v>0</v>
      </c>
      <c r="O242" s="11" t="str">
        <f t="shared" si="42"/>
        <v>1</v>
      </c>
      <c r="P242" s="11" t="str">
        <f t="shared" si="43"/>
        <v>1</v>
      </c>
      <c r="Q242" s="11" t="str">
        <f t="shared" si="44"/>
        <v>5</v>
      </c>
      <c r="R242" s="11" t="str">
        <f t="shared" si="45"/>
        <v>0</v>
      </c>
      <c r="S242" s="11" t="str">
        <f t="shared" si="46"/>
        <v>9</v>
      </c>
      <c r="T242" s="11" t="str">
        <f t="shared" si="47"/>
        <v>2</v>
      </c>
      <c r="U242" s="11" t="str">
        <f t="shared" si="48"/>
        <v>2</v>
      </c>
      <c r="V242" s="11" t="str">
        <f t="shared" si="49"/>
        <v>2</v>
      </c>
      <c r="W242" s="11" t="str">
        <f t="shared" si="50"/>
        <v>4</v>
      </c>
      <c r="X242" s="11" t="str">
        <f t="shared" si="51"/>
        <v>1</v>
      </c>
    </row>
    <row r="243" spans="1:24" x14ac:dyDescent="0.35">
      <c r="A243" s="5">
        <v>14103</v>
      </c>
      <c r="B243" s="5">
        <v>1150922242</v>
      </c>
      <c r="C243" s="5">
        <v>726629</v>
      </c>
      <c r="D243" s="5">
        <v>3763428</v>
      </c>
      <c r="E243" s="6" t="s">
        <v>70</v>
      </c>
      <c r="F243" s="6" t="s">
        <v>70</v>
      </c>
      <c r="G243" s="6" t="s">
        <v>70</v>
      </c>
      <c r="H243" s="7"/>
      <c r="I243" s="34" t="str">
        <f t="shared" si="39"/>
        <v>150922</v>
      </c>
      <c r="J243" s="31" t="str">
        <f t="shared" si="40"/>
        <v>01</v>
      </c>
      <c r="N243" s="12">
        <f t="shared" si="41"/>
        <v>0</v>
      </c>
      <c r="O243" s="11" t="str">
        <f t="shared" si="42"/>
        <v>1</v>
      </c>
      <c r="P243" s="11" t="str">
        <f t="shared" si="43"/>
        <v>1</v>
      </c>
      <c r="Q243" s="11" t="str">
        <f t="shared" si="44"/>
        <v>5</v>
      </c>
      <c r="R243" s="11" t="str">
        <f t="shared" si="45"/>
        <v>0</v>
      </c>
      <c r="S243" s="11" t="str">
        <f t="shared" si="46"/>
        <v>9</v>
      </c>
      <c r="T243" s="11" t="str">
        <f t="shared" si="47"/>
        <v>2</v>
      </c>
      <c r="U243" s="11" t="str">
        <f t="shared" si="48"/>
        <v>2</v>
      </c>
      <c r="V243" s="11" t="str">
        <f t="shared" si="49"/>
        <v>2</v>
      </c>
      <c r="W243" s="11" t="str">
        <f t="shared" si="50"/>
        <v>4</v>
      </c>
      <c r="X243" s="11" t="str">
        <f t="shared" si="51"/>
        <v>2</v>
      </c>
    </row>
    <row r="244" spans="1:24" x14ac:dyDescent="0.35">
      <c r="A244" s="5">
        <v>14104</v>
      </c>
      <c r="B244" s="5">
        <v>1150922243</v>
      </c>
      <c r="C244" s="5">
        <v>726597</v>
      </c>
      <c r="D244" s="5">
        <v>3763437</v>
      </c>
      <c r="E244" s="6" t="s">
        <v>70</v>
      </c>
      <c r="F244" s="6" t="s">
        <v>70</v>
      </c>
      <c r="G244" s="6" t="s">
        <v>70</v>
      </c>
      <c r="H244" s="7"/>
      <c r="I244" s="34" t="str">
        <f t="shared" si="39"/>
        <v>150922</v>
      </c>
      <c r="J244" s="31" t="str">
        <f t="shared" si="40"/>
        <v>01</v>
      </c>
      <c r="N244" s="12">
        <f t="shared" si="41"/>
        <v>0</v>
      </c>
      <c r="O244" s="11" t="str">
        <f t="shared" si="42"/>
        <v>1</v>
      </c>
      <c r="P244" s="11" t="str">
        <f t="shared" si="43"/>
        <v>1</v>
      </c>
      <c r="Q244" s="11" t="str">
        <f t="shared" si="44"/>
        <v>5</v>
      </c>
      <c r="R244" s="11" t="str">
        <f t="shared" si="45"/>
        <v>0</v>
      </c>
      <c r="S244" s="11" t="str">
        <f t="shared" si="46"/>
        <v>9</v>
      </c>
      <c r="T244" s="11" t="str">
        <f t="shared" si="47"/>
        <v>2</v>
      </c>
      <c r="U244" s="11" t="str">
        <f t="shared" si="48"/>
        <v>2</v>
      </c>
      <c r="V244" s="11" t="str">
        <f t="shared" si="49"/>
        <v>2</v>
      </c>
      <c r="W244" s="11" t="str">
        <f t="shared" si="50"/>
        <v>4</v>
      </c>
      <c r="X244" s="11" t="str">
        <f t="shared" si="51"/>
        <v>3</v>
      </c>
    </row>
    <row r="245" spans="1:24" x14ac:dyDescent="0.35">
      <c r="A245" s="5">
        <v>14105</v>
      </c>
      <c r="B245" s="5">
        <v>1150922244</v>
      </c>
      <c r="C245" s="5">
        <v>726566</v>
      </c>
      <c r="D245" s="5">
        <v>3763453</v>
      </c>
      <c r="E245" s="6" t="s">
        <v>70</v>
      </c>
      <c r="F245" s="6" t="s">
        <v>70</v>
      </c>
      <c r="G245" s="6" t="s">
        <v>70</v>
      </c>
      <c r="H245" s="7"/>
      <c r="I245" s="34" t="str">
        <f t="shared" si="39"/>
        <v>150922</v>
      </c>
      <c r="J245" s="31" t="str">
        <f t="shared" si="40"/>
        <v>01</v>
      </c>
      <c r="N245" s="12">
        <f t="shared" si="41"/>
        <v>0</v>
      </c>
      <c r="O245" s="11" t="str">
        <f t="shared" si="42"/>
        <v>1</v>
      </c>
      <c r="P245" s="11" t="str">
        <f t="shared" si="43"/>
        <v>1</v>
      </c>
      <c r="Q245" s="11" t="str">
        <f t="shared" si="44"/>
        <v>5</v>
      </c>
      <c r="R245" s="11" t="str">
        <f t="shared" si="45"/>
        <v>0</v>
      </c>
      <c r="S245" s="11" t="str">
        <f t="shared" si="46"/>
        <v>9</v>
      </c>
      <c r="T245" s="11" t="str">
        <f t="shared" si="47"/>
        <v>2</v>
      </c>
      <c r="U245" s="11" t="str">
        <f t="shared" si="48"/>
        <v>2</v>
      </c>
      <c r="V245" s="11" t="str">
        <f t="shared" si="49"/>
        <v>2</v>
      </c>
      <c r="W245" s="11" t="str">
        <f t="shared" si="50"/>
        <v>4</v>
      </c>
      <c r="X245" s="11" t="str">
        <f t="shared" si="51"/>
        <v>4</v>
      </c>
    </row>
    <row r="246" spans="1:24" x14ac:dyDescent="0.35">
      <c r="A246" s="5">
        <v>14106</v>
      </c>
      <c r="B246" s="5">
        <v>1150922245</v>
      </c>
      <c r="C246" s="5">
        <v>726534</v>
      </c>
      <c r="D246" s="5">
        <v>3763467</v>
      </c>
      <c r="E246" s="6" t="s">
        <v>70</v>
      </c>
      <c r="F246" s="6" t="s">
        <v>70</v>
      </c>
      <c r="G246" s="6" t="s">
        <v>70</v>
      </c>
      <c r="H246" s="7"/>
      <c r="I246" s="34" t="str">
        <f t="shared" si="39"/>
        <v>150922</v>
      </c>
      <c r="J246" s="31" t="str">
        <f t="shared" si="40"/>
        <v>01</v>
      </c>
      <c r="N246" s="12">
        <f t="shared" si="41"/>
        <v>0</v>
      </c>
      <c r="O246" s="11" t="str">
        <f t="shared" si="42"/>
        <v>1</v>
      </c>
      <c r="P246" s="11" t="str">
        <f t="shared" si="43"/>
        <v>1</v>
      </c>
      <c r="Q246" s="11" t="str">
        <f t="shared" si="44"/>
        <v>5</v>
      </c>
      <c r="R246" s="11" t="str">
        <f t="shared" si="45"/>
        <v>0</v>
      </c>
      <c r="S246" s="11" t="str">
        <f t="shared" si="46"/>
        <v>9</v>
      </c>
      <c r="T246" s="11" t="str">
        <f t="shared" si="47"/>
        <v>2</v>
      </c>
      <c r="U246" s="11" t="str">
        <f t="shared" si="48"/>
        <v>2</v>
      </c>
      <c r="V246" s="11" t="str">
        <f t="shared" si="49"/>
        <v>2</v>
      </c>
      <c r="W246" s="11" t="str">
        <f t="shared" si="50"/>
        <v>4</v>
      </c>
      <c r="X246" s="11" t="str">
        <f t="shared" si="51"/>
        <v>5</v>
      </c>
    </row>
    <row r="247" spans="1:24" x14ac:dyDescent="0.35">
      <c r="A247" s="5">
        <v>14107</v>
      </c>
      <c r="B247" s="5">
        <v>1150922246</v>
      </c>
      <c r="C247" s="5">
        <v>726514</v>
      </c>
      <c r="D247" s="5">
        <v>3763450</v>
      </c>
      <c r="E247" s="6" t="s">
        <v>70</v>
      </c>
      <c r="F247" s="6" t="s">
        <v>70</v>
      </c>
      <c r="G247" s="6" t="s">
        <v>70</v>
      </c>
      <c r="H247" s="7"/>
      <c r="I247" s="34" t="str">
        <f t="shared" si="39"/>
        <v>150922</v>
      </c>
      <c r="J247" s="31" t="str">
        <f t="shared" si="40"/>
        <v>01</v>
      </c>
      <c r="N247" s="12">
        <f t="shared" si="41"/>
        <v>0</v>
      </c>
      <c r="O247" s="11" t="str">
        <f t="shared" si="42"/>
        <v>1</v>
      </c>
      <c r="P247" s="11" t="str">
        <f t="shared" si="43"/>
        <v>1</v>
      </c>
      <c r="Q247" s="11" t="str">
        <f t="shared" si="44"/>
        <v>5</v>
      </c>
      <c r="R247" s="11" t="str">
        <f t="shared" si="45"/>
        <v>0</v>
      </c>
      <c r="S247" s="11" t="str">
        <f t="shared" si="46"/>
        <v>9</v>
      </c>
      <c r="T247" s="11" t="str">
        <f t="shared" si="47"/>
        <v>2</v>
      </c>
      <c r="U247" s="11" t="str">
        <f t="shared" si="48"/>
        <v>2</v>
      </c>
      <c r="V247" s="11" t="str">
        <f t="shared" si="49"/>
        <v>2</v>
      </c>
      <c r="W247" s="11" t="str">
        <f t="shared" si="50"/>
        <v>4</v>
      </c>
      <c r="X247" s="11" t="str">
        <f t="shared" si="51"/>
        <v>6</v>
      </c>
    </row>
    <row r="248" spans="1:24" s="19" customFormat="1" x14ac:dyDescent="0.35">
      <c r="A248" s="8">
        <v>14108</v>
      </c>
      <c r="B248" s="8">
        <v>1160922247</v>
      </c>
      <c r="C248" s="8">
        <v>726862</v>
      </c>
      <c r="D248" s="8">
        <v>3763313</v>
      </c>
      <c r="E248" s="22" t="s">
        <v>70</v>
      </c>
      <c r="F248" s="22" t="s">
        <v>70</v>
      </c>
      <c r="G248" s="22" t="s">
        <v>70</v>
      </c>
      <c r="H248" s="23"/>
      <c r="I248" s="34" t="str">
        <f t="shared" si="39"/>
        <v>160922</v>
      </c>
      <c r="J248" s="31" t="str">
        <f t="shared" si="40"/>
        <v>01</v>
      </c>
      <c r="N248" s="24">
        <f t="shared" si="41"/>
        <v>0</v>
      </c>
      <c r="O248" s="25" t="str">
        <f t="shared" si="42"/>
        <v>1</v>
      </c>
      <c r="P248" s="25" t="str">
        <f t="shared" si="43"/>
        <v>1</v>
      </c>
      <c r="Q248" s="25" t="str">
        <f t="shared" si="44"/>
        <v>6</v>
      </c>
      <c r="R248" s="25" t="str">
        <f t="shared" si="45"/>
        <v>0</v>
      </c>
      <c r="S248" s="25" t="str">
        <f t="shared" si="46"/>
        <v>9</v>
      </c>
      <c r="T248" s="25" t="str">
        <f t="shared" si="47"/>
        <v>2</v>
      </c>
      <c r="U248" s="25" t="str">
        <f t="shared" si="48"/>
        <v>2</v>
      </c>
      <c r="V248" s="25" t="str">
        <f t="shared" si="49"/>
        <v>2</v>
      </c>
      <c r="W248" s="25" t="str">
        <f t="shared" si="50"/>
        <v>4</v>
      </c>
      <c r="X248" s="25" t="str">
        <f t="shared" si="51"/>
        <v>7</v>
      </c>
    </row>
    <row r="249" spans="1:24" x14ac:dyDescent="0.35">
      <c r="A249" s="5">
        <v>14109</v>
      </c>
      <c r="B249" s="5">
        <v>1160922248</v>
      </c>
      <c r="C249" s="5">
        <v>726861</v>
      </c>
      <c r="D249" s="5">
        <v>3763314</v>
      </c>
      <c r="E249" s="6" t="s">
        <v>70</v>
      </c>
      <c r="F249" s="6" t="s">
        <v>70</v>
      </c>
      <c r="G249" s="6" t="s">
        <v>70</v>
      </c>
      <c r="H249" s="7"/>
      <c r="I249" s="34" t="str">
        <f t="shared" si="39"/>
        <v>160922</v>
      </c>
      <c r="J249" s="31" t="str">
        <f t="shared" si="40"/>
        <v>01</v>
      </c>
      <c r="N249" s="12">
        <f t="shared" si="41"/>
        <v>0</v>
      </c>
      <c r="O249" s="11" t="str">
        <f t="shared" si="42"/>
        <v>1</v>
      </c>
      <c r="P249" s="11" t="str">
        <f t="shared" si="43"/>
        <v>1</v>
      </c>
      <c r="Q249" s="11" t="str">
        <f t="shared" si="44"/>
        <v>6</v>
      </c>
      <c r="R249" s="11" t="str">
        <f t="shared" si="45"/>
        <v>0</v>
      </c>
      <c r="S249" s="11" t="str">
        <f t="shared" si="46"/>
        <v>9</v>
      </c>
      <c r="T249" s="11" t="str">
        <f t="shared" si="47"/>
        <v>2</v>
      </c>
      <c r="U249" s="11" t="str">
        <f t="shared" si="48"/>
        <v>2</v>
      </c>
      <c r="V249" s="11" t="str">
        <f t="shared" si="49"/>
        <v>2</v>
      </c>
      <c r="W249" s="11" t="str">
        <f t="shared" si="50"/>
        <v>4</v>
      </c>
      <c r="X249" s="11" t="str">
        <f t="shared" si="51"/>
        <v>8</v>
      </c>
    </row>
    <row r="250" spans="1:24" x14ac:dyDescent="0.35">
      <c r="A250" s="5">
        <v>14110</v>
      </c>
      <c r="B250" s="5">
        <v>1160922249</v>
      </c>
      <c r="C250" s="5">
        <v>726860</v>
      </c>
      <c r="D250" s="5">
        <v>3763314</v>
      </c>
      <c r="E250" s="6" t="s">
        <v>70</v>
      </c>
      <c r="F250" s="6" t="s">
        <v>70</v>
      </c>
      <c r="G250" s="6" t="s">
        <v>70</v>
      </c>
      <c r="H250" s="7"/>
      <c r="I250" s="34" t="str">
        <f t="shared" si="39"/>
        <v>160922</v>
      </c>
      <c r="J250" s="31" t="str">
        <f t="shared" si="40"/>
        <v>01</v>
      </c>
      <c r="N250" s="12">
        <f t="shared" si="41"/>
        <v>0</v>
      </c>
      <c r="O250" s="11" t="str">
        <f t="shared" si="42"/>
        <v>1</v>
      </c>
      <c r="P250" s="11" t="str">
        <f t="shared" si="43"/>
        <v>1</v>
      </c>
      <c r="Q250" s="11" t="str">
        <f t="shared" si="44"/>
        <v>6</v>
      </c>
      <c r="R250" s="11" t="str">
        <f t="shared" si="45"/>
        <v>0</v>
      </c>
      <c r="S250" s="11" t="str">
        <f t="shared" si="46"/>
        <v>9</v>
      </c>
      <c r="T250" s="11" t="str">
        <f t="shared" si="47"/>
        <v>2</v>
      </c>
      <c r="U250" s="11" t="str">
        <f t="shared" si="48"/>
        <v>2</v>
      </c>
      <c r="V250" s="11" t="str">
        <f t="shared" si="49"/>
        <v>2</v>
      </c>
      <c r="W250" s="11" t="str">
        <f t="shared" si="50"/>
        <v>4</v>
      </c>
      <c r="X250" s="11" t="str">
        <f t="shared" si="51"/>
        <v>9</v>
      </c>
    </row>
    <row r="251" spans="1:24" x14ac:dyDescent="0.35">
      <c r="A251" s="5">
        <v>14111</v>
      </c>
      <c r="B251" s="5">
        <v>1160922250</v>
      </c>
      <c r="C251" s="5">
        <v>726798</v>
      </c>
      <c r="D251" s="5">
        <v>3763313</v>
      </c>
      <c r="E251" s="6" t="s">
        <v>70</v>
      </c>
      <c r="F251" s="6" t="s">
        <v>70</v>
      </c>
      <c r="G251" s="6" t="s">
        <v>70</v>
      </c>
      <c r="H251" s="7"/>
      <c r="I251" s="34" t="str">
        <f t="shared" si="39"/>
        <v>160922</v>
      </c>
      <c r="J251" s="31" t="str">
        <f t="shared" si="40"/>
        <v>01</v>
      </c>
      <c r="N251" s="12">
        <f t="shared" si="41"/>
        <v>0</v>
      </c>
      <c r="O251" s="11" t="str">
        <f t="shared" si="42"/>
        <v>1</v>
      </c>
      <c r="P251" s="11" t="str">
        <f t="shared" si="43"/>
        <v>1</v>
      </c>
      <c r="Q251" s="11" t="str">
        <f t="shared" si="44"/>
        <v>6</v>
      </c>
      <c r="R251" s="11" t="str">
        <f t="shared" si="45"/>
        <v>0</v>
      </c>
      <c r="S251" s="11" t="str">
        <f t="shared" si="46"/>
        <v>9</v>
      </c>
      <c r="T251" s="11" t="str">
        <f t="shared" si="47"/>
        <v>2</v>
      </c>
      <c r="U251" s="11" t="str">
        <f t="shared" si="48"/>
        <v>2</v>
      </c>
      <c r="V251" s="11" t="str">
        <f t="shared" si="49"/>
        <v>2</v>
      </c>
      <c r="W251" s="11" t="str">
        <f t="shared" si="50"/>
        <v>5</v>
      </c>
      <c r="X251" s="11" t="str">
        <f t="shared" si="51"/>
        <v>0</v>
      </c>
    </row>
    <row r="252" spans="1:24" x14ac:dyDescent="0.35">
      <c r="A252" s="5">
        <v>14112</v>
      </c>
      <c r="B252" s="5">
        <v>1160922251</v>
      </c>
      <c r="C252" s="5">
        <v>726840</v>
      </c>
      <c r="D252" s="5">
        <v>3763265</v>
      </c>
      <c r="E252" s="6" t="s">
        <v>70</v>
      </c>
      <c r="F252" s="6" t="s">
        <v>70</v>
      </c>
      <c r="G252" s="6" t="s">
        <v>70</v>
      </c>
      <c r="H252" s="7"/>
      <c r="I252" s="34" t="str">
        <f t="shared" si="39"/>
        <v>160922</v>
      </c>
      <c r="J252" s="31" t="str">
        <f t="shared" si="40"/>
        <v>01</v>
      </c>
      <c r="N252" s="12">
        <f t="shared" si="41"/>
        <v>0</v>
      </c>
      <c r="O252" s="11" t="str">
        <f t="shared" si="42"/>
        <v>1</v>
      </c>
      <c r="P252" s="11" t="str">
        <f t="shared" si="43"/>
        <v>1</v>
      </c>
      <c r="Q252" s="11" t="str">
        <f t="shared" si="44"/>
        <v>6</v>
      </c>
      <c r="R252" s="11" t="str">
        <f t="shared" si="45"/>
        <v>0</v>
      </c>
      <c r="S252" s="11" t="str">
        <f t="shared" si="46"/>
        <v>9</v>
      </c>
      <c r="T252" s="11" t="str">
        <f t="shared" si="47"/>
        <v>2</v>
      </c>
      <c r="U252" s="11" t="str">
        <f t="shared" si="48"/>
        <v>2</v>
      </c>
      <c r="V252" s="11" t="str">
        <f t="shared" si="49"/>
        <v>2</v>
      </c>
      <c r="W252" s="11" t="str">
        <f t="shared" si="50"/>
        <v>5</v>
      </c>
      <c r="X252" s="11" t="str">
        <f t="shared" si="51"/>
        <v>1</v>
      </c>
    </row>
    <row r="253" spans="1:24" x14ac:dyDescent="0.35">
      <c r="A253" s="5">
        <v>14113</v>
      </c>
      <c r="B253" s="5">
        <v>1160922252</v>
      </c>
      <c r="C253" s="5">
        <v>726828</v>
      </c>
      <c r="D253" s="5">
        <v>3763238</v>
      </c>
      <c r="E253" s="6" t="s">
        <v>70</v>
      </c>
      <c r="F253" s="6" t="s">
        <v>70</v>
      </c>
      <c r="G253" s="6" t="s">
        <v>70</v>
      </c>
      <c r="H253" s="7"/>
      <c r="I253" s="34" t="str">
        <f t="shared" si="39"/>
        <v>160922</v>
      </c>
      <c r="J253" s="31" t="str">
        <f t="shared" si="40"/>
        <v>01</v>
      </c>
      <c r="N253" s="12">
        <f t="shared" si="41"/>
        <v>0</v>
      </c>
      <c r="O253" s="11" t="str">
        <f t="shared" si="42"/>
        <v>1</v>
      </c>
      <c r="P253" s="11" t="str">
        <f t="shared" si="43"/>
        <v>1</v>
      </c>
      <c r="Q253" s="11" t="str">
        <f t="shared" si="44"/>
        <v>6</v>
      </c>
      <c r="R253" s="11" t="str">
        <f t="shared" si="45"/>
        <v>0</v>
      </c>
      <c r="S253" s="11" t="str">
        <f t="shared" si="46"/>
        <v>9</v>
      </c>
      <c r="T253" s="11" t="str">
        <f t="shared" si="47"/>
        <v>2</v>
      </c>
      <c r="U253" s="11" t="str">
        <f t="shared" si="48"/>
        <v>2</v>
      </c>
      <c r="V253" s="11" t="str">
        <f t="shared" si="49"/>
        <v>2</v>
      </c>
      <c r="W253" s="11" t="str">
        <f t="shared" si="50"/>
        <v>5</v>
      </c>
      <c r="X253" s="11" t="str">
        <f t="shared" si="51"/>
        <v>2</v>
      </c>
    </row>
    <row r="254" spans="1:24" x14ac:dyDescent="0.35">
      <c r="A254" s="5">
        <v>14114</v>
      </c>
      <c r="B254" s="5">
        <v>1160922253</v>
      </c>
      <c r="C254" s="5">
        <v>726879</v>
      </c>
      <c r="D254" s="5">
        <v>3763307</v>
      </c>
      <c r="E254" s="6" t="s">
        <v>70</v>
      </c>
      <c r="F254" s="6" t="s">
        <v>70</v>
      </c>
      <c r="G254" s="6" t="s">
        <v>70</v>
      </c>
      <c r="H254" s="7"/>
      <c r="I254" s="34" t="str">
        <f t="shared" si="39"/>
        <v>160922</v>
      </c>
      <c r="J254" s="31" t="str">
        <f t="shared" si="40"/>
        <v>01</v>
      </c>
      <c r="N254" s="12">
        <f t="shared" si="41"/>
        <v>0</v>
      </c>
      <c r="O254" s="11" t="str">
        <f t="shared" si="42"/>
        <v>1</v>
      </c>
      <c r="P254" s="11" t="str">
        <f t="shared" si="43"/>
        <v>1</v>
      </c>
      <c r="Q254" s="11" t="str">
        <f t="shared" si="44"/>
        <v>6</v>
      </c>
      <c r="R254" s="11" t="str">
        <f t="shared" si="45"/>
        <v>0</v>
      </c>
      <c r="S254" s="11" t="str">
        <f t="shared" si="46"/>
        <v>9</v>
      </c>
      <c r="T254" s="11" t="str">
        <f t="shared" si="47"/>
        <v>2</v>
      </c>
      <c r="U254" s="11" t="str">
        <f t="shared" si="48"/>
        <v>2</v>
      </c>
      <c r="V254" s="11" t="str">
        <f t="shared" si="49"/>
        <v>2</v>
      </c>
      <c r="W254" s="11" t="str">
        <f t="shared" si="50"/>
        <v>5</v>
      </c>
      <c r="X254" s="11" t="str">
        <f t="shared" si="51"/>
        <v>3</v>
      </c>
    </row>
    <row r="255" spans="1:24" x14ac:dyDescent="0.35">
      <c r="A255" s="5">
        <v>14115</v>
      </c>
      <c r="B255" s="5">
        <v>1160922254</v>
      </c>
      <c r="C255" s="5">
        <v>726907</v>
      </c>
      <c r="D255" s="5">
        <v>3763294</v>
      </c>
      <c r="E255" s="6" t="s">
        <v>70</v>
      </c>
      <c r="F255" s="6" t="s">
        <v>70</v>
      </c>
      <c r="G255" s="6" t="s">
        <v>70</v>
      </c>
      <c r="H255" s="7"/>
      <c r="I255" s="34" t="str">
        <f t="shared" si="39"/>
        <v>160922</v>
      </c>
      <c r="J255" s="31" t="str">
        <f t="shared" si="40"/>
        <v>01</v>
      </c>
      <c r="N255" s="12">
        <f t="shared" si="41"/>
        <v>0</v>
      </c>
      <c r="O255" s="11" t="str">
        <f t="shared" si="42"/>
        <v>1</v>
      </c>
      <c r="P255" s="11" t="str">
        <f t="shared" si="43"/>
        <v>1</v>
      </c>
      <c r="Q255" s="11" t="str">
        <f t="shared" si="44"/>
        <v>6</v>
      </c>
      <c r="R255" s="11" t="str">
        <f t="shared" si="45"/>
        <v>0</v>
      </c>
      <c r="S255" s="11" t="str">
        <f t="shared" si="46"/>
        <v>9</v>
      </c>
      <c r="T255" s="11" t="str">
        <f t="shared" si="47"/>
        <v>2</v>
      </c>
      <c r="U255" s="11" t="str">
        <f t="shared" si="48"/>
        <v>2</v>
      </c>
      <c r="V255" s="11" t="str">
        <f t="shared" si="49"/>
        <v>2</v>
      </c>
      <c r="W255" s="11" t="str">
        <f t="shared" si="50"/>
        <v>5</v>
      </c>
      <c r="X255" s="11" t="str">
        <f t="shared" si="51"/>
        <v>4</v>
      </c>
    </row>
    <row r="256" spans="1:24" x14ac:dyDescent="0.35">
      <c r="A256" s="5">
        <v>14116</v>
      </c>
      <c r="B256" s="5">
        <v>1160922255</v>
      </c>
      <c r="C256" s="5">
        <v>726941</v>
      </c>
      <c r="D256" s="5">
        <v>3763279</v>
      </c>
      <c r="E256" s="6" t="s">
        <v>70</v>
      </c>
      <c r="F256" s="6" t="s">
        <v>70</v>
      </c>
      <c r="G256" s="6" t="s">
        <v>70</v>
      </c>
      <c r="H256" s="7"/>
      <c r="I256" s="34" t="str">
        <f t="shared" si="39"/>
        <v>160922</v>
      </c>
      <c r="J256" s="31" t="str">
        <f t="shared" si="40"/>
        <v>01</v>
      </c>
      <c r="N256" s="12">
        <f t="shared" si="41"/>
        <v>0</v>
      </c>
      <c r="O256" s="11" t="str">
        <f t="shared" si="42"/>
        <v>1</v>
      </c>
      <c r="P256" s="11" t="str">
        <f t="shared" si="43"/>
        <v>1</v>
      </c>
      <c r="Q256" s="11" t="str">
        <f t="shared" si="44"/>
        <v>6</v>
      </c>
      <c r="R256" s="11" t="str">
        <f t="shared" si="45"/>
        <v>0</v>
      </c>
      <c r="S256" s="11" t="str">
        <f t="shared" si="46"/>
        <v>9</v>
      </c>
      <c r="T256" s="11" t="str">
        <f t="shared" si="47"/>
        <v>2</v>
      </c>
      <c r="U256" s="11" t="str">
        <f t="shared" si="48"/>
        <v>2</v>
      </c>
      <c r="V256" s="11" t="str">
        <f t="shared" si="49"/>
        <v>2</v>
      </c>
      <c r="W256" s="11" t="str">
        <f t="shared" si="50"/>
        <v>5</v>
      </c>
      <c r="X256" s="11" t="str">
        <f t="shared" si="51"/>
        <v>5</v>
      </c>
    </row>
    <row r="257" spans="1:24" x14ac:dyDescent="0.35">
      <c r="A257" s="5">
        <v>14117</v>
      </c>
      <c r="B257" s="5">
        <v>1160922256</v>
      </c>
      <c r="C257" s="5">
        <v>726942</v>
      </c>
      <c r="D257" s="5">
        <v>3763279</v>
      </c>
      <c r="E257" s="6" t="s">
        <v>70</v>
      </c>
      <c r="F257" s="6" t="s">
        <v>70</v>
      </c>
      <c r="G257" s="6" t="s">
        <v>70</v>
      </c>
      <c r="H257" s="7"/>
      <c r="I257" s="34" t="str">
        <f t="shared" si="39"/>
        <v>160922</v>
      </c>
      <c r="J257" s="31" t="str">
        <f t="shared" si="40"/>
        <v>01</v>
      </c>
      <c r="N257" s="12">
        <f t="shared" si="41"/>
        <v>0</v>
      </c>
      <c r="O257" s="11" t="str">
        <f t="shared" si="42"/>
        <v>1</v>
      </c>
      <c r="P257" s="11" t="str">
        <f t="shared" si="43"/>
        <v>1</v>
      </c>
      <c r="Q257" s="11" t="str">
        <f t="shared" si="44"/>
        <v>6</v>
      </c>
      <c r="R257" s="11" t="str">
        <f t="shared" si="45"/>
        <v>0</v>
      </c>
      <c r="S257" s="11" t="str">
        <f t="shared" si="46"/>
        <v>9</v>
      </c>
      <c r="T257" s="11" t="str">
        <f t="shared" si="47"/>
        <v>2</v>
      </c>
      <c r="U257" s="11" t="str">
        <f t="shared" si="48"/>
        <v>2</v>
      </c>
      <c r="V257" s="11" t="str">
        <f t="shared" si="49"/>
        <v>2</v>
      </c>
      <c r="W257" s="11" t="str">
        <f t="shared" si="50"/>
        <v>5</v>
      </c>
      <c r="X257" s="11" t="str">
        <f t="shared" si="51"/>
        <v>6</v>
      </c>
    </row>
    <row r="258" spans="1:24" x14ac:dyDescent="0.35">
      <c r="A258" s="5">
        <v>14118</v>
      </c>
      <c r="B258" s="5">
        <v>1160922257</v>
      </c>
      <c r="C258" s="5">
        <v>726940</v>
      </c>
      <c r="D258" s="5">
        <v>3763279</v>
      </c>
      <c r="E258" s="6" t="s">
        <v>70</v>
      </c>
      <c r="F258" s="6" t="s">
        <v>70</v>
      </c>
      <c r="G258" s="6" t="s">
        <v>70</v>
      </c>
      <c r="H258" s="7"/>
      <c r="I258" s="34" t="str">
        <f t="shared" si="39"/>
        <v>160922</v>
      </c>
      <c r="J258" s="31" t="str">
        <f t="shared" si="40"/>
        <v>01</v>
      </c>
      <c r="N258" s="12">
        <f t="shared" si="41"/>
        <v>0</v>
      </c>
      <c r="O258" s="11" t="str">
        <f t="shared" si="42"/>
        <v>1</v>
      </c>
      <c r="P258" s="11" t="str">
        <f t="shared" si="43"/>
        <v>1</v>
      </c>
      <c r="Q258" s="11" t="str">
        <f t="shared" si="44"/>
        <v>6</v>
      </c>
      <c r="R258" s="11" t="str">
        <f t="shared" si="45"/>
        <v>0</v>
      </c>
      <c r="S258" s="11" t="str">
        <f t="shared" si="46"/>
        <v>9</v>
      </c>
      <c r="T258" s="11" t="str">
        <f t="shared" si="47"/>
        <v>2</v>
      </c>
      <c r="U258" s="11" t="str">
        <f t="shared" si="48"/>
        <v>2</v>
      </c>
      <c r="V258" s="11" t="str">
        <f t="shared" si="49"/>
        <v>2</v>
      </c>
      <c r="W258" s="11" t="str">
        <f t="shared" si="50"/>
        <v>5</v>
      </c>
      <c r="X258" s="11" t="str">
        <f t="shared" si="51"/>
        <v>7</v>
      </c>
    </row>
    <row r="259" spans="1:24" x14ac:dyDescent="0.35">
      <c r="A259" s="5">
        <v>14119</v>
      </c>
      <c r="B259" s="5">
        <v>1160922258</v>
      </c>
      <c r="C259" s="5">
        <v>726994</v>
      </c>
      <c r="D259" s="5">
        <v>3763250</v>
      </c>
      <c r="E259" s="6" t="s">
        <v>70</v>
      </c>
      <c r="F259" s="6" t="s">
        <v>70</v>
      </c>
      <c r="G259" s="6" t="s">
        <v>70</v>
      </c>
      <c r="H259" s="7"/>
      <c r="I259" s="34" t="str">
        <f t="shared" ref="I259:I322" si="52">MID(B259,IF(LEN(B259)=10,2,3),6)</f>
        <v>160922</v>
      </c>
      <c r="J259" s="31" t="str">
        <f t="shared" ref="J259:J322" si="53">TEXT(MID(B259,1,IF(LEN(B259)=10,1,2)),"00")</f>
        <v>01</v>
      </c>
      <c r="N259" s="12">
        <f t="shared" ref="N259:N322" si="54">IFERROR(MID($B259,LEN($B259)-10,1),0)</f>
        <v>0</v>
      </c>
      <c r="O259" s="11" t="str">
        <f t="shared" ref="O259:O322" si="55">MID($B259,LEN($B259)-9,1)</f>
        <v>1</v>
      </c>
      <c r="P259" s="11" t="str">
        <f t="shared" ref="P259:P322" si="56">MID($B259,LEN($B259)-8,1)</f>
        <v>1</v>
      </c>
      <c r="Q259" s="11" t="str">
        <f t="shared" ref="Q259:Q322" si="57">MID($B259,LEN($B259)-7,1)</f>
        <v>6</v>
      </c>
      <c r="R259" s="11" t="str">
        <f t="shared" ref="R259:R322" si="58">MID($B259,LEN($B259)-6,1)</f>
        <v>0</v>
      </c>
      <c r="S259" s="11" t="str">
        <f t="shared" ref="S259:S322" si="59">MID($B259,LEN($B259)-5,1)</f>
        <v>9</v>
      </c>
      <c r="T259" s="11" t="str">
        <f t="shared" ref="T259:T322" si="60">MID($B259,LEN($B259)-4,1)</f>
        <v>2</v>
      </c>
      <c r="U259" s="11" t="str">
        <f t="shared" ref="U259:U322" si="61">MID($B259,LEN($B259)-3,1)</f>
        <v>2</v>
      </c>
      <c r="V259" s="11" t="str">
        <f t="shared" ref="V259:V322" si="62">MID($B259,LEN($B259)-2,1)</f>
        <v>2</v>
      </c>
      <c r="W259" s="11" t="str">
        <f t="shared" ref="W259:W322" si="63">MID($B259,LEN($B259)-1,1)</f>
        <v>5</v>
      </c>
      <c r="X259" s="11" t="str">
        <f t="shared" ref="X259:X322" si="64">MID($B259,LEN($B259)-0,1)</f>
        <v>8</v>
      </c>
    </row>
    <row r="260" spans="1:24" x14ac:dyDescent="0.35">
      <c r="A260" s="5">
        <v>14120</v>
      </c>
      <c r="B260" s="5">
        <v>1160922259</v>
      </c>
      <c r="C260" s="5">
        <v>726973</v>
      </c>
      <c r="D260" s="5">
        <v>3763206</v>
      </c>
      <c r="E260" s="6" t="s">
        <v>70</v>
      </c>
      <c r="F260" s="6" t="s">
        <v>70</v>
      </c>
      <c r="G260" s="6" t="s">
        <v>70</v>
      </c>
      <c r="H260" s="7"/>
      <c r="I260" s="34" t="str">
        <f t="shared" si="52"/>
        <v>160922</v>
      </c>
      <c r="J260" s="31" t="str">
        <f t="shared" si="53"/>
        <v>01</v>
      </c>
      <c r="N260" s="12">
        <f t="shared" si="54"/>
        <v>0</v>
      </c>
      <c r="O260" s="11" t="str">
        <f t="shared" si="55"/>
        <v>1</v>
      </c>
      <c r="P260" s="11" t="str">
        <f t="shared" si="56"/>
        <v>1</v>
      </c>
      <c r="Q260" s="11" t="str">
        <f t="shared" si="57"/>
        <v>6</v>
      </c>
      <c r="R260" s="11" t="str">
        <f t="shared" si="58"/>
        <v>0</v>
      </c>
      <c r="S260" s="11" t="str">
        <f t="shared" si="59"/>
        <v>9</v>
      </c>
      <c r="T260" s="11" t="str">
        <f t="shared" si="60"/>
        <v>2</v>
      </c>
      <c r="U260" s="11" t="str">
        <f t="shared" si="61"/>
        <v>2</v>
      </c>
      <c r="V260" s="11" t="str">
        <f t="shared" si="62"/>
        <v>2</v>
      </c>
      <c r="W260" s="11" t="str">
        <f t="shared" si="63"/>
        <v>5</v>
      </c>
      <c r="X260" s="11" t="str">
        <f t="shared" si="64"/>
        <v>9</v>
      </c>
    </row>
    <row r="261" spans="1:24" x14ac:dyDescent="0.35">
      <c r="A261" s="5">
        <v>14121</v>
      </c>
      <c r="B261" s="5">
        <v>1160922260</v>
      </c>
      <c r="C261" s="5">
        <v>726930</v>
      </c>
      <c r="D261" s="5">
        <v>3763223</v>
      </c>
      <c r="E261" s="6" t="s">
        <v>70</v>
      </c>
      <c r="F261" s="6" t="s">
        <v>70</v>
      </c>
      <c r="G261" s="6" t="s">
        <v>70</v>
      </c>
      <c r="H261" s="7"/>
      <c r="I261" s="34" t="str">
        <f t="shared" si="52"/>
        <v>160922</v>
      </c>
      <c r="J261" s="31" t="str">
        <f t="shared" si="53"/>
        <v>01</v>
      </c>
      <c r="N261" s="12">
        <f t="shared" si="54"/>
        <v>0</v>
      </c>
      <c r="O261" s="11" t="str">
        <f t="shared" si="55"/>
        <v>1</v>
      </c>
      <c r="P261" s="11" t="str">
        <f t="shared" si="56"/>
        <v>1</v>
      </c>
      <c r="Q261" s="11" t="str">
        <f t="shared" si="57"/>
        <v>6</v>
      </c>
      <c r="R261" s="11" t="str">
        <f t="shared" si="58"/>
        <v>0</v>
      </c>
      <c r="S261" s="11" t="str">
        <f t="shared" si="59"/>
        <v>9</v>
      </c>
      <c r="T261" s="11" t="str">
        <f t="shared" si="60"/>
        <v>2</v>
      </c>
      <c r="U261" s="11" t="str">
        <f t="shared" si="61"/>
        <v>2</v>
      </c>
      <c r="V261" s="11" t="str">
        <f t="shared" si="62"/>
        <v>2</v>
      </c>
      <c r="W261" s="11" t="str">
        <f t="shared" si="63"/>
        <v>6</v>
      </c>
      <c r="X261" s="11" t="str">
        <f t="shared" si="64"/>
        <v>0</v>
      </c>
    </row>
    <row r="262" spans="1:24" x14ac:dyDescent="0.35">
      <c r="A262" s="5">
        <v>14122</v>
      </c>
      <c r="B262" s="5">
        <v>1160922261</v>
      </c>
      <c r="C262" s="5">
        <v>727035</v>
      </c>
      <c r="D262" s="5">
        <v>3763233</v>
      </c>
      <c r="E262" s="6" t="s">
        <v>70</v>
      </c>
      <c r="F262" s="6" t="s">
        <v>70</v>
      </c>
      <c r="G262" s="6" t="s">
        <v>70</v>
      </c>
      <c r="H262" s="7"/>
      <c r="I262" s="34" t="str">
        <f t="shared" si="52"/>
        <v>160922</v>
      </c>
      <c r="J262" s="31" t="str">
        <f t="shared" si="53"/>
        <v>01</v>
      </c>
      <c r="N262" s="12">
        <f t="shared" si="54"/>
        <v>0</v>
      </c>
      <c r="O262" s="11" t="str">
        <f t="shared" si="55"/>
        <v>1</v>
      </c>
      <c r="P262" s="11" t="str">
        <f t="shared" si="56"/>
        <v>1</v>
      </c>
      <c r="Q262" s="11" t="str">
        <f t="shared" si="57"/>
        <v>6</v>
      </c>
      <c r="R262" s="11" t="str">
        <f t="shared" si="58"/>
        <v>0</v>
      </c>
      <c r="S262" s="11" t="str">
        <f t="shared" si="59"/>
        <v>9</v>
      </c>
      <c r="T262" s="11" t="str">
        <f t="shared" si="60"/>
        <v>2</v>
      </c>
      <c r="U262" s="11" t="str">
        <f t="shared" si="61"/>
        <v>2</v>
      </c>
      <c r="V262" s="11" t="str">
        <f t="shared" si="62"/>
        <v>2</v>
      </c>
      <c r="W262" s="11" t="str">
        <f t="shared" si="63"/>
        <v>6</v>
      </c>
      <c r="X262" s="11" t="str">
        <f t="shared" si="64"/>
        <v>1</v>
      </c>
    </row>
    <row r="263" spans="1:24" x14ac:dyDescent="0.35">
      <c r="A263" s="5">
        <v>14123</v>
      </c>
      <c r="B263" s="5">
        <v>1160922262</v>
      </c>
      <c r="C263" s="5">
        <v>727035</v>
      </c>
      <c r="D263" s="5">
        <v>3763233</v>
      </c>
      <c r="E263" s="6" t="s">
        <v>70</v>
      </c>
      <c r="F263" s="6" t="s">
        <v>70</v>
      </c>
      <c r="G263" s="6" t="s">
        <v>70</v>
      </c>
      <c r="H263" s="7"/>
      <c r="I263" s="34" t="str">
        <f t="shared" si="52"/>
        <v>160922</v>
      </c>
      <c r="J263" s="31" t="str">
        <f t="shared" si="53"/>
        <v>01</v>
      </c>
      <c r="N263" s="12">
        <f t="shared" si="54"/>
        <v>0</v>
      </c>
      <c r="O263" s="11" t="str">
        <f t="shared" si="55"/>
        <v>1</v>
      </c>
      <c r="P263" s="11" t="str">
        <f t="shared" si="56"/>
        <v>1</v>
      </c>
      <c r="Q263" s="11" t="str">
        <f t="shared" si="57"/>
        <v>6</v>
      </c>
      <c r="R263" s="11" t="str">
        <f t="shared" si="58"/>
        <v>0</v>
      </c>
      <c r="S263" s="11" t="str">
        <f t="shared" si="59"/>
        <v>9</v>
      </c>
      <c r="T263" s="11" t="str">
        <f t="shared" si="60"/>
        <v>2</v>
      </c>
      <c r="U263" s="11" t="str">
        <f t="shared" si="61"/>
        <v>2</v>
      </c>
      <c r="V263" s="11" t="str">
        <f t="shared" si="62"/>
        <v>2</v>
      </c>
      <c r="W263" s="11" t="str">
        <f t="shared" si="63"/>
        <v>6</v>
      </c>
      <c r="X263" s="11" t="str">
        <f t="shared" si="64"/>
        <v>2</v>
      </c>
    </row>
    <row r="264" spans="1:24" x14ac:dyDescent="0.35">
      <c r="A264" s="5">
        <v>14124</v>
      </c>
      <c r="B264" s="5">
        <v>1160922263</v>
      </c>
      <c r="C264" s="5">
        <v>727036</v>
      </c>
      <c r="D264" s="5">
        <v>3763234</v>
      </c>
      <c r="E264" s="6" t="s">
        <v>70</v>
      </c>
      <c r="F264" s="6" t="s">
        <v>70</v>
      </c>
      <c r="G264" s="6" t="s">
        <v>70</v>
      </c>
      <c r="H264" s="7"/>
      <c r="I264" s="34" t="str">
        <f t="shared" si="52"/>
        <v>160922</v>
      </c>
      <c r="J264" s="31" t="str">
        <f t="shared" si="53"/>
        <v>01</v>
      </c>
      <c r="N264" s="12">
        <f t="shared" si="54"/>
        <v>0</v>
      </c>
      <c r="O264" s="11" t="str">
        <f t="shared" si="55"/>
        <v>1</v>
      </c>
      <c r="P264" s="11" t="str">
        <f t="shared" si="56"/>
        <v>1</v>
      </c>
      <c r="Q264" s="11" t="str">
        <f t="shared" si="57"/>
        <v>6</v>
      </c>
      <c r="R264" s="11" t="str">
        <f t="shared" si="58"/>
        <v>0</v>
      </c>
      <c r="S264" s="11" t="str">
        <f t="shared" si="59"/>
        <v>9</v>
      </c>
      <c r="T264" s="11" t="str">
        <f t="shared" si="60"/>
        <v>2</v>
      </c>
      <c r="U264" s="11" t="str">
        <f t="shared" si="61"/>
        <v>2</v>
      </c>
      <c r="V264" s="11" t="str">
        <f t="shared" si="62"/>
        <v>2</v>
      </c>
      <c r="W264" s="11" t="str">
        <f t="shared" si="63"/>
        <v>6</v>
      </c>
      <c r="X264" s="11" t="str">
        <f t="shared" si="64"/>
        <v>3</v>
      </c>
    </row>
    <row r="265" spans="1:24" x14ac:dyDescent="0.35">
      <c r="A265" s="5">
        <v>14125</v>
      </c>
      <c r="B265" s="5">
        <v>1160922264</v>
      </c>
      <c r="C265" s="5">
        <v>727074</v>
      </c>
      <c r="D265" s="5">
        <v>3763215</v>
      </c>
      <c r="E265" s="6" t="s">
        <v>70</v>
      </c>
      <c r="F265" s="6" t="s">
        <v>70</v>
      </c>
      <c r="G265" s="6" t="s">
        <v>70</v>
      </c>
      <c r="H265" s="7"/>
      <c r="I265" s="34" t="str">
        <f t="shared" si="52"/>
        <v>160922</v>
      </c>
      <c r="J265" s="31" t="str">
        <f t="shared" si="53"/>
        <v>01</v>
      </c>
      <c r="N265" s="12">
        <f t="shared" si="54"/>
        <v>0</v>
      </c>
      <c r="O265" s="11" t="str">
        <f t="shared" si="55"/>
        <v>1</v>
      </c>
      <c r="P265" s="11" t="str">
        <f t="shared" si="56"/>
        <v>1</v>
      </c>
      <c r="Q265" s="11" t="str">
        <f t="shared" si="57"/>
        <v>6</v>
      </c>
      <c r="R265" s="11" t="str">
        <f t="shared" si="58"/>
        <v>0</v>
      </c>
      <c r="S265" s="11" t="str">
        <f t="shared" si="59"/>
        <v>9</v>
      </c>
      <c r="T265" s="11" t="str">
        <f t="shared" si="60"/>
        <v>2</v>
      </c>
      <c r="U265" s="11" t="str">
        <f t="shared" si="61"/>
        <v>2</v>
      </c>
      <c r="V265" s="11" t="str">
        <f t="shared" si="62"/>
        <v>2</v>
      </c>
      <c r="W265" s="11" t="str">
        <f t="shared" si="63"/>
        <v>6</v>
      </c>
      <c r="X265" s="11" t="str">
        <f t="shared" si="64"/>
        <v>4</v>
      </c>
    </row>
    <row r="266" spans="1:24" x14ac:dyDescent="0.35">
      <c r="A266" s="5">
        <v>14126</v>
      </c>
      <c r="B266" s="5">
        <v>1160922265</v>
      </c>
      <c r="C266" s="5">
        <v>727075</v>
      </c>
      <c r="D266" s="5">
        <v>3763215</v>
      </c>
      <c r="E266" s="6" t="s">
        <v>70</v>
      </c>
      <c r="F266" s="6" t="s">
        <v>70</v>
      </c>
      <c r="G266" s="6" t="s">
        <v>70</v>
      </c>
      <c r="H266" s="7"/>
      <c r="I266" s="34" t="str">
        <f t="shared" si="52"/>
        <v>160922</v>
      </c>
      <c r="J266" s="31" t="str">
        <f t="shared" si="53"/>
        <v>01</v>
      </c>
      <c r="N266" s="12">
        <f t="shared" si="54"/>
        <v>0</v>
      </c>
      <c r="O266" s="11" t="str">
        <f t="shared" si="55"/>
        <v>1</v>
      </c>
      <c r="P266" s="11" t="str">
        <f t="shared" si="56"/>
        <v>1</v>
      </c>
      <c r="Q266" s="11" t="str">
        <f t="shared" si="57"/>
        <v>6</v>
      </c>
      <c r="R266" s="11" t="str">
        <f t="shared" si="58"/>
        <v>0</v>
      </c>
      <c r="S266" s="11" t="str">
        <f t="shared" si="59"/>
        <v>9</v>
      </c>
      <c r="T266" s="11" t="str">
        <f t="shared" si="60"/>
        <v>2</v>
      </c>
      <c r="U266" s="11" t="str">
        <f t="shared" si="61"/>
        <v>2</v>
      </c>
      <c r="V266" s="11" t="str">
        <f t="shared" si="62"/>
        <v>2</v>
      </c>
      <c r="W266" s="11" t="str">
        <f t="shared" si="63"/>
        <v>6</v>
      </c>
      <c r="X266" s="11" t="str">
        <f t="shared" si="64"/>
        <v>5</v>
      </c>
    </row>
    <row r="267" spans="1:24" x14ac:dyDescent="0.35">
      <c r="A267" s="5">
        <v>14127</v>
      </c>
      <c r="B267" s="5">
        <v>1160922266</v>
      </c>
      <c r="C267" s="5">
        <v>727073</v>
      </c>
      <c r="D267" s="5">
        <v>3763216</v>
      </c>
      <c r="E267" s="6" t="s">
        <v>70</v>
      </c>
      <c r="F267" s="6" t="s">
        <v>70</v>
      </c>
      <c r="G267" s="6" t="s">
        <v>70</v>
      </c>
      <c r="H267" s="7"/>
      <c r="I267" s="34" t="str">
        <f t="shared" si="52"/>
        <v>160922</v>
      </c>
      <c r="J267" s="31" t="str">
        <f t="shared" si="53"/>
        <v>01</v>
      </c>
      <c r="N267" s="12">
        <f t="shared" si="54"/>
        <v>0</v>
      </c>
      <c r="O267" s="11" t="str">
        <f t="shared" si="55"/>
        <v>1</v>
      </c>
      <c r="P267" s="11" t="str">
        <f t="shared" si="56"/>
        <v>1</v>
      </c>
      <c r="Q267" s="11" t="str">
        <f t="shared" si="57"/>
        <v>6</v>
      </c>
      <c r="R267" s="11" t="str">
        <f t="shared" si="58"/>
        <v>0</v>
      </c>
      <c r="S267" s="11" t="str">
        <f t="shared" si="59"/>
        <v>9</v>
      </c>
      <c r="T267" s="11" t="str">
        <f t="shared" si="60"/>
        <v>2</v>
      </c>
      <c r="U267" s="11" t="str">
        <f t="shared" si="61"/>
        <v>2</v>
      </c>
      <c r="V267" s="11" t="str">
        <f t="shared" si="62"/>
        <v>2</v>
      </c>
      <c r="W267" s="11" t="str">
        <f t="shared" si="63"/>
        <v>6</v>
      </c>
      <c r="X267" s="11" t="str">
        <f t="shared" si="64"/>
        <v>6</v>
      </c>
    </row>
    <row r="268" spans="1:24" x14ac:dyDescent="0.35">
      <c r="A268" s="5">
        <v>14128</v>
      </c>
      <c r="B268" s="5">
        <v>1160922267</v>
      </c>
      <c r="C268" s="5">
        <v>727123</v>
      </c>
      <c r="D268" s="5">
        <v>3763192</v>
      </c>
      <c r="E268" s="6" t="s">
        <v>70</v>
      </c>
      <c r="F268" s="6" t="s">
        <v>70</v>
      </c>
      <c r="G268" s="6" t="s">
        <v>70</v>
      </c>
      <c r="H268" s="7"/>
      <c r="I268" s="34" t="str">
        <f t="shared" si="52"/>
        <v>160922</v>
      </c>
      <c r="J268" s="31" t="str">
        <f t="shared" si="53"/>
        <v>01</v>
      </c>
      <c r="N268" s="12">
        <f t="shared" si="54"/>
        <v>0</v>
      </c>
      <c r="O268" s="11" t="str">
        <f t="shared" si="55"/>
        <v>1</v>
      </c>
      <c r="P268" s="11" t="str">
        <f t="shared" si="56"/>
        <v>1</v>
      </c>
      <c r="Q268" s="11" t="str">
        <f t="shared" si="57"/>
        <v>6</v>
      </c>
      <c r="R268" s="11" t="str">
        <f t="shared" si="58"/>
        <v>0</v>
      </c>
      <c r="S268" s="11" t="str">
        <f t="shared" si="59"/>
        <v>9</v>
      </c>
      <c r="T268" s="11" t="str">
        <f t="shared" si="60"/>
        <v>2</v>
      </c>
      <c r="U268" s="11" t="str">
        <f t="shared" si="61"/>
        <v>2</v>
      </c>
      <c r="V268" s="11" t="str">
        <f t="shared" si="62"/>
        <v>2</v>
      </c>
      <c r="W268" s="11" t="str">
        <f t="shared" si="63"/>
        <v>6</v>
      </c>
      <c r="X268" s="11" t="str">
        <f t="shared" si="64"/>
        <v>7</v>
      </c>
    </row>
    <row r="269" spans="1:24" x14ac:dyDescent="0.35">
      <c r="A269" s="5">
        <v>14129</v>
      </c>
      <c r="B269" s="5">
        <v>1160922268</v>
      </c>
      <c r="C269" s="5">
        <v>727089</v>
      </c>
      <c r="D269" s="5">
        <v>3763240</v>
      </c>
      <c r="E269" s="6" t="s">
        <v>70</v>
      </c>
      <c r="F269" s="6" t="s">
        <v>70</v>
      </c>
      <c r="G269" s="6" t="s">
        <v>70</v>
      </c>
      <c r="H269" s="7"/>
      <c r="I269" s="34" t="str">
        <f t="shared" si="52"/>
        <v>160922</v>
      </c>
      <c r="J269" s="31" t="str">
        <f t="shared" si="53"/>
        <v>01</v>
      </c>
      <c r="N269" s="12">
        <f t="shared" si="54"/>
        <v>0</v>
      </c>
      <c r="O269" s="11" t="str">
        <f t="shared" si="55"/>
        <v>1</v>
      </c>
      <c r="P269" s="11" t="str">
        <f t="shared" si="56"/>
        <v>1</v>
      </c>
      <c r="Q269" s="11" t="str">
        <f t="shared" si="57"/>
        <v>6</v>
      </c>
      <c r="R269" s="11" t="str">
        <f t="shared" si="58"/>
        <v>0</v>
      </c>
      <c r="S269" s="11" t="str">
        <f t="shared" si="59"/>
        <v>9</v>
      </c>
      <c r="T269" s="11" t="str">
        <f t="shared" si="60"/>
        <v>2</v>
      </c>
      <c r="U269" s="11" t="str">
        <f t="shared" si="61"/>
        <v>2</v>
      </c>
      <c r="V269" s="11" t="str">
        <f t="shared" si="62"/>
        <v>2</v>
      </c>
      <c r="W269" s="11" t="str">
        <f t="shared" si="63"/>
        <v>6</v>
      </c>
      <c r="X269" s="11" t="str">
        <f t="shared" si="64"/>
        <v>8</v>
      </c>
    </row>
    <row r="270" spans="1:24" x14ac:dyDescent="0.35">
      <c r="A270" s="5">
        <v>14130</v>
      </c>
      <c r="B270" s="5">
        <v>1160922269</v>
      </c>
      <c r="C270" s="5">
        <v>727058</v>
      </c>
      <c r="D270" s="5">
        <v>3763176</v>
      </c>
      <c r="E270" s="6" t="s">
        <v>70</v>
      </c>
      <c r="F270" s="6" t="s">
        <v>70</v>
      </c>
      <c r="G270" s="6" t="s">
        <v>70</v>
      </c>
      <c r="H270" s="7"/>
      <c r="I270" s="34" t="str">
        <f t="shared" si="52"/>
        <v>160922</v>
      </c>
      <c r="J270" s="31" t="str">
        <f t="shared" si="53"/>
        <v>01</v>
      </c>
      <c r="N270" s="12">
        <f t="shared" si="54"/>
        <v>0</v>
      </c>
      <c r="O270" s="11" t="str">
        <f t="shared" si="55"/>
        <v>1</v>
      </c>
      <c r="P270" s="11" t="str">
        <f t="shared" si="56"/>
        <v>1</v>
      </c>
      <c r="Q270" s="11" t="str">
        <f t="shared" si="57"/>
        <v>6</v>
      </c>
      <c r="R270" s="11" t="str">
        <f t="shared" si="58"/>
        <v>0</v>
      </c>
      <c r="S270" s="11" t="str">
        <f t="shared" si="59"/>
        <v>9</v>
      </c>
      <c r="T270" s="11" t="str">
        <f t="shared" si="60"/>
        <v>2</v>
      </c>
      <c r="U270" s="11" t="str">
        <f t="shared" si="61"/>
        <v>2</v>
      </c>
      <c r="V270" s="11" t="str">
        <f t="shared" si="62"/>
        <v>2</v>
      </c>
      <c r="W270" s="11" t="str">
        <f t="shared" si="63"/>
        <v>6</v>
      </c>
      <c r="X270" s="11" t="str">
        <f t="shared" si="64"/>
        <v>9</v>
      </c>
    </row>
    <row r="271" spans="1:24" x14ac:dyDescent="0.35">
      <c r="A271" s="5">
        <v>14131</v>
      </c>
      <c r="B271" s="5">
        <v>1160922270</v>
      </c>
      <c r="C271" s="5">
        <v>727058</v>
      </c>
      <c r="D271" s="5">
        <v>3763176</v>
      </c>
      <c r="E271" s="6" t="s">
        <v>70</v>
      </c>
      <c r="F271" s="6" t="s">
        <v>70</v>
      </c>
      <c r="G271" s="6" t="s">
        <v>70</v>
      </c>
      <c r="H271" s="7"/>
      <c r="I271" s="34" t="str">
        <f t="shared" si="52"/>
        <v>160922</v>
      </c>
      <c r="J271" s="31" t="str">
        <f t="shared" si="53"/>
        <v>01</v>
      </c>
      <c r="N271" s="12">
        <f t="shared" si="54"/>
        <v>0</v>
      </c>
      <c r="O271" s="11" t="str">
        <f t="shared" si="55"/>
        <v>1</v>
      </c>
      <c r="P271" s="11" t="str">
        <f t="shared" si="56"/>
        <v>1</v>
      </c>
      <c r="Q271" s="11" t="str">
        <f t="shared" si="57"/>
        <v>6</v>
      </c>
      <c r="R271" s="11" t="str">
        <f t="shared" si="58"/>
        <v>0</v>
      </c>
      <c r="S271" s="11" t="str">
        <f t="shared" si="59"/>
        <v>9</v>
      </c>
      <c r="T271" s="11" t="str">
        <f t="shared" si="60"/>
        <v>2</v>
      </c>
      <c r="U271" s="11" t="str">
        <f t="shared" si="61"/>
        <v>2</v>
      </c>
      <c r="V271" s="11" t="str">
        <f t="shared" si="62"/>
        <v>2</v>
      </c>
      <c r="W271" s="11" t="str">
        <f t="shared" si="63"/>
        <v>7</v>
      </c>
      <c r="X271" s="11" t="str">
        <f t="shared" si="64"/>
        <v>0</v>
      </c>
    </row>
    <row r="272" spans="1:24" x14ac:dyDescent="0.35">
      <c r="A272" s="5">
        <v>14132</v>
      </c>
      <c r="B272" s="5">
        <v>1160922271</v>
      </c>
      <c r="C272" s="5">
        <v>727058</v>
      </c>
      <c r="D272" s="5">
        <v>3763176</v>
      </c>
      <c r="E272" s="6" t="s">
        <v>70</v>
      </c>
      <c r="F272" s="6" t="s">
        <v>70</v>
      </c>
      <c r="G272" s="6" t="s">
        <v>70</v>
      </c>
      <c r="H272" s="7"/>
      <c r="I272" s="34" t="str">
        <f t="shared" si="52"/>
        <v>160922</v>
      </c>
      <c r="J272" s="31" t="str">
        <f t="shared" si="53"/>
        <v>01</v>
      </c>
      <c r="N272" s="12">
        <f t="shared" si="54"/>
        <v>0</v>
      </c>
      <c r="O272" s="11" t="str">
        <f t="shared" si="55"/>
        <v>1</v>
      </c>
      <c r="P272" s="11" t="str">
        <f t="shared" si="56"/>
        <v>1</v>
      </c>
      <c r="Q272" s="11" t="str">
        <f t="shared" si="57"/>
        <v>6</v>
      </c>
      <c r="R272" s="11" t="str">
        <f t="shared" si="58"/>
        <v>0</v>
      </c>
      <c r="S272" s="11" t="str">
        <f t="shared" si="59"/>
        <v>9</v>
      </c>
      <c r="T272" s="11" t="str">
        <f t="shared" si="60"/>
        <v>2</v>
      </c>
      <c r="U272" s="11" t="str">
        <f t="shared" si="61"/>
        <v>2</v>
      </c>
      <c r="V272" s="11" t="str">
        <f t="shared" si="62"/>
        <v>2</v>
      </c>
      <c r="W272" s="11" t="str">
        <f t="shared" si="63"/>
        <v>7</v>
      </c>
      <c r="X272" s="11" t="str">
        <f t="shared" si="64"/>
        <v>1</v>
      </c>
    </row>
    <row r="273" spans="1:24" x14ac:dyDescent="0.35">
      <c r="A273" s="5">
        <v>14133</v>
      </c>
      <c r="B273" s="5">
        <v>1160922272</v>
      </c>
      <c r="C273" s="5">
        <v>727089</v>
      </c>
      <c r="D273" s="5">
        <v>3763158</v>
      </c>
      <c r="E273" s="6" t="s">
        <v>70</v>
      </c>
      <c r="F273" s="6" t="s">
        <v>70</v>
      </c>
      <c r="G273" s="6" t="s">
        <v>70</v>
      </c>
      <c r="H273" s="7"/>
      <c r="I273" s="34" t="str">
        <f t="shared" si="52"/>
        <v>160922</v>
      </c>
      <c r="J273" s="31" t="str">
        <f t="shared" si="53"/>
        <v>01</v>
      </c>
      <c r="N273" s="12">
        <f t="shared" si="54"/>
        <v>0</v>
      </c>
      <c r="O273" s="11" t="str">
        <f t="shared" si="55"/>
        <v>1</v>
      </c>
      <c r="P273" s="11" t="str">
        <f t="shared" si="56"/>
        <v>1</v>
      </c>
      <c r="Q273" s="11" t="str">
        <f t="shared" si="57"/>
        <v>6</v>
      </c>
      <c r="R273" s="11" t="str">
        <f t="shared" si="58"/>
        <v>0</v>
      </c>
      <c r="S273" s="11" t="str">
        <f t="shared" si="59"/>
        <v>9</v>
      </c>
      <c r="T273" s="11" t="str">
        <f t="shared" si="60"/>
        <v>2</v>
      </c>
      <c r="U273" s="11" t="str">
        <f t="shared" si="61"/>
        <v>2</v>
      </c>
      <c r="V273" s="11" t="str">
        <f t="shared" si="62"/>
        <v>2</v>
      </c>
      <c r="W273" s="11" t="str">
        <f t="shared" si="63"/>
        <v>7</v>
      </c>
      <c r="X273" s="11" t="str">
        <f t="shared" si="64"/>
        <v>2</v>
      </c>
    </row>
    <row r="274" spans="1:24" x14ac:dyDescent="0.35">
      <c r="A274" s="5">
        <v>14134</v>
      </c>
      <c r="B274" s="5">
        <v>1160922273</v>
      </c>
      <c r="C274" s="5">
        <v>727041</v>
      </c>
      <c r="D274" s="5">
        <v>3763143</v>
      </c>
      <c r="E274" s="6" t="s">
        <v>70</v>
      </c>
      <c r="F274" s="6" t="s">
        <v>70</v>
      </c>
      <c r="G274" s="6" t="s">
        <v>70</v>
      </c>
      <c r="H274" s="7"/>
      <c r="I274" s="34" t="str">
        <f t="shared" si="52"/>
        <v>160922</v>
      </c>
      <c r="J274" s="31" t="str">
        <f t="shared" si="53"/>
        <v>01</v>
      </c>
      <c r="N274" s="12">
        <f t="shared" si="54"/>
        <v>0</v>
      </c>
      <c r="O274" s="11" t="str">
        <f t="shared" si="55"/>
        <v>1</v>
      </c>
      <c r="P274" s="11" t="str">
        <f t="shared" si="56"/>
        <v>1</v>
      </c>
      <c r="Q274" s="11" t="str">
        <f t="shared" si="57"/>
        <v>6</v>
      </c>
      <c r="R274" s="11" t="str">
        <f t="shared" si="58"/>
        <v>0</v>
      </c>
      <c r="S274" s="11" t="str">
        <f t="shared" si="59"/>
        <v>9</v>
      </c>
      <c r="T274" s="11" t="str">
        <f t="shared" si="60"/>
        <v>2</v>
      </c>
      <c r="U274" s="11" t="str">
        <f t="shared" si="61"/>
        <v>2</v>
      </c>
      <c r="V274" s="11" t="str">
        <f t="shared" si="62"/>
        <v>2</v>
      </c>
      <c r="W274" s="11" t="str">
        <f t="shared" si="63"/>
        <v>7</v>
      </c>
      <c r="X274" s="11" t="str">
        <f t="shared" si="64"/>
        <v>3</v>
      </c>
    </row>
    <row r="275" spans="1:24" x14ac:dyDescent="0.35">
      <c r="A275" s="5">
        <v>14135</v>
      </c>
      <c r="B275" s="5">
        <v>1160922274</v>
      </c>
      <c r="C275" s="5">
        <v>727041</v>
      </c>
      <c r="D275" s="5">
        <v>3763140</v>
      </c>
      <c r="E275" s="6" t="s">
        <v>70</v>
      </c>
      <c r="F275" s="6" t="s">
        <v>70</v>
      </c>
      <c r="G275" s="6" t="s">
        <v>70</v>
      </c>
      <c r="H275" s="7"/>
      <c r="I275" s="34" t="str">
        <f t="shared" si="52"/>
        <v>160922</v>
      </c>
      <c r="J275" s="31" t="str">
        <f t="shared" si="53"/>
        <v>01</v>
      </c>
      <c r="N275" s="12">
        <f t="shared" si="54"/>
        <v>0</v>
      </c>
      <c r="O275" s="11" t="str">
        <f t="shared" si="55"/>
        <v>1</v>
      </c>
      <c r="P275" s="11" t="str">
        <f t="shared" si="56"/>
        <v>1</v>
      </c>
      <c r="Q275" s="11" t="str">
        <f t="shared" si="57"/>
        <v>6</v>
      </c>
      <c r="R275" s="11" t="str">
        <f t="shared" si="58"/>
        <v>0</v>
      </c>
      <c r="S275" s="11" t="str">
        <f t="shared" si="59"/>
        <v>9</v>
      </c>
      <c r="T275" s="11" t="str">
        <f t="shared" si="60"/>
        <v>2</v>
      </c>
      <c r="U275" s="11" t="str">
        <f t="shared" si="61"/>
        <v>2</v>
      </c>
      <c r="V275" s="11" t="str">
        <f t="shared" si="62"/>
        <v>2</v>
      </c>
      <c r="W275" s="11" t="str">
        <f t="shared" si="63"/>
        <v>7</v>
      </c>
      <c r="X275" s="11" t="str">
        <f t="shared" si="64"/>
        <v>4</v>
      </c>
    </row>
    <row r="276" spans="1:24" x14ac:dyDescent="0.35">
      <c r="A276" s="5">
        <v>14136</v>
      </c>
      <c r="B276" s="5">
        <v>1160922275</v>
      </c>
      <c r="C276" s="5">
        <v>727041</v>
      </c>
      <c r="D276" s="5">
        <v>3763142</v>
      </c>
      <c r="E276" s="6" t="s">
        <v>70</v>
      </c>
      <c r="F276" s="6" t="s">
        <v>70</v>
      </c>
      <c r="G276" s="6" t="s">
        <v>70</v>
      </c>
      <c r="H276" s="7"/>
      <c r="I276" s="34" t="str">
        <f t="shared" si="52"/>
        <v>160922</v>
      </c>
      <c r="J276" s="31" t="str">
        <f t="shared" si="53"/>
        <v>01</v>
      </c>
      <c r="N276" s="12">
        <f t="shared" si="54"/>
        <v>0</v>
      </c>
      <c r="O276" s="11" t="str">
        <f t="shared" si="55"/>
        <v>1</v>
      </c>
      <c r="P276" s="11" t="str">
        <f t="shared" si="56"/>
        <v>1</v>
      </c>
      <c r="Q276" s="11" t="str">
        <f t="shared" si="57"/>
        <v>6</v>
      </c>
      <c r="R276" s="11" t="str">
        <f t="shared" si="58"/>
        <v>0</v>
      </c>
      <c r="S276" s="11" t="str">
        <f t="shared" si="59"/>
        <v>9</v>
      </c>
      <c r="T276" s="11" t="str">
        <f t="shared" si="60"/>
        <v>2</v>
      </c>
      <c r="U276" s="11" t="str">
        <f t="shared" si="61"/>
        <v>2</v>
      </c>
      <c r="V276" s="11" t="str">
        <f t="shared" si="62"/>
        <v>2</v>
      </c>
      <c r="W276" s="11" t="str">
        <f t="shared" si="63"/>
        <v>7</v>
      </c>
      <c r="X276" s="11" t="str">
        <f t="shared" si="64"/>
        <v>5</v>
      </c>
    </row>
    <row r="277" spans="1:24" x14ac:dyDescent="0.35">
      <c r="A277" s="5">
        <v>14137</v>
      </c>
      <c r="B277" s="5">
        <v>1160922276</v>
      </c>
      <c r="C277" s="5">
        <v>727008</v>
      </c>
      <c r="D277" s="5">
        <v>3763158</v>
      </c>
      <c r="E277" s="6" t="s">
        <v>70</v>
      </c>
      <c r="F277" s="6" t="s">
        <v>70</v>
      </c>
      <c r="G277" s="6" t="s">
        <v>70</v>
      </c>
      <c r="H277" s="7"/>
      <c r="I277" s="34" t="str">
        <f t="shared" si="52"/>
        <v>160922</v>
      </c>
      <c r="J277" s="31" t="str">
        <f t="shared" si="53"/>
        <v>01</v>
      </c>
      <c r="N277" s="12">
        <f t="shared" si="54"/>
        <v>0</v>
      </c>
      <c r="O277" s="11" t="str">
        <f t="shared" si="55"/>
        <v>1</v>
      </c>
      <c r="P277" s="11" t="str">
        <f t="shared" si="56"/>
        <v>1</v>
      </c>
      <c r="Q277" s="11" t="str">
        <f t="shared" si="57"/>
        <v>6</v>
      </c>
      <c r="R277" s="11" t="str">
        <f t="shared" si="58"/>
        <v>0</v>
      </c>
      <c r="S277" s="11" t="str">
        <f t="shared" si="59"/>
        <v>9</v>
      </c>
      <c r="T277" s="11" t="str">
        <f t="shared" si="60"/>
        <v>2</v>
      </c>
      <c r="U277" s="11" t="str">
        <f t="shared" si="61"/>
        <v>2</v>
      </c>
      <c r="V277" s="11" t="str">
        <f t="shared" si="62"/>
        <v>2</v>
      </c>
      <c r="W277" s="11" t="str">
        <f t="shared" si="63"/>
        <v>7</v>
      </c>
      <c r="X277" s="11" t="str">
        <f t="shared" si="64"/>
        <v>6</v>
      </c>
    </row>
    <row r="278" spans="1:24" x14ac:dyDescent="0.35">
      <c r="A278" s="5">
        <v>14138</v>
      </c>
      <c r="B278" s="5">
        <v>1160922277</v>
      </c>
      <c r="C278" s="5">
        <v>726991</v>
      </c>
      <c r="D278" s="5">
        <v>3763128</v>
      </c>
      <c r="E278" s="6" t="s">
        <v>70</v>
      </c>
      <c r="F278" s="6" t="s">
        <v>70</v>
      </c>
      <c r="G278" s="6" t="s">
        <v>70</v>
      </c>
      <c r="H278" s="7"/>
      <c r="I278" s="34" t="str">
        <f t="shared" si="52"/>
        <v>160922</v>
      </c>
      <c r="J278" s="31" t="str">
        <f t="shared" si="53"/>
        <v>01</v>
      </c>
      <c r="N278" s="12">
        <f t="shared" si="54"/>
        <v>0</v>
      </c>
      <c r="O278" s="11" t="str">
        <f t="shared" si="55"/>
        <v>1</v>
      </c>
      <c r="P278" s="11" t="str">
        <f t="shared" si="56"/>
        <v>1</v>
      </c>
      <c r="Q278" s="11" t="str">
        <f t="shared" si="57"/>
        <v>6</v>
      </c>
      <c r="R278" s="11" t="str">
        <f t="shared" si="58"/>
        <v>0</v>
      </c>
      <c r="S278" s="11" t="str">
        <f t="shared" si="59"/>
        <v>9</v>
      </c>
      <c r="T278" s="11" t="str">
        <f t="shared" si="60"/>
        <v>2</v>
      </c>
      <c r="U278" s="11" t="str">
        <f t="shared" si="61"/>
        <v>2</v>
      </c>
      <c r="V278" s="11" t="str">
        <f t="shared" si="62"/>
        <v>2</v>
      </c>
      <c r="W278" s="11" t="str">
        <f t="shared" si="63"/>
        <v>7</v>
      </c>
      <c r="X278" s="11" t="str">
        <f t="shared" si="64"/>
        <v>7</v>
      </c>
    </row>
    <row r="279" spans="1:24" x14ac:dyDescent="0.35">
      <c r="A279" s="5">
        <v>14139</v>
      </c>
      <c r="B279" s="5">
        <v>1160922278</v>
      </c>
      <c r="C279" s="5">
        <v>727024</v>
      </c>
      <c r="D279" s="5">
        <v>3763103</v>
      </c>
      <c r="E279" s="6" t="s">
        <v>70</v>
      </c>
      <c r="F279" s="6" t="s">
        <v>70</v>
      </c>
      <c r="G279" s="6" t="s">
        <v>70</v>
      </c>
      <c r="H279" s="7"/>
      <c r="I279" s="34" t="str">
        <f t="shared" si="52"/>
        <v>160922</v>
      </c>
      <c r="J279" s="31" t="str">
        <f t="shared" si="53"/>
        <v>01</v>
      </c>
      <c r="N279" s="12">
        <f t="shared" si="54"/>
        <v>0</v>
      </c>
      <c r="O279" s="11" t="str">
        <f t="shared" si="55"/>
        <v>1</v>
      </c>
      <c r="P279" s="11" t="str">
        <f t="shared" si="56"/>
        <v>1</v>
      </c>
      <c r="Q279" s="11" t="str">
        <f t="shared" si="57"/>
        <v>6</v>
      </c>
      <c r="R279" s="11" t="str">
        <f t="shared" si="58"/>
        <v>0</v>
      </c>
      <c r="S279" s="11" t="str">
        <f t="shared" si="59"/>
        <v>9</v>
      </c>
      <c r="T279" s="11" t="str">
        <f t="shared" si="60"/>
        <v>2</v>
      </c>
      <c r="U279" s="11" t="str">
        <f t="shared" si="61"/>
        <v>2</v>
      </c>
      <c r="V279" s="11" t="str">
        <f t="shared" si="62"/>
        <v>2</v>
      </c>
      <c r="W279" s="11" t="str">
        <f t="shared" si="63"/>
        <v>7</v>
      </c>
      <c r="X279" s="11" t="str">
        <f t="shared" si="64"/>
        <v>8</v>
      </c>
    </row>
    <row r="280" spans="1:24" x14ac:dyDescent="0.35">
      <c r="A280" s="5">
        <v>14140</v>
      </c>
      <c r="B280" s="5">
        <v>1160922279</v>
      </c>
      <c r="C280" s="5">
        <v>726968</v>
      </c>
      <c r="D280" s="5">
        <v>3763337</v>
      </c>
      <c r="E280" s="6" t="s">
        <v>70</v>
      </c>
      <c r="F280" s="6" t="s">
        <v>70</v>
      </c>
      <c r="G280" s="6" t="s">
        <v>70</v>
      </c>
      <c r="H280" s="7"/>
      <c r="I280" s="34" t="str">
        <f t="shared" si="52"/>
        <v>160922</v>
      </c>
      <c r="J280" s="31" t="str">
        <f t="shared" si="53"/>
        <v>01</v>
      </c>
      <c r="N280" s="12">
        <f t="shared" si="54"/>
        <v>0</v>
      </c>
      <c r="O280" s="11" t="str">
        <f t="shared" si="55"/>
        <v>1</v>
      </c>
      <c r="P280" s="11" t="str">
        <f t="shared" si="56"/>
        <v>1</v>
      </c>
      <c r="Q280" s="11" t="str">
        <f t="shared" si="57"/>
        <v>6</v>
      </c>
      <c r="R280" s="11" t="str">
        <f t="shared" si="58"/>
        <v>0</v>
      </c>
      <c r="S280" s="11" t="str">
        <f t="shared" si="59"/>
        <v>9</v>
      </c>
      <c r="T280" s="11" t="str">
        <f t="shared" si="60"/>
        <v>2</v>
      </c>
      <c r="U280" s="11" t="str">
        <f t="shared" si="61"/>
        <v>2</v>
      </c>
      <c r="V280" s="11" t="str">
        <f t="shared" si="62"/>
        <v>2</v>
      </c>
      <c r="W280" s="11" t="str">
        <f t="shared" si="63"/>
        <v>7</v>
      </c>
      <c r="X280" s="11" t="str">
        <f t="shared" si="64"/>
        <v>9</v>
      </c>
    </row>
    <row r="281" spans="1:24" x14ac:dyDescent="0.35">
      <c r="A281" s="5">
        <v>14141</v>
      </c>
      <c r="B281" s="5">
        <v>1160922280</v>
      </c>
      <c r="C281" s="5">
        <v>726920</v>
      </c>
      <c r="D281" s="5">
        <v>3763366</v>
      </c>
      <c r="E281" s="6" t="s">
        <v>70</v>
      </c>
      <c r="F281" s="6" t="s">
        <v>70</v>
      </c>
      <c r="G281" s="6" t="s">
        <v>70</v>
      </c>
      <c r="H281" s="7"/>
      <c r="I281" s="34" t="str">
        <f t="shared" si="52"/>
        <v>160922</v>
      </c>
      <c r="J281" s="31" t="str">
        <f t="shared" si="53"/>
        <v>01</v>
      </c>
      <c r="N281" s="12">
        <f t="shared" si="54"/>
        <v>0</v>
      </c>
      <c r="O281" s="11" t="str">
        <f t="shared" si="55"/>
        <v>1</v>
      </c>
      <c r="P281" s="11" t="str">
        <f t="shared" si="56"/>
        <v>1</v>
      </c>
      <c r="Q281" s="11" t="str">
        <f t="shared" si="57"/>
        <v>6</v>
      </c>
      <c r="R281" s="11" t="str">
        <f t="shared" si="58"/>
        <v>0</v>
      </c>
      <c r="S281" s="11" t="str">
        <f t="shared" si="59"/>
        <v>9</v>
      </c>
      <c r="T281" s="11" t="str">
        <f t="shared" si="60"/>
        <v>2</v>
      </c>
      <c r="U281" s="11" t="str">
        <f t="shared" si="61"/>
        <v>2</v>
      </c>
      <c r="V281" s="11" t="str">
        <f t="shared" si="62"/>
        <v>2</v>
      </c>
      <c r="W281" s="11" t="str">
        <f t="shared" si="63"/>
        <v>8</v>
      </c>
      <c r="X281" s="11" t="str">
        <f t="shared" si="64"/>
        <v>0</v>
      </c>
    </row>
    <row r="282" spans="1:24" x14ac:dyDescent="0.35">
      <c r="A282" s="5">
        <v>14142</v>
      </c>
      <c r="B282" s="5">
        <v>1160922281</v>
      </c>
      <c r="C282" s="5">
        <v>727022</v>
      </c>
      <c r="D282" s="5">
        <v>3763313</v>
      </c>
      <c r="E282" s="6" t="s">
        <v>70</v>
      </c>
      <c r="F282" s="6" t="s">
        <v>70</v>
      </c>
      <c r="G282" s="6" t="s">
        <v>70</v>
      </c>
      <c r="H282" s="7"/>
      <c r="I282" s="34" t="str">
        <f t="shared" si="52"/>
        <v>160922</v>
      </c>
      <c r="J282" s="31" t="str">
        <f t="shared" si="53"/>
        <v>01</v>
      </c>
      <c r="N282" s="12">
        <f t="shared" si="54"/>
        <v>0</v>
      </c>
      <c r="O282" s="11" t="str">
        <f t="shared" si="55"/>
        <v>1</v>
      </c>
      <c r="P282" s="11" t="str">
        <f t="shared" si="56"/>
        <v>1</v>
      </c>
      <c r="Q282" s="11" t="str">
        <f t="shared" si="57"/>
        <v>6</v>
      </c>
      <c r="R282" s="11" t="str">
        <f t="shared" si="58"/>
        <v>0</v>
      </c>
      <c r="S282" s="11" t="str">
        <f t="shared" si="59"/>
        <v>9</v>
      </c>
      <c r="T282" s="11" t="str">
        <f t="shared" si="60"/>
        <v>2</v>
      </c>
      <c r="U282" s="11" t="str">
        <f t="shared" si="61"/>
        <v>2</v>
      </c>
      <c r="V282" s="11" t="str">
        <f t="shared" si="62"/>
        <v>2</v>
      </c>
      <c r="W282" s="11" t="str">
        <f t="shared" si="63"/>
        <v>8</v>
      </c>
      <c r="X282" s="11" t="str">
        <f t="shared" si="64"/>
        <v>1</v>
      </c>
    </row>
    <row r="283" spans="1:24" x14ac:dyDescent="0.35">
      <c r="A283" s="5">
        <v>14143</v>
      </c>
      <c r="B283" s="5">
        <v>1160922282</v>
      </c>
      <c r="C283" s="5">
        <v>727037</v>
      </c>
      <c r="D283" s="5">
        <v>3763349</v>
      </c>
      <c r="E283" s="6" t="s">
        <v>70</v>
      </c>
      <c r="F283" s="6" t="s">
        <v>70</v>
      </c>
      <c r="G283" s="6" t="s">
        <v>70</v>
      </c>
      <c r="H283" s="7"/>
      <c r="I283" s="34" t="str">
        <f t="shared" si="52"/>
        <v>160922</v>
      </c>
      <c r="J283" s="31" t="str">
        <f t="shared" si="53"/>
        <v>01</v>
      </c>
      <c r="N283" s="12">
        <f t="shared" si="54"/>
        <v>0</v>
      </c>
      <c r="O283" s="11" t="str">
        <f t="shared" si="55"/>
        <v>1</v>
      </c>
      <c r="P283" s="11" t="str">
        <f t="shared" si="56"/>
        <v>1</v>
      </c>
      <c r="Q283" s="11" t="str">
        <f t="shared" si="57"/>
        <v>6</v>
      </c>
      <c r="R283" s="11" t="str">
        <f t="shared" si="58"/>
        <v>0</v>
      </c>
      <c r="S283" s="11" t="str">
        <f t="shared" si="59"/>
        <v>9</v>
      </c>
      <c r="T283" s="11" t="str">
        <f t="shared" si="60"/>
        <v>2</v>
      </c>
      <c r="U283" s="11" t="str">
        <f t="shared" si="61"/>
        <v>2</v>
      </c>
      <c r="V283" s="11" t="str">
        <f t="shared" si="62"/>
        <v>2</v>
      </c>
      <c r="W283" s="11" t="str">
        <f t="shared" si="63"/>
        <v>8</v>
      </c>
      <c r="X283" s="11" t="str">
        <f t="shared" si="64"/>
        <v>2</v>
      </c>
    </row>
    <row r="284" spans="1:24" x14ac:dyDescent="0.35">
      <c r="A284" s="5">
        <v>14144</v>
      </c>
      <c r="B284" s="5">
        <v>1160922283</v>
      </c>
      <c r="C284" s="5">
        <v>727037</v>
      </c>
      <c r="D284" s="5">
        <v>3763349</v>
      </c>
      <c r="E284" s="6" t="s">
        <v>70</v>
      </c>
      <c r="F284" s="6" t="s">
        <v>70</v>
      </c>
      <c r="G284" s="6" t="s">
        <v>70</v>
      </c>
      <c r="H284" s="7"/>
      <c r="I284" s="34" t="str">
        <f t="shared" si="52"/>
        <v>160922</v>
      </c>
      <c r="J284" s="31" t="str">
        <f t="shared" si="53"/>
        <v>01</v>
      </c>
      <c r="N284" s="12">
        <f t="shared" si="54"/>
        <v>0</v>
      </c>
      <c r="O284" s="11" t="str">
        <f t="shared" si="55"/>
        <v>1</v>
      </c>
      <c r="P284" s="11" t="str">
        <f t="shared" si="56"/>
        <v>1</v>
      </c>
      <c r="Q284" s="11" t="str">
        <f t="shared" si="57"/>
        <v>6</v>
      </c>
      <c r="R284" s="11" t="str">
        <f t="shared" si="58"/>
        <v>0</v>
      </c>
      <c r="S284" s="11" t="str">
        <f t="shared" si="59"/>
        <v>9</v>
      </c>
      <c r="T284" s="11" t="str">
        <f t="shared" si="60"/>
        <v>2</v>
      </c>
      <c r="U284" s="11" t="str">
        <f t="shared" si="61"/>
        <v>2</v>
      </c>
      <c r="V284" s="11" t="str">
        <f t="shared" si="62"/>
        <v>2</v>
      </c>
      <c r="W284" s="11" t="str">
        <f t="shared" si="63"/>
        <v>8</v>
      </c>
      <c r="X284" s="11" t="str">
        <f t="shared" si="64"/>
        <v>3</v>
      </c>
    </row>
    <row r="285" spans="1:24" x14ac:dyDescent="0.35">
      <c r="A285" s="5">
        <v>14145</v>
      </c>
      <c r="B285" s="5">
        <v>1160922284</v>
      </c>
      <c r="C285" s="5">
        <v>727037</v>
      </c>
      <c r="D285" s="5">
        <v>3763350</v>
      </c>
      <c r="E285" s="6" t="s">
        <v>70</v>
      </c>
      <c r="F285" s="6" t="s">
        <v>70</v>
      </c>
      <c r="G285" s="6" t="s">
        <v>70</v>
      </c>
      <c r="H285" s="7"/>
      <c r="I285" s="34" t="str">
        <f t="shared" si="52"/>
        <v>160922</v>
      </c>
      <c r="J285" s="31" t="str">
        <f t="shared" si="53"/>
        <v>01</v>
      </c>
      <c r="N285" s="12">
        <f t="shared" si="54"/>
        <v>0</v>
      </c>
      <c r="O285" s="11" t="str">
        <f t="shared" si="55"/>
        <v>1</v>
      </c>
      <c r="P285" s="11" t="str">
        <f t="shared" si="56"/>
        <v>1</v>
      </c>
      <c r="Q285" s="11" t="str">
        <f t="shared" si="57"/>
        <v>6</v>
      </c>
      <c r="R285" s="11" t="str">
        <f t="shared" si="58"/>
        <v>0</v>
      </c>
      <c r="S285" s="11" t="str">
        <f t="shared" si="59"/>
        <v>9</v>
      </c>
      <c r="T285" s="11" t="str">
        <f t="shared" si="60"/>
        <v>2</v>
      </c>
      <c r="U285" s="11" t="str">
        <f t="shared" si="61"/>
        <v>2</v>
      </c>
      <c r="V285" s="11" t="str">
        <f t="shared" si="62"/>
        <v>2</v>
      </c>
      <c r="W285" s="11" t="str">
        <f t="shared" si="63"/>
        <v>8</v>
      </c>
      <c r="X285" s="11" t="str">
        <f t="shared" si="64"/>
        <v>4</v>
      </c>
    </row>
    <row r="286" spans="1:24" x14ac:dyDescent="0.35">
      <c r="A286" s="5">
        <v>14146</v>
      </c>
      <c r="B286" s="5">
        <v>1160922285</v>
      </c>
      <c r="C286" s="5">
        <v>727058</v>
      </c>
      <c r="D286" s="5">
        <v>3763392</v>
      </c>
      <c r="E286" s="6" t="s">
        <v>70</v>
      </c>
      <c r="F286" s="6" t="s">
        <v>70</v>
      </c>
      <c r="G286" s="6" t="s">
        <v>70</v>
      </c>
      <c r="H286" s="7"/>
      <c r="I286" s="34" t="str">
        <f t="shared" si="52"/>
        <v>160922</v>
      </c>
      <c r="J286" s="31" t="str">
        <f t="shared" si="53"/>
        <v>01</v>
      </c>
      <c r="N286" s="12">
        <f t="shared" si="54"/>
        <v>0</v>
      </c>
      <c r="O286" s="11" t="str">
        <f t="shared" si="55"/>
        <v>1</v>
      </c>
      <c r="P286" s="11" t="str">
        <f t="shared" si="56"/>
        <v>1</v>
      </c>
      <c r="Q286" s="11" t="str">
        <f t="shared" si="57"/>
        <v>6</v>
      </c>
      <c r="R286" s="11" t="str">
        <f t="shared" si="58"/>
        <v>0</v>
      </c>
      <c r="S286" s="11" t="str">
        <f t="shared" si="59"/>
        <v>9</v>
      </c>
      <c r="T286" s="11" t="str">
        <f t="shared" si="60"/>
        <v>2</v>
      </c>
      <c r="U286" s="11" t="str">
        <f t="shared" si="61"/>
        <v>2</v>
      </c>
      <c r="V286" s="11" t="str">
        <f t="shared" si="62"/>
        <v>2</v>
      </c>
      <c r="W286" s="11" t="str">
        <f t="shared" si="63"/>
        <v>8</v>
      </c>
      <c r="X286" s="11" t="str">
        <f t="shared" si="64"/>
        <v>5</v>
      </c>
    </row>
    <row r="287" spans="1:24" x14ac:dyDescent="0.35">
      <c r="A287" s="5">
        <v>14147</v>
      </c>
      <c r="B287" s="5">
        <v>1160922286</v>
      </c>
      <c r="C287" s="5">
        <v>727079</v>
      </c>
      <c r="D287" s="5">
        <v>3763434</v>
      </c>
      <c r="E287" s="6" t="s">
        <v>70</v>
      </c>
      <c r="F287" s="6" t="s">
        <v>70</v>
      </c>
      <c r="G287" s="6" t="s">
        <v>70</v>
      </c>
      <c r="H287" s="7"/>
      <c r="I287" s="34" t="str">
        <f t="shared" si="52"/>
        <v>160922</v>
      </c>
      <c r="J287" s="31" t="str">
        <f t="shared" si="53"/>
        <v>01</v>
      </c>
      <c r="N287" s="12">
        <f t="shared" si="54"/>
        <v>0</v>
      </c>
      <c r="O287" s="11" t="str">
        <f t="shared" si="55"/>
        <v>1</v>
      </c>
      <c r="P287" s="11" t="str">
        <f t="shared" si="56"/>
        <v>1</v>
      </c>
      <c r="Q287" s="11" t="str">
        <f t="shared" si="57"/>
        <v>6</v>
      </c>
      <c r="R287" s="11" t="str">
        <f t="shared" si="58"/>
        <v>0</v>
      </c>
      <c r="S287" s="11" t="str">
        <f t="shared" si="59"/>
        <v>9</v>
      </c>
      <c r="T287" s="11" t="str">
        <f t="shared" si="60"/>
        <v>2</v>
      </c>
      <c r="U287" s="11" t="str">
        <f t="shared" si="61"/>
        <v>2</v>
      </c>
      <c r="V287" s="11" t="str">
        <f t="shared" si="62"/>
        <v>2</v>
      </c>
      <c r="W287" s="11" t="str">
        <f t="shared" si="63"/>
        <v>8</v>
      </c>
      <c r="X287" s="11" t="str">
        <f t="shared" si="64"/>
        <v>6</v>
      </c>
    </row>
    <row r="288" spans="1:24" x14ac:dyDescent="0.35">
      <c r="A288" s="5">
        <v>14148</v>
      </c>
      <c r="B288" s="5">
        <v>1160922287</v>
      </c>
      <c r="C288" s="5">
        <v>727056</v>
      </c>
      <c r="D288" s="5">
        <v>3763292</v>
      </c>
      <c r="E288" s="6" t="s">
        <v>70</v>
      </c>
      <c r="F288" s="6" t="s">
        <v>70</v>
      </c>
      <c r="G288" s="6" t="s">
        <v>70</v>
      </c>
      <c r="H288" s="7"/>
      <c r="I288" s="34" t="str">
        <f t="shared" si="52"/>
        <v>160922</v>
      </c>
      <c r="J288" s="31" t="str">
        <f t="shared" si="53"/>
        <v>01</v>
      </c>
      <c r="N288" s="12">
        <f t="shared" si="54"/>
        <v>0</v>
      </c>
      <c r="O288" s="11" t="str">
        <f t="shared" si="55"/>
        <v>1</v>
      </c>
      <c r="P288" s="11" t="str">
        <f t="shared" si="56"/>
        <v>1</v>
      </c>
      <c r="Q288" s="11" t="str">
        <f t="shared" si="57"/>
        <v>6</v>
      </c>
      <c r="R288" s="11" t="str">
        <f t="shared" si="58"/>
        <v>0</v>
      </c>
      <c r="S288" s="11" t="str">
        <f t="shared" si="59"/>
        <v>9</v>
      </c>
      <c r="T288" s="11" t="str">
        <f t="shared" si="60"/>
        <v>2</v>
      </c>
      <c r="U288" s="11" t="str">
        <f t="shared" si="61"/>
        <v>2</v>
      </c>
      <c r="V288" s="11" t="str">
        <f t="shared" si="62"/>
        <v>2</v>
      </c>
      <c r="W288" s="11" t="str">
        <f t="shared" si="63"/>
        <v>8</v>
      </c>
      <c r="X288" s="11" t="str">
        <f t="shared" si="64"/>
        <v>7</v>
      </c>
    </row>
    <row r="289" spans="1:24" x14ac:dyDescent="0.35">
      <c r="A289" s="5">
        <v>14149</v>
      </c>
      <c r="B289" s="5">
        <v>1160922288</v>
      </c>
      <c r="C289" s="5">
        <v>727074</v>
      </c>
      <c r="D289" s="5">
        <v>3763287</v>
      </c>
      <c r="E289" s="6" t="s">
        <v>70</v>
      </c>
      <c r="F289" s="6" t="s">
        <v>70</v>
      </c>
      <c r="G289" s="6" t="s">
        <v>70</v>
      </c>
      <c r="H289" s="7"/>
      <c r="I289" s="34" t="str">
        <f t="shared" si="52"/>
        <v>160922</v>
      </c>
      <c r="J289" s="31" t="str">
        <f t="shared" si="53"/>
        <v>01</v>
      </c>
      <c r="N289" s="12">
        <f t="shared" si="54"/>
        <v>0</v>
      </c>
      <c r="O289" s="11" t="str">
        <f t="shared" si="55"/>
        <v>1</v>
      </c>
      <c r="P289" s="11" t="str">
        <f t="shared" si="56"/>
        <v>1</v>
      </c>
      <c r="Q289" s="11" t="str">
        <f t="shared" si="57"/>
        <v>6</v>
      </c>
      <c r="R289" s="11" t="str">
        <f t="shared" si="58"/>
        <v>0</v>
      </c>
      <c r="S289" s="11" t="str">
        <f t="shared" si="59"/>
        <v>9</v>
      </c>
      <c r="T289" s="11" t="str">
        <f t="shared" si="60"/>
        <v>2</v>
      </c>
      <c r="U289" s="11" t="str">
        <f t="shared" si="61"/>
        <v>2</v>
      </c>
      <c r="V289" s="11" t="str">
        <f t="shared" si="62"/>
        <v>2</v>
      </c>
      <c r="W289" s="11" t="str">
        <f t="shared" si="63"/>
        <v>8</v>
      </c>
      <c r="X289" s="11" t="str">
        <f t="shared" si="64"/>
        <v>8</v>
      </c>
    </row>
    <row r="290" spans="1:24" x14ac:dyDescent="0.35">
      <c r="A290" s="5">
        <v>14150</v>
      </c>
      <c r="B290" s="5">
        <v>1160922289</v>
      </c>
      <c r="C290" s="5">
        <v>727086</v>
      </c>
      <c r="D290" s="5">
        <v>3763284</v>
      </c>
      <c r="E290" s="6" t="s">
        <v>70</v>
      </c>
      <c r="F290" s="6" t="s">
        <v>70</v>
      </c>
      <c r="G290" s="6" t="s">
        <v>70</v>
      </c>
      <c r="H290" s="7"/>
      <c r="I290" s="34" t="str">
        <f t="shared" si="52"/>
        <v>160922</v>
      </c>
      <c r="J290" s="31" t="str">
        <f t="shared" si="53"/>
        <v>01</v>
      </c>
      <c r="N290" s="12">
        <f t="shared" si="54"/>
        <v>0</v>
      </c>
      <c r="O290" s="11" t="str">
        <f t="shared" si="55"/>
        <v>1</v>
      </c>
      <c r="P290" s="11" t="str">
        <f t="shared" si="56"/>
        <v>1</v>
      </c>
      <c r="Q290" s="11" t="str">
        <f t="shared" si="57"/>
        <v>6</v>
      </c>
      <c r="R290" s="11" t="str">
        <f t="shared" si="58"/>
        <v>0</v>
      </c>
      <c r="S290" s="11" t="str">
        <f t="shared" si="59"/>
        <v>9</v>
      </c>
      <c r="T290" s="11" t="str">
        <f t="shared" si="60"/>
        <v>2</v>
      </c>
      <c r="U290" s="11" t="str">
        <f t="shared" si="61"/>
        <v>2</v>
      </c>
      <c r="V290" s="11" t="str">
        <f t="shared" si="62"/>
        <v>2</v>
      </c>
      <c r="W290" s="11" t="str">
        <f t="shared" si="63"/>
        <v>8</v>
      </c>
      <c r="X290" s="11" t="str">
        <f t="shared" si="64"/>
        <v>9</v>
      </c>
    </row>
    <row r="291" spans="1:24" x14ac:dyDescent="0.35">
      <c r="A291" s="5">
        <v>14151</v>
      </c>
      <c r="B291" s="5">
        <v>1160922290</v>
      </c>
      <c r="C291" s="5">
        <v>727088</v>
      </c>
      <c r="D291" s="5">
        <v>3763285</v>
      </c>
      <c r="E291" s="6" t="s">
        <v>70</v>
      </c>
      <c r="F291" s="6" t="s">
        <v>70</v>
      </c>
      <c r="G291" s="6" t="s">
        <v>70</v>
      </c>
      <c r="H291" s="7"/>
      <c r="I291" s="34" t="str">
        <f t="shared" si="52"/>
        <v>160922</v>
      </c>
      <c r="J291" s="31" t="str">
        <f t="shared" si="53"/>
        <v>01</v>
      </c>
      <c r="N291" s="12">
        <f t="shared" si="54"/>
        <v>0</v>
      </c>
      <c r="O291" s="11" t="str">
        <f t="shared" si="55"/>
        <v>1</v>
      </c>
      <c r="P291" s="11" t="str">
        <f t="shared" si="56"/>
        <v>1</v>
      </c>
      <c r="Q291" s="11" t="str">
        <f t="shared" si="57"/>
        <v>6</v>
      </c>
      <c r="R291" s="11" t="str">
        <f t="shared" si="58"/>
        <v>0</v>
      </c>
      <c r="S291" s="11" t="str">
        <f t="shared" si="59"/>
        <v>9</v>
      </c>
      <c r="T291" s="11" t="str">
        <f t="shared" si="60"/>
        <v>2</v>
      </c>
      <c r="U291" s="11" t="str">
        <f t="shared" si="61"/>
        <v>2</v>
      </c>
      <c r="V291" s="11" t="str">
        <f t="shared" si="62"/>
        <v>2</v>
      </c>
      <c r="W291" s="11" t="str">
        <f t="shared" si="63"/>
        <v>9</v>
      </c>
      <c r="X291" s="11" t="str">
        <f t="shared" si="64"/>
        <v>0</v>
      </c>
    </row>
    <row r="292" spans="1:24" x14ac:dyDescent="0.35">
      <c r="A292" s="5">
        <v>14152</v>
      </c>
      <c r="B292" s="5">
        <v>1160922291</v>
      </c>
      <c r="C292" s="5">
        <v>727089</v>
      </c>
      <c r="D292" s="5">
        <v>3763285</v>
      </c>
      <c r="E292" s="6" t="s">
        <v>70</v>
      </c>
      <c r="F292" s="6" t="s">
        <v>70</v>
      </c>
      <c r="G292" s="6" t="s">
        <v>70</v>
      </c>
      <c r="H292" s="7"/>
      <c r="I292" s="34" t="str">
        <f t="shared" si="52"/>
        <v>160922</v>
      </c>
      <c r="J292" s="31" t="str">
        <f t="shared" si="53"/>
        <v>01</v>
      </c>
      <c r="N292" s="12">
        <f t="shared" si="54"/>
        <v>0</v>
      </c>
      <c r="O292" s="11" t="str">
        <f t="shared" si="55"/>
        <v>1</v>
      </c>
      <c r="P292" s="11" t="str">
        <f t="shared" si="56"/>
        <v>1</v>
      </c>
      <c r="Q292" s="11" t="str">
        <f t="shared" si="57"/>
        <v>6</v>
      </c>
      <c r="R292" s="11" t="str">
        <f t="shared" si="58"/>
        <v>0</v>
      </c>
      <c r="S292" s="11" t="str">
        <f t="shared" si="59"/>
        <v>9</v>
      </c>
      <c r="T292" s="11" t="str">
        <f t="shared" si="60"/>
        <v>2</v>
      </c>
      <c r="U292" s="11" t="str">
        <f t="shared" si="61"/>
        <v>2</v>
      </c>
      <c r="V292" s="11" t="str">
        <f t="shared" si="62"/>
        <v>2</v>
      </c>
      <c r="W292" s="11" t="str">
        <f t="shared" si="63"/>
        <v>9</v>
      </c>
      <c r="X292" s="11" t="str">
        <f t="shared" si="64"/>
        <v>1</v>
      </c>
    </row>
    <row r="293" spans="1:24" x14ac:dyDescent="0.35">
      <c r="A293" s="5">
        <v>14153</v>
      </c>
      <c r="B293" s="5">
        <v>1160922292</v>
      </c>
      <c r="C293" s="5">
        <v>727090</v>
      </c>
      <c r="D293" s="5">
        <v>3763285</v>
      </c>
      <c r="E293" s="6" t="s">
        <v>70</v>
      </c>
      <c r="F293" s="6" t="s">
        <v>70</v>
      </c>
      <c r="G293" s="6" t="s">
        <v>70</v>
      </c>
      <c r="H293" s="7"/>
      <c r="I293" s="34" t="str">
        <f t="shared" si="52"/>
        <v>160922</v>
      </c>
      <c r="J293" s="31" t="str">
        <f t="shared" si="53"/>
        <v>01</v>
      </c>
      <c r="N293" s="12">
        <f t="shared" si="54"/>
        <v>0</v>
      </c>
      <c r="O293" s="11" t="str">
        <f t="shared" si="55"/>
        <v>1</v>
      </c>
      <c r="P293" s="11" t="str">
        <f t="shared" si="56"/>
        <v>1</v>
      </c>
      <c r="Q293" s="11" t="str">
        <f t="shared" si="57"/>
        <v>6</v>
      </c>
      <c r="R293" s="11" t="str">
        <f t="shared" si="58"/>
        <v>0</v>
      </c>
      <c r="S293" s="11" t="str">
        <f t="shared" si="59"/>
        <v>9</v>
      </c>
      <c r="T293" s="11" t="str">
        <f t="shared" si="60"/>
        <v>2</v>
      </c>
      <c r="U293" s="11" t="str">
        <f t="shared" si="61"/>
        <v>2</v>
      </c>
      <c r="V293" s="11" t="str">
        <f t="shared" si="62"/>
        <v>2</v>
      </c>
      <c r="W293" s="11" t="str">
        <f t="shared" si="63"/>
        <v>9</v>
      </c>
      <c r="X293" s="11" t="str">
        <f t="shared" si="64"/>
        <v>2</v>
      </c>
    </row>
    <row r="294" spans="1:24" x14ac:dyDescent="0.35">
      <c r="A294" s="5">
        <v>14154</v>
      </c>
      <c r="B294" s="5">
        <v>1160922293</v>
      </c>
      <c r="C294" s="5">
        <v>727091</v>
      </c>
      <c r="D294" s="5">
        <v>3763285</v>
      </c>
      <c r="E294" s="6" t="s">
        <v>70</v>
      </c>
      <c r="F294" s="6" t="s">
        <v>70</v>
      </c>
      <c r="G294" s="6" t="s">
        <v>70</v>
      </c>
      <c r="H294" s="7"/>
      <c r="I294" s="34" t="str">
        <f t="shared" si="52"/>
        <v>160922</v>
      </c>
      <c r="J294" s="31" t="str">
        <f t="shared" si="53"/>
        <v>01</v>
      </c>
      <c r="N294" s="12">
        <f t="shared" si="54"/>
        <v>0</v>
      </c>
      <c r="O294" s="11" t="str">
        <f t="shared" si="55"/>
        <v>1</v>
      </c>
      <c r="P294" s="11" t="str">
        <f t="shared" si="56"/>
        <v>1</v>
      </c>
      <c r="Q294" s="11" t="str">
        <f t="shared" si="57"/>
        <v>6</v>
      </c>
      <c r="R294" s="11" t="str">
        <f t="shared" si="58"/>
        <v>0</v>
      </c>
      <c r="S294" s="11" t="str">
        <f t="shared" si="59"/>
        <v>9</v>
      </c>
      <c r="T294" s="11" t="str">
        <f t="shared" si="60"/>
        <v>2</v>
      </c>
      <c r="U294" s="11" t="str">
        <f t="shared" si="61"/>
        <v>2</v>
      </c>
      <c r="V294" s="11" t="str">
        <f t="shared" si="62"/>
        <v>2</v>
      </c>
      <c r="W294" s="11" t="str">
        <f t="shared" si="63"/>
        <v>9</v>
      </c>
      <c r="X294" s="11" t="str">
        <f t="shared" si="64"/>
        <v>3</v>
      </c>
    </row>
    <row r="295" spans="1:24" x14ac:dyDescent="0.35">
      <c r="A295" s="5">
        <v>14155</v>
      </c>
      <c r="B295" s="5">
        <v>1160922294</v>
      </c>
      <c r="C295" s="5">
        <v>727102</v>
      </c>
      <c r="D295" s="5">
        <v>3763282</v>
      </c>
      <c r="E295" s="6" t="s">
        <v>70</v>
      </c>
      <c r="F295" s="6" t="s">
        <v>70</v>
      </c>
      <c r="G295" s="6" t="s">
        <v>70</v>
      </c>
      <c r="H295" s="7"/>
      <c r="I295" s="34" t="str">
        <f t="shared" si="52"/>
        <v>160922</v>
      </c>
      <c r="J295" s="31" t="str">
        <f t="shared" si="53"/>
        <v>01</v>
      </c>
      <c r="N295" s="12">
        <f t="shared" si="54"/>
        <v>0</v>
      </c>
      <c r="O295" s="11" t="str">
        <f t="shared" si="55"/>
        <v>1</v>
      </c>
      <c r="P295" s="11" t="str">
        <f t="shared" si="56"/>
        <v>1</v>
      </c>
      <c r="Q295" s="11" t="str">
        <f t="shared" si="57"/>
        <v>6</v>
      </c>
      <c r="R295" s="11" t="str">
        <f t="shared" si="58"/>
        <v>0</v>
      </c>
      <c r="S295" s="11" t="str">
        <f t="shared" si="59"/>
        <v>9</v>
      </c>
      <c r="T295" s="11" t="str">
        <f t="shared" si="60"/>
        <v>2</v>
      </c>
      <c r="U295" s="11" t="str">
        <f t="shared" si="61"/>
        <v>2</v>
      </c>
      <c r="V295" s="11" t="str">
        <f t="shared" si="62"/>
        <v>2</v>
      </c>
      <c r="W295" s="11" t="str">
        <f t="shared" si="63"/>
        <v>9</v>
      </c>
      <c r="X295" s="11" t="str">
        <f t="shared" si="64"/>
        <v>4</v>
      </c>
    </row>
    <row r="296" spans="1:24" x14ac:dyDescent="0.35">
      <c r="A296" s="5">
        <v>14156</v>
      </c>
      <c r="B296" s="5">
        <v>1160922295</v>
      </c>
      <c r="C296" s="5">
        <v>727111</v>
      </c>
      <c r="D296" s="5">
        <v>3763296</v>
      </c>
      <c r="E296" s="6" t="s">
        <v>70</v>
      </c>
      <c r="F296" s="6" t="s">
        <v>70</v>
      </c>
      <c r="G296" s="6" t="s">
        <v>70</v>
      </c>
      <c r="H296" s="7"/>
      <c r="I296" s="34" t="str">
        <f t="shared" si="52"/>
        <v>160922</v>
      </c>
      <c r="J296" s="31" t="str">
        <f t="shared" si="53"/>
        <v>01</v>
      </c>
      <c r="N296" s="12">
        <f t="shared" si="54"/>
        <v>0</v>
      </c>
      <c r="O296" s="11" t="str">
        <f t="shared" si="55"/>
        <v>1</v>
      </c>
      <c r="P296" s="11" t="str">
        <f t="shared" si="56"/>
        <v>1</v>
      </c>
      <c r="Q296" s="11" t="str">
        <f t="shared" si="57"/>
        <v>6</v>
      </c>
      <c r="R296" s="11" t="str">
        <f t="shared" si="58"/>
        <v>0</v>
      </c>
      <c r="S296" s="11" t="str">
        <f t="shared" si="59"/>
        <v>9</v>
      </c>
      <c r="T296" s="11" t="str">
        <f t="shared" si="60"/>
        <v>2</v>
      </c>
      <c r="U296" s="11" t="str">
        <f t="shared" si="61"/>
        <v>2</v>
      </c>
      <c r="V296" s="11" t="str">
        <f t="shared" si="62"/>
        <v>2</v>
      </c>
      <c r="W296" s="11" t="str">
        <f t="shared" si="63"/>
        <v>9</v>
      </c>
      <c r="X296" s="11" t="str">
        <f t="shared" si="64"/>
        <v>5</v>
      </c>
    </row>
    <row r="297" spans="1:24" x14ac:dyDescent="0.35">
      <c r="A297" s="5">
        <v>14157</v>
      </c>
      <c r="B297" s="5">
        <v>1160922296</v>
      </c>
      <c r="C297" s="5">
        <v>727129</v>
      </c>
      <c r="D297" s="5">
        <v>3763335</v>
      </c>
      <c r="E297" s="6" t="s">
        <v>70</v>
      </c>
      <c r="F297" s="6" t="s">
        <v>70</v>
      </c>
      <c r="G297" s="6" t="s">
        <v>70</v>
      </c>
      <c r="H297" s="7"/>
      <c r="I297" s="34" t="str">
        <f t="shared" si="52"/>
        <v>160922</v>
      </c>
      <c r="J297" s="31" t="str">
        <f t="shared" si="53"/>
        <v>01</v>
      </c>
      <c r="N297" s="12">
        <f t="shared" si="54"/>
        <v>0</v>
      </c>
      <c r="O297" s="11" t="str">
        <f t="shared" si="55"/>
        <v>1</v>
      </c>
      <c r="P297" s="11" t="str">
        <f t="shared" si="56"/>
        <v>1</v>
      </c>
      <c r="Q297" s="11" t="str">
        <f t="shared" si="57"/>
        <v>6</v>
      </c>
      <c r="R297" s="11" t="str">
        <f t="shared" si="58"/>
        <v>0</v>
      </c>
      <c r="S297" s="11" t="str">
        <f t="shared" si="59"/>
        <v>9</v>
      </c>
      <c r="T297" s="11" t="str">
        <f t="shared" si="60"/>
        <v>2</v>
      </c>
      <c r="U297" s="11" t="str">
        <f t="shared" si="61"/>
        <v>2</v>
      </c>
      <c r="V297" s="11" t="str">
        <f t="shared" si="62"/>
        <v>2</v>
      </c>
      <c r="W297" s="11" t="str">
        <f t="shared" si="63"/>
        <v>9</v>
      </c>
      <c r="X297" s="11" t="str">
        <f t="shared" si="64"/>
        <v>6</v>
      </c>
    </row>
    <row r="298" spans="1:24" x14ac:dyDescent="0.35">
      <c r="A298" s="5">
        <v>14158</v>
      </c>
      <c r="B298" s="5">
        <v>1160922297</v>
      </c>
      <c r="C298" s="5">
        <v>727156</v>
      </c>
      <c r="D298" s="5">
        <v>3763317</v>
      </c>
      <c r="E298" s="6" t="s">
        <v>70</v>
      </c>
      <c r="F298" s="6" t="s">
        <v>70</v>
      </c>
      <c r="G298" s="6" t="s">
        <v>70</v>
      </c>
      <c r="H298" s="7"/>
      <c r="I298" s="34" t="str">
        <f t="shared" si="52"/>
        <v>160922</v>
      </c>
      <c r="J298" s="31" t="str">
        <f t="shared" si="53"/>
        <v>01</v>
      </c>
      <c r="N298" s="12">
        <f t="shared" si="54"/>
        <v>0</v>
      </c>
      <c r="O298" s="11" t="str">
        <f t="shared" si="55"/>
        <v>1</v>
      </c>
      <c r="P298" s="11" t="str">
        <f t="shared" si="56"/>
        <v>1</v>
      </c>
      <c r="Q298" s="11" t="str">
        <f t="shared" si="57"/>
        <v>6</v>
      </c>
      <c r="R298" s="11" t="str">
        <f t="shared" si="58"/>
        <v>0</v>
      </c>
      <c r="S298" s="11" t="str">
        <f t="shared" si="59"/>
        <v>9</v>
      </c>
      <c r="T298" s="11" t="str">
        <f t="shared" si="60"/>
        <v>2</v>
      </c>
      <c r="U298" s="11" t="str">
        <f t="shared" si="61"/>
        <v>2</v>
      </c>
      <c r="V298" s="11" t="str">
        <f t="shared" si="62"/>
        <v>2</v>
      </c>
      <c r="W298" s="11" t="str">
        <f t="shared" si="63"/>
        <v>9</v>
      </c>
      <c r="X298" s="11" t="str">
        <f t="shared" si="64"/>
        <v>7</v>
      </c>
    </row>
    <row r="299" spans="1:24" x14ac:dyDescent="0.35">
      <c r="A299" s="5">
        <v>14159</v>
      </c>
      <c r="B299" s="5">
        <v>1160922298</v>
      </c>
      <c r="C299" s="5">
        <v>727095</v>
      </c>
      <c r="D299" s="5">
        <v>3763262</v>
      </c>
      <c r="E299" s="6" t="s">
        <v>70</v>
      </c>
      <c r="F299" s="6" t="s">
        <v>70</v>
      </c>
      <c r="G299" s="6" t="s">
        <v>70</v>
      </c>
      <c r="H299" s="7"/>
      <c r="I299" s="34" t="str">
        <f t="shared" si="52"/>
        <v>160922</v>
      </c>
      <c r="J299" s="31" t="str">
        <f t="shared" si="53"/>
        <v>01</v>
      </c>
      <c r="N299" s="12">
        <f t="shared" si="54"/>
        <v>0</v>
      </c>
      <c r="O299" s="11" t="str">
        <f t="shared" si="55"/>
        <v>1</v>
      </c>
      <c r="P299" s="11" t="str">
        <f t="shared" si="56"/>
        <v>1</v>
      </c>
      <c r="Q299" s="11" t="str">
        <f t="shared" si="57"/>
        <v>6</v>
      </c>
      <c r="R299" s="11" t="str">
        <f t="shared" si="58"/>
        <v>0</v>
      </c>
      <c r="S299" s="11" t="str">
        <f t="shared" si="59"/>
        <v>9</v>
      </c>
      <c r="T299" s="11" t="str">
        <f t="shared" si="60"/>
        <v>2</v>
      </c>
      <c r="U299" s="11" t="str">
        <f t="shared" si="61"/>
        <v>2</v>
      </c>
      <c r="V299" s="11" t="str">
        <f t="shared" si="62"/>
        <v>2</v>
      </c>
      <c r="W299" s="11" t="str">
        <f t="shared" si="63"/>
        <v>9</v>
      </c>
      <c r="X299" s="11" t="str">
        <f t="shared" si="64"/>
        <v>8</v>
      </c>
    </row>
    <row r="300" spans="1:24" x14ac:dyDescent="0.35">
      <c r="A300" s="5">
        <v>14160</v>
      </c>
      <c r="B300" s="5">
        <v>1160922299</v>
      </c>
      <c r="C300" s="5">
        <v>727106</v>
      </c>
      <c r="D300" s="5">
        <v>3763255</v>
      </c>
      <c r="E300" s="6" t="s">
        <v>70</v>
      </c>
      <c r="F300" s="6" t="s">
        <v>70</v>
      </c>
      <c r="G300" s="6" t="s">
        <v>70</v>
      </c>
      <c r="H300" s="7"/>
      <c r="I300" s="34" t="str">
        <f t="shared" si="52"/>
        <v>160922</v>
      </c>
      <c r="J300" s="31" t="str">
        <f t="shared" si="53"/>
        <v>01</v>
      </c>
      <c r="N300" s="12">
        <f t="shared" si="54"/>
        <v>0</v>
      </c>
      <c r="O300" s="11" t="str">
        <f t="shared" si="55"/>
        <v>1</v>
      </c>
      <c r="P300" s="11" t="str">
        <f t="shared" si="56"/>
        <v>1</v>
      </c>
      <c r="Q300" s="11" t="str">
        <f t="shared" si="57"/>
        <v>6</v>
      </c>
      <c r="R300" s="11" t="str">
        <f t="shared" si="58"/>
        <v>0</v>
      </c>
      <c r="S300" s="11" t="str">
        <f t="shared" si="59"/>
        <v>9</v>
      </c>
      <c r="T300" s="11" t="str">
        <f t="shared" si="60"/>
        <v>2</v>
      </c>
      <c r="U300" s="11" t="str">
        <f t="shared" si="61"/>
        <v>2</v>
      </c>
      <c r="V300" s="11" t="str">
        <f t="shared" si="62"/>
        <v>2</v>
      </c>
      <c r="W300" s="11" t="str">
        <f t="shared" si="63"/>
        <v>9</v>
      </c>
      <c r="X300" s="11" t="str">
        <f t="shared" si="64"/>
        <v>9</v>
      </c>
    </row>
    <row r="301" spans="1:24" x14ac:dyDescent="0.35">
      <c r="A301" s="5">
        <v>14161</v>
      </c>
      <c r="B301" s="5">
        <v>1160922300</v>
      </c>
      <c r="C301" s="5">
        <v>727135</v>
      </c>
      <c r="D301" s="5">
        <v>3763240</v>
      </c>
      <c r="E301" s="6" t="s">
        <v>70</v>
      </c>
      <c r="F301" s="6" t="s">
        <v>70</v>
      </c>
      <c r="G301" s="6" t="s">
        <v>70</v>
      </c>
      <c r="H301" s="7"/>
      <c r="I301" s="34" t="str">
        <f t="shared" si="52"/>
        <v>160922</v>
      </c>
      <c r="J301" s="31" t="str">
        <f t="shared" si="53"/>
        <v>01</v>
      </c>
      <c r="N301" s="12">
        <f t="shared" si="54"/>
        <v>0</v>
      </c>
      <c r="O301" s="11" t="str">
        <f t="shared" si="55"/>
        <v>1</v>
      </c>
      <c r="P301" s="11" t="str">
        <f t="shared" si="56"/>
        <v>1</v>
      </c>
      <c r="Q301" s="11" t="str">
        <f t="shared" si="57"/>
        <v>6</v>
      </c>
      <c r="R301" s="11" t="str">
        <f t="shared" si="58"/>
        <v>0</v>
      </c>
      <c r="S301" s="11" t="str">
        <f t="shared" si="59"/>
        <v>9</v>
      </c>
      <c r="T301" s="11" t="str">
        <f t="shared" si="60"/>
        <v>2</v>
      </c>
      <c r="U301" s="11" t="str">
        <f t="shared" si="61"/>
        <v>2</v>
      </c>
      <c r="V301" s="11" t="str">
        <f t="shared" si="62"/>
        <v>3</v>
      </c>
      <c r="W301" s="11" t="str">
        <f t="shared" si="63"/>
        <v>0</v>
      </c>
      <c r="X301" s="11" t="str">
        <f t="shared" si="64"/>
        <v>0</v>
      </c>
    </row>
    <row r="302" spans="1:24" x14ac:dyDescent="0.35">
      <c r="A302" s="5">
        <v>14162</v>
      </c>
      <c r="B302" s="5">
        <v>1160922301</v>
      </c>
      <c r="C302" s="5">
        <v>727086</v>
      </c>
      <c r="D302" s="5">
        <v>3763315</v>
      </c>
      <c r="E302" s="6" t="s">
        <v>70</v>
      </c>
      <c r="F302" s="6" t="s">
        <v>70</v>
      </c>
      <c r="G302" s="6" t="s">
        <v>70</v>
      </c>
      <c r="H302" s="7"/>
      <c r="I302" s="34" t="str">
        <f t="shared" si="52"/>
        <v>160922</v>
      </c>
      <c r="J302" s="31" t="str">
        <f t="shared" si="53"/>
        <v>01</v>
      </c>
      <c r="N302" s="12">
        <f t="shared" si="54"/>
        <v>0</v>
      </c>
      <c r="O302" s="11" t="str">
        <f t="shared" si="55"/>
        <v>1</v>
      </c>
      <c r="P302" s="11" t="str">
        <f t="shared" si="56"/>
        <v>1</v>
      </c>
      <c r="Q302" s="11" t="str">
        <f t="shared" si="57"/>
        <v>6</v>
      </c>
      <c r="R302" s="11" t="str">
        <f t="shared" si="58"/>
        <v>0</v>
      </c>
      <c r="S302" s="11" t="str">
        <f t="shared" si="59"/>
        <v>9</v>
      </c>
      <c r="T302" s="11" t="str">
        <f t="shared" si="60"/>
        <v>2</v>
      </c>
      <c r="U302" s="11" t="str">
        <f t="shared" si="61"/>
        <v>2</v>
      </c>
      <c r="V302" s="11" t="str">
        <f t="shared" si="62"/>
        <v>3</v>
      </c>
      <c r="W302" s="11" t="str">
        <f t="shared" si="63"/>
        <v>0</v>
      </c>
      <c r="X302" s="11" t="str">
        <f t="shared" si="64"/>
        <v>1</v>
      </c>
    </row>
    <row r="303" spans="1:24" x14ac:dyDescent="0.35">
      <c r="A303" s="5">
        <v>14163</v>
      </c>
      <c r="B303" s="5">
        <v>1160922302</v>
      </c>
      <c r="C303" s="5">
        <v>727087</v>
      </c>
      <c r="D303" s="5">
        <v>3763317</v>
      </c>
      <c r="E303" s="6" t="s">
        <v>70</v>
      </c>
      <c r="F303" s="6" t="s">
        <v>70</v>
      </c>
      <c r="G303" s="6" t="s">
        <v>70</v>
      </c>
      <c r="H303" s="7"/>
      <c r="I303" s="34" t="str">
        <f t="shared" si="52"/>
        <v>160922</v>
      </c>
      <c r="J303" s="31" t="str">
        <f t="shared" si="53"/>
        <v>01</v>
      </c>
      <c r="N303" s="12">
        <f t="shared" si="54"/>
        <v>0</v>
      </c>
      <c r="O303" s="11" t="str">
        <f t="shared" si="55"/>
        <v>1</v>
      </c>
      <c r="P303" s="11" t="str">
        <f t="shared" si="56"/>
        <v>1</v>
      </c>
      <c r="Q303" s="11" t="str">
        <f t="shared" si="57"/>
        <v>6</v>
      </c>
      <c r="R303" s="11" t="str">
        <f t="shared" si="58"/>
        <v>0</v>
      </c>
      <c r="S303" s="11" t="str">
        <f t="shared" si="59"/>
        <v>9</v>
      </c>
      <c r="T303" s="11" t="str">
        <f t="shared" si="60"/>
        <v>2</v>
      </c>
      <c r="U303" s="11" t="str">
        <f t="shared" si="61"/>
        <v>2</v>
      </c>
      <c r="V303" s="11" t="str">
        <f t="shared" si="62"/>
        <v>3</v>
      </c>
      <c r="W303" s="11" t="str">
        <f t="shared" si="63"/>
        <v>0</v>
      </c>
      <c r="X303" s="11" t="str">
        <f t="shared" si="64"/>
        <v>2</v>
      </c>
    </row>
    <row r="304" spans="1:24" x14ac:dyDescent="0.35">
      <c r="A304" s="5">
        <v>14164</v>
      </c>
      <c r="B304" s="5">
        <v>1160922303</v>
      </c>
      <c r="C304" s="5">
        <v>727087</v>
      </c>
      <c r="D304" s="5">
        <v>3763315</v>
      </c>
      <c r="E304" s="6" t="s">
        <v>70</v>
      </c>
      <c r="F304" s="6" t="s">
        <v>70</v>
      </c>
      <c r="G304" s="6" t="s">
        <v>70</v>
      </c>
      <c r="H304" s="7"/>
      <c r="I304" s="34" t="str">
        <f t="shared" si="52"/>
        <v>160922</v>
      </c>
      <c r="J304" s="31" t="str">
        <f t="shared" si="53"/>
        <v>01</v>
      </c>
      <c r="N304" s="12">
        <f t="shared" si="54"/>
        <v>0</v>
      </c>
      <c r="O304" s="11" t="str">
        <f t="shared" si="55"/>
        <v>1</v>
      </c>
      <c r="P304" s="11" t="str">
        <f t="shared" si="56"/>
        <v>1</v>
      </c>
      <c r="Q304" s="11" t="str">
        <f t="shared" si="57"/>
        <v>6</v>
      </c>
      <c r="R304" s="11" t="str">
        <f t="shared" si="58"/>
        <v>0</v>
      </c>
      <c r="S304" s="11" t="str">
        <f t="shared" si="59"/>
        <v>9</v>
      </c>
      <c r="T304" s="11" t="str">
        <f t="shared" si="60"/>
        <v>2</v>
      </c>
      <c r="U304" s="11" t="str">
        <f t="shared" si="61"/>
        <v>2</v>
      </c>
      <c r="V304" s="11" t="str">
        <f t="shared" si="62"/>
        <v>3</v>
      </c>
      <c r="W304" s="11" t="str">
        <f t="shared" si="63"/>
        <v>0</v>
      </c>
      <c r="X304" s="11" t="str">
        <f t="shared" si="64"/>
        <v>3</v>
      </c>
    </row>
    <row r="305" spans="1:24" x14ac:dyDescent="0.35">
      <c r="A305" s="5">
        <v>14165</v>
      </c>
      <c r="B305" s="5">
        <v>1160922304</v>
      </c>
      <c r="C305" s="5">
        <v>727103</v>
      </c>
      <c r="D305" s="5">
        <v>3763352</v>
      </c>
      <c r="E305" s="6" t="s">
        <v>70</v>
      </c>
      <c r="F305" s="6" t="s">
        <v>70</v>
      </c>
      <c r="G305" s="6" t="s">
        <v>70</v>
      </c>
      <c r="H305" s="7"/>
      <c r="I305" s="34" t="str">
        <f t="shared" si="52"/>
        <v>160922</v>
      </c>
      <c r="J305" s="31" t="str">
        <f t="shared" si="53"/>
        <v>01</v>
      </c>
      <c r="N305" s="12">
        <f t="shared" si="54"/>
        <v>0</v>
      </c>
      <c r="O305" s="11" t="str">
        <f t="shared" si="55"/>
        <v>1</v>
      </c>
      <c r="P305" s="11" t="str">
        <f t="shared" si="56"/>
        <v>1</v>
      </c>
      <c r="Q305" s="11" t="str">
        <f t="shared" si="57"/>
        <v>6</v>
      </c>
      <c r="R305" s="11" t="str">
        <f t="shared" si="58"/>
        <v>0</v>
      </c>
      <c r="S305" s="11" t="str">
        <f t="shared" si="59"/>
        <v>9</v>
      </c>
      <c r="T305" s="11" t="str">
        <f t="shared" si="60"/>
        <v>2</v>
      </c>
      <c r="U305" s="11" t="str">
        <f t="shared" si="61"/>
        <v>2</v>
      </c>
      <c r="V305" s="11" t="str">
        <f t="shared" si="62"/>
        <v>3</v>
      </c>
      <c r="W305" s="11" t="str">
        <f t="shared" si="63"/>
        <v>0</v>
      </c>
      <c r="X305" s="11" t="str">
        <f t="shared" si="64"/>
        <v>4</v>
      </c>
    </row>
    <row r="306" spans="1:24" x14ac:dyDescent="0.35">
      <c r="A306" s="5">
        <v>14166</v>
      </c>
      <c r="B306" s="5">
        <v>1160922305</v>
      </c>
      <c r="C306" s="5">
        <v>727115</v>
      </c>
      <c r="D306" s="5">
        <v>3763384</v>
      </c>
      <c r="E306" s="6" t="s">
        <v>70</v>
      </c>
      <c r="F306" s="6" t="s">
        <v>70</v>
      </c>
      <c r="G306" s="6" t="s">
        <v>70</v>
      </c>
      <c r="H306" s="7"/>
      <c r="I306" s="34" t="str">
        <f t="shared" si="52"/>
        <v>160922</v>
      </c>
      <c r="J306" s="31" t="str">
        <f t="shared" si="53"/>
        <v>01</v>
      </c>
      <c r="N306" s="12">
        <f t="shared" si="54"/>
        <v>0</v>
      </c>
      <c r="O306" s="11" t="str">
        <f t="shared" si="55"/>
        <v>1</v>
      </c>
      <c r="P306" s="11" t="str">
        <f t="shared" si="56"/>
        <v>1</v>
      </c>
      <c r="Q306" s="11" t="str">
        <f t="shared" si="57"/>
        <v>6</v>
      </c>
      <c r="R306" s="11" t="str">
        <f t="shared" si="58"/>
        <v>0</v>
      </c>
      <c r="S306" s="11" t="str">
        <f t="shared" si="59"/>
        <v>9</v>
      </c>
      <c r="T306" s="11" t="str">
        <f t="shared" si="60"/>
        <v>2</v>
      </c>
      <c r="U306" s="11" t="str">
        <f t="shared" si="61"/>
        <v>2</v>
      </c>
      <c r="V306" s="11" t="str">
        <f t="shared" si="62"/>
        <v>3</v>
      </c>
      <c r="W306" s="11" t="str">
        <f t="shared" si="63"/>
        <v>0</v>
      </c>
      <c r="X306" s="11" t="str">
        <f t="shared" si="64"/>
        <v>5</v>
      </c>
    </row>
    <row r="307" spans="1:24" x14ac:dyDescent="0.35">
      <c r="A307" s="5">
        <v>14167</v>
      </c>
      <c r="B307" s="5">
        <v>1160922306</v>
      </c>
      <c r="C307" s="5">
        <v>727142</v>
      </c>
      <c r="D307" s="5">
        <v>3763372</v>
      </c>
      <c r="E307" s="6" t="s">
        <v>70</v>
      </c>
      <c r="F307" s="6" t="s">
        <v>70</v>
      </c>
      <c r="G307" s="6" t="s">
        <v>70</v>
      </c>
      <c r="H307" s="7"/>
      <c r="I307" s="34" t="str">
        <f t="shared" si="52"/>
        <v>160922</v>
      </c>
      <c r="J307" s="31" t="str">
        <f t="shared" si="53"/>
        <v>01</v>
      </c>
      <c r="N307" s="12">
        <f t="shared" si="54"/>
        <v>0</v>
      </c>
      <c r="O307" s="11" t="str">
        <f t="shared" si="55"/>
        <v>1</v>
      </c>
      <c r="P307" s="11" t="str">
        <f t="shared" si="56"/>
        <v>1</v>
      </c>
      <c r="Q307" s="11" t="str">
        <f t="shared" si="57"/>
        <v>6</v>
      </c>
      <c r="R307" s="11" t="str">
        <f t="shared" si="58"/>
        <v>0</v>
      </c>
      <c r="S307" s="11" t="str">
        <f t="shared" si="59"/>
        <v>9</v>
      </c>
      <c r="T307" s="11" t="str">
        <f t="shared" si="60"/>
        <v>2</v>
      </c>
      <c r="U307" s="11" t="str">
        <f t="shared" si="61"/>
        <v>2</v>
      </c>
      <c r="V307" s="11" t="str">
        <f t="shared" si="62"/>
        <v>3</v>
      </c>
      <c r="W307" s="11" t="str">
        <f t="shared" si="63"/>
        <v>0</v>
      </c>
      <c r="X307" s="11" t="str">
        <f t="shared" si="64"/>
        <v>6</v>
      </c>
    </row>
    <row r="308" spans="1:24" x14ac:dyDescent="0.35">
      <c r="A308" s="5">
        <v>14168</v>
      </c>
      <c r="B308" s="5">
        <v>1160922307</v>
      </c>
      <c r="C308" s="5">
        <v>727138</v>
      </c>
      <c r="D308" s="5">
        <v>3763422</v>
      </c>
      <c r="E308" s="6" t="s">
        <v>70</v>
      </c>
      <c r="F308" s="6" t="s">
        <v>70</v>
      </c>
      <c r="G308" s="6" t="s">
        <v>70</v>
      </c>
      <c r="H308" s="7"/>
      <c r="I308" s="34" t="str">
        <f t="shared" si="52"/>
        <v>160922</v>
      </c>
      <c r="J308" s="31" t="str">
        <f t="shared" si="53"/>
        <v>01</v>
      </c>
      <c r="N308" s="12">
        <f t="shared" si="54"/>
        <v>0</v>
      </c>
      <c r="O308" s="11" t="str">
        <f t="shared" si="55"/>
        <v>1</v>
      </c>
      <c r="P308" s="11" t="str">
        <f t="shared" si="56"/>
        <v>1</v>
      </c>
      <c r="Q308" s="11" t="str">
        <f t="shared" si="57"/>
        <v>6</v>
      </c>
      <c r="R308" s="11" t="str">
        <f t="shared" si="58"/>
        <v>0</v>
      </c>
      <c r="S308" s="11" t="str">
        <f t="shared" si="59"/>
        <v>9</v>
      </c>
      <c r="T308" s="11" t="str">
        <f t="shared" si="60"/>
        <v>2</v>
      </c>
      <c r="U308" s="11" t="str">
        <f t="shared" si="61"/>
        <v>2</v>
      </c>
      <c r="V308" s="11" t="str">
        <f t="shared" si="62"/>
        <v>3</v>
      </c>
      <c r="W308" s="11" t="str">
        <f t="shared" si="63"/>
        <v>0</v>
      </c>
      <c r="X308" s="11" t="str">
        <f t="shared" si="64"/>
        <v>7</v>
      </c>
    </row>
    <row r="309" spans="1:24" x14ac:dyDescent="0.35">
      <c r="A309" s="5">
        <v>14169</v>
      </c>
      <c r="B309" s="5">
        <v>1160922308</v>
      </c>
      <c r="C309" s="5">
        <v>727154</v>
      </c>
      <c r="D309" s="5">
        <v>3763409</v>
      </c>
      <c r="E309" s="6" t="s">
        <v>70</v>
      </c>
      <c r="F309" s="6" t="s">
        <v>70</v>
      </c>
      <c r="G309" s="6" t="s">
        <v>70</v>
      </c>
      <c r="H309" s="7"/>
      <c r="I309" s="34" t="str">
        <f t="shared" si="52"/>
        <v>160922</v>
      </c>
      <c r="J309" s="31" t="str">
        <f t="shared" si="53"/>
        <v>01</v>
      </c>
      <c r="N309" s="12">
        <f t="shared" si="54"/>
        <v>0</v>
      </c>
      <c r="O309" s="11" t="str">
        <f t="shared" si="55"/>
        <v>1</v>
      </c>
      <c r="P309" s="11" t="str">
        <f t="shared" si="56"/>
        <v>1</v>
      </c>
      <c r="Q309" s="11" t="str">
        <f t="shared" si="57"/>
        <v>6</v>
      </c>
      <c r="R309" s="11" t="str">
        <f t="shared" si="58"/>
        <v>0</v>
      </c>
      <c r="S309" s="11" t="str">
        <f t="shared" si="59"/>
        <v>9</v>
      </c>
      <c r="T309" s="11" t="str">
        <f t="shared" si="60"/>
        <v>2</v>
      </c>
      <c r="U309" s="11" t="str">
        <f t="shared" si="61"/>
        <v>2</v>
      </c>
      <c r="V309" s="11" t="str">
        <f t="shared" si="62"/>
        <v>3</v>
      </c>
      <c r="W309" s="11" t="str">
        <f t="shared" si="63"/>
        <v>0</v>
      </c>
      <c r="X309" s="11" t="str">
        <f t="shared" si="64"/>
        <v>8</v>
      </c>
    </row>
    <row r="310" spans="1:24" x14ac:dyDescent="0.35">
      <c r="A310" s="5">
        <v>14170</v>
      </c>
      <c r="B310" s="5">
        <v>1160922309</v>
      </c>
      <c r="C310" s="5">
        <v>727153</v>
      </c>
      <c r="D310" s="5">
        <v>3763443</v>
      </c>
      <c r="E310" s="6" t="s">
        <v>70</v>
      </c>
      <c r="F310" s="6" t="s">
        <v>70</v>
      </c>
      <c r="G310" s="6" t="s">
        <v>70</v>
      </c>
      <c r="H310" s="7"/>
      <c r="I310" s="34" t="str">
        <f t="shared" si="52"/>
        <v>160922</v>
      </c>
      <c r="J310" s="31" t="str">
        <f t="shared" si="53"/>
        <v>01</v>
      </c>
      <c r="N310" s="12">
        <f t="shared" si="54"/>
        <v>0</v>
      </c>
      <c r="O310" s="11" t="str">
        <f t="shared" si="55"/>
        <v>1</v>
      </c>
      <c r="P310" s="11" t="str">
        <f t="shared" si="56"/>
        <v>1</v>
      </c>
      <c r="Q310" s="11" t="str">
        <f t="shared" si="57"/>
        <v>6</v>
      </c>
      <c r="R310" s="11" t="str">
        <f t="shared" si="58"/>
        <v>0</v>
      </c>
      <c r="S310" s="11" t="str">
        <f t="shared" si="59"/>
        <v>9</v>
      </c>
      <c r="T310" s="11" t="str">
        <f t="shared" si="60"/>
        <v>2</v>
      </c>
      <c r="U310" s="11" t="str">
        <f t="shared" si="61"/>
        <v>2</v>
      </c>
      <c r="V310" s="11" t="str">
        <f t="shared" si="62"/>
        <v>3</v>
      </c>
      <c r="W310" s="11" t="str">
        <f t="shared" si="63"/>
        <v>0</v>
      </c>
      <c r="X310" s="11" t="str">
        <f t="shared" si="64"/>
        <v>9</v>
      </c>
    </row>
    <row r="311" spans="1:24" x14ac:dyDescent="0.35">
      <c r="A311" s="5">
        <v>14171</v>
      </c>
      <c r="B311" s="5">
        <v>1160922310</v>
      </c>
      <c r="C311" s="5">
        <v>727156</v>
      </c>
      <c r="D311" s="5">
        <v>3763438</v>
      </c>
      <c r="E311" s="6" t="s">
        <v>70</v>
      </c>
      <c r="F311" s="6" t="s">
        <v>70</v>
      </c>
      <c r="G311" s="6" t="s">
        <v>70</v>
      </c>
      <c r="H311" s="7"/>
      <c r="I311" s="34" t="str">
        <f t="shared" si="52"/>
        <v>160922</v>
      </c>
      <c r="J311" s="31" t="str">
        <f t="shared" si="53"/>
        <v>01</v>
      </c>
      <c r="N311" s="12">
        <f t="shared" si="54"/>
        <v>0</v>
      </c>
      <c r="O311" s="11" t="str">
        <f t="shared" si="55"/>
        <v>1</v>
      </c>
      <c r="P311" s="11" t="str">
        <f t="shared" si="56"/>
        <v>1</v>
      </c>
      <c r="Q311" s="11" t="str">
        <f t="shared" si="57"/>
        <v>6</v>
      </c>
      <c r="R311" s="11" t="str">
        <f t="shared" si="58"/>
        <v>0</v>
      </c>
      <c r="S311" s="11" t="str">
        <f t="shared" si="59"/>
        <v>9</v>
      </c>
      <c r="T311" s="11" t="str">
        <f t="shared" si="60"/>
        <v>2</v>
      </c>
      <c r="U311" s="11" t="str">
        <f t="shared" si="61"/>
        <v>2</v>
      </c>
      <c r="V311" s="11" t="str">
        <f t="shared" si="62"/>
        <v>3</v>
      </c>
      <c r="W311" s="11" t="str">
        <f t="shared" si="63"/>
        <v>1</v>
      </c>
      <c r="X311" s="11" t="str">
        <f t="shared" si="64"/>
        <v>0</v>
      </c>
    </row>
    <row r="312" spans="1:24" x14ac:dyDescent="0.35">
      <c r="A312" s="5">
        <v>14172</v>
      </c>
      <c r="B312" s="5">
        <v>1160922311</v>
      </c>
      <c r="C312" s="5">
        <v>727157</v>
      </c>
      <c r="D312" s="5">
        <v>3763437</v>
      </c>
      <c r="E312" s="6" t="s">
        <v>70</v>
      </c>
      <c r="F312" s="6" t="s">
        <v>70</v>
      </c>
      <c r="G312" s="6" t="s">
        <v>70</v>
      </c>
      <c r="H312" s="7"/>
      <c r="I312" s="34" t="str">
        <f t="shared" si="52"/>
        <v>160922</v>
      </c>
      <c r="J312" s="31" t="str">
        <f t="shared" si="53"/>
        <v>01</v>
      </c>
      <c r="N312" s="12">
        <f t="shared" si="54"/>
        <v>0</v>
      </c>
      <c r="O312" s="11" t="str">
        <f t="shared" si="55"/>
        <v>1</v>
      </c>
      <c r="P312" s="11" t="str">
        <f t="shared" si="56"/>
        <v>1</v>
      </c>
      <c r="Q312" s="11" t="str">
        <f t="shared" si="57"/>
        <v>6</v>
      </c>
      <c r="R312" s="11" t="str">
        <f t="shared" si="58"/>
        <v>0</v>
      </c>
      <c r="S312" s="11" t="str">
        <f t="shared" si="59"/>
        <v>9</v>
      </c>
      <c r="T312" s="11" t="str">
        <f t="shared" si="60"/>
        <v>2</v>
      </c>
      <c r="U312" s="11" t="str">
        <f t="shared" si="61"/>
        <v>2</v>
      </c>
      <c r="V312" s="11" t="str">
        <f t="shared" si="62"/>
        <v>3</v>
      </c>
      <c r="W312" s="11" t="str">
        <f t="shared" si="63"/>
        <v>1</v>
      </c>
      <c r="X312" s="11" t="str">
        <f t="shared" si="64"/>
        <v>1</v>
      </c>
    </row>
    <row r="313" spans="1:24" x14ac:dyDescent="0.35">
      <c r="A313" s="5">
        <v>14173</v>
      </c>
      <c r="B313" s="5">
        <v>1160922312</v>
      </c>
      <c r="C313" s="5">
        <v>726988</v>
      </c>
      <c r="D313" s="5">
        <v>3763379</v>
      </c>
      <c r="E313" s="6" t="s">
        <v>70</v>
      </c>
      <c r="F313" s="6" t="s">
        <v>70</v>
      </c>
      <c r="G313" s="6" t="s">
        <v>70</v>
      </c>
      <c r="H313" s="7"/>
      <c r="I313" s="34" t="str">
        <f t="shared" si="52"/>
        <v>160922</v>
      </c>
      <c r="J313" s="31" t="str">
        <f t="shared" si="53"/>
        <v>01</v>
      </c>
      <c r="N313" s="12">
        <f t="shared" si="54"/>
        <v>0</v>
      </c>
      <c r="O313" s="11" t="str">
        <f t="shared" si="55"/>
        <v>1</v>
      </c>
      <c r="P313" s="11" t="str">
        <f t="shared" si="56"/>
        <v>1</v>
      </c>
      <c r="Q313" s="11" t="str">
        <f t="shared" si="57"/>
        <v>6</v>
      </c>
      <c r="R313" s="11" t="str">
        <f t="shared" si="58"/>
        <v>0</v>
      </c>
      <c r="S313" s="11" t="str">
        <f t="shared" si="59"/>
        <v>9</v>
      </c>
      <c r="T313" s="11" t="str">
        <f t="shared" si="60"/>
        <v>2</v>
      </c>
      <c r="U313" s="11" t="str">
        <f t="shared" si="61"/>
        <v>2</v>
      </c>
      <c r="V313" s="11" t="str">
        <f t="shared" si="62"/>
        <v>3</v>
      </c>
      <c r="W313" s="11" t="str">
        <f t="shared" si="63"/>
        <v>1</v>
      </c>
      <c r="X313" s="11" t="str">
        <f t="shared" si="64"/>
        <v>2</v>
      </c>
    </row>
    <row r="314" spans="1:24" x14ac:dyDescent="0.35">
      <c r="A314" s="5">
        <v>14174</v>
      </c>
      <c r="B314" s="5">
        <v>1160922313</v>
      </c>
      <c r="C314" s="5">
        <v>726989</v>
      </c>
      <c r="D314" s="5">
        <v>3763380</v>
      </c>
      <c r="E314" s="6" t="s">
        <v>70</v>
      </c>
      <c r="F314" s="6" t="s">
        <v>70</v>
      </c>
      <c r="G314" s="6" t="s">
        <v>70</v>
      </c>
      <c r="H314" s="7"/>
      <c r="I314" s="34" t="str">
        <f t="shared" si="52"/>
        <v>160922</v>
      </c>
      <c r="J314" s="31" t="str">
        <f t="shared" si="53"/>
        <v>01</v>
      </c>
      <c r="N314" s="12">
        <f t="shared" si="54"/>
        <v>0</v>
      </c>
      <c r="O314" s="11" t="str">
        <f t="shared" si="55"/>
        <v>1</v>
      </c>
      <c r="P314" s="11" t="str">
        <f t="shared" si="56"/>
        <v>1</v>
      </c>
      <c r="Q314" s="11" t="str">
        <f t="shared" si="57"/>
        <v>6</v>
      </c>
      <c r="R314" s="11" t="str">
        <f t="shared" si="58"/>
        <v>0</v>
      </c>
      <c r="S314" s="11" t="str">
        <f t="shared" si="59"/>
        <v>9</v>
      </c>
      <c r="T314" s="11" t="str">
        <f t="shared" si="60"/>
        <v>2</v>
      </c>
      <c r="U314" s="11" t="str">
        <f t="shared" si="61"/>
        <v>2</v>
      </c>
      <c r="V314" s="11" t="str">
        <f t="shared" si="62"/>
        <v>3</v>
      </c>
      <c r="W314" s="11" t="str">
        <f t="shared" si="63"/>
        <v>1</v>
      </c>
      <c r="X314" s="11" t="str">
        <f t="shared" si="64"/>
        <v>3</v>
      </c>
    </row>
    <row r="315" spans="1:24" x14ac:dyDescent="0.35">
      <c r="A315" s="5">
        <v>14175</v>
      </c>
      <c r="B315" s="5">
        <v>1160922314</v>
      </c>
      <c r="C315" s="5">
        <v>726990</v>
      </c>
      <c r="D315" s="5">
        <v>3763380</v>
      </c>
      <c r="E315" s="6" t="s">
        <v>70</v>
      </c>
      <c r="F315" s="6" t="s">
        <v>70</v>
      </c>
      <c r="G315" s="6" t="s">
        <v>70</v>
      </c>
      <c r="H315" s="7"/>
      <c r="I315" s="34" t="str">
        <f t="shared" si="52"/>
        <v>160922</v>
      </c>
      <c r="J315" s="31" t="str">
        <f t="shared" si="53"/>
        <v>01</v>
      </c>
      <c r="N315" s="12">
        <f t="shared" si="54"/>
        <v>0</v>
      </c>
      <c r="O315" s="11" t="str">
        <f t="shared" si="55"/>
        <v>1</v>
      </c>
      <c r="P315" s="11" t="str">
        <f t="shared" si="56"/>
        <v>1</v>
      </c>
      <c r="Q315" s="11" t="str">
        <f t="shared" si="57"/>
        <v>6</v>
      </c>
      <c r="R315" s="11" t="str">
        <f t="shared" si="58"/>
        <v>0</v>
      </c>
      <c r="S315" s="11" t="str">
        <f t="shared" si="59"/>
        <v>9</v>
      </c>
      <c r="T315" s="11" t="str">
        <f t="shared" si="60"/>
        <v>2</v>
      </c>
      <c r="U315" s="11" t="str">
        <f t="shared" si="61"/>
        <v>2</v>
      </c>
      <c r="V315" s="11" t="str">
        <f t="shared" si="62"/>
        <v>3</v>
      </c>
      <c r="W315" s="11" t="str">
        <f t="shared" si="63"/>
        <v>1</v>
      </c>
      <c r="X315" s="11" t="str">
        <f t="shared" si="64"/>
        <v>4</v>
      </c>
    </row>
    <row r="316" spans="1:24" x14ac:dyDescent="0.35">
      <c r="A316" s="5">
        <v>14176</v>
      </c>
      <c r="B316" s="5">
        <v>1160922315</v>
      </c>
      <c r="C316" s="5">
        <v>727007</v>
      </c>
      <c r="D316" s="5">
        <v>3763426</v>
      </c>
      <c r="E316" s="6" t="s">
        <v>70</v>
      </c>
      <c r="F316" s="6" t="s">
        <v>70</v>
      </c>
      <c r="G316" s="6" t="s">
        <v>70</v>
      </c>
      <c r="H316" s="7"/>
      <c r="I316" s="34" t="str">
        <f t="shared" si="52"/>
        <v>160922</v>
      </c>
      <c r="J316" s="31" t="str">
        <f t="shared" si="53"/>
        <v>01</v>
      </c>
      <c r="N316" s="12">
        <f t="shared" si="54"/>
        <v>0</v>
      </c>
      <c r="O316" s="11" t="str">
        <f t="shared" si="55"/>
        <v>1</v>
      </c>
      <c r="P316" s="11" t="str">
        <f t="shared" si="56"/>
        <v>1</v>
      </c>
      <c r="Q316" s="11" t="str">
        <f t="shared" si="57"/>
        <v>6</v>
      </c>
      <c r="R316" s="11" t="str">
        <f t="shared" si="58"/>
        <v>0</v>
      </c>
      <c r="S316" s="11" t="str">
        <f t="shared" si="59"/>
        <v>9</v>
      </c>
      <c r="T316" s="11" t="str">
        <f t="shared" si="60"/>
        <v>2</v>
      </c>
      <c r="U316" s="11" t="str">
        <f t="shared" si="61"/>
        <v>2</v>
      </c>
      <c r="V316" s="11" t="str">
        <f t="shared" si="62"/>
        <v>3</v>
      </c>
      <c r="W316" s="11" t="str">
        <f t="shared" si="63"/>
        <v>1</v>
      </c>
      <c r="X316" s="11" t="str">
        <f t="shared" si="64"/>
        <v>5</v>
      </c>
    </row>
    <row r="317" spans="1:24" x14ac:dyDescent="0.35">
      <c r="A317" s="5">
        <v>14177</v>
      </c>
      <c r="B317" s="5">
        <v>1160922316</v>
      </c>
      <c r="C317" s="5">
        <v>727026</v>
      </c>
      <c r="D317" s="5">
        <v>3763468</v>
      </c>
      <c r="E317" s="6" t="s">
        <v>70</v>
      </c>
      <c r="F317" s="6" t="s">
        <v>70</v>
      </c>
      <c r="G317" s="6" t="s">
        <v>70</v>
      </c>
      <c r="H317" s="7"/>
      <c r="I317" s="34" t="str">
        <f t="shared" si="52"/>
        <v>160922</v>
      </c>
      <c r="J317" s="31" t="str">
        <f t="shared" si="53"/>
        <v>01</v>
      </c>
      <c r="N317" s="12">
        <f t="shared" si="54"/>
        <v>0</v>
      </c>
      <c r="O317" s="11" t="str">
        <f t="shared" si="55"/>
        <v>1</v>
      </c>
      <c r="P317" s="11" t="str">
        <f t="shared" si="56"/>
        <v>1</v>
      </c>
      <c r="Q317" s="11" t="str">
        <f t="shared" si="57"/>
        <v>6</v>
      </c>
      <c r="R317" s="11" t="str">
        <f t="shared" si="58"/>
        <v>0</v>
      </c>
      <c r="S317" s="11" t="str">
        <f t="shared" si="59"/>
        <v>9</v>
      </c>
      <c r="T317" s="11" t="str">
        <f t="shared" si="60"/>
        <v>2</v>
      </c>
      <c r="U317" s="11" t="str">
        <f t="shared" si="61"/>
        <v>2</v>
      </c>
      <c r="V317" s="11" t="str">
        <f t="shared" si="62"/>
        <v>3</v>
      </c>
      <c r="W317" s="11" t="str">
        <f t="shared" si="63"/>
        <v>1</v>
      </c>
      <c r="X317" s="11" t="str">
        <f t="shared" si="64"/>
        <v>6</v>
      </c>
    </row>
    <row r="318" spans="1:24" x14ac:dyDescent="0.35">
      <c r="A318" s="5">
        <v>14178</v>
      </c>
      <c r="B318" s="5">
        <v>1160922317</v>
      </c>
      <c r="C318" s="5">
        <v>727029</v>
      </c>
      <c r="D318" s="5">
        <v>3763470</v>
      </c>
      <c r="E318" s="6" t="s">
        <v>70</v>
      </c>
      <c r="F318" s="6" t="s">
        <v>70</v>
      </c>
      <c r="G318" s="6" t="s">
        <v>70</v>
      </c>
      <c r="H318" s="7"/>
      <c r="I318" s="34" t="str">
        <f t="shared" si="52"/>
        <v>160922</v>
      </c>
      <c r="J318" s="31" t="str">
        <f t="shared" si="53"/>
        <v>01</v>
      </c>
      <c r="N318" s="12">
        <f t="shared" si="54"/>
        <v>0</v>
      </c>
      <c r="O318" s="11" t="str">
        <f t="shared" si="55"/>
        <v>1</v>
      </c>
      <c r="P318" s="11" t="str">
        <f t="shared" si="56"/>
        <v>1</v>
      </c>
      <c r="Q318" s="11" t="str">
        <f t="shared" si="57"/>
        <v>6</v>
      </c>
      <c r="R318" s="11" t="str">
        <f t="shared" si="58"/>
        <v>0</v>
      </c>
      <c r="S318" s="11" t="str">
        <f t="shared" si="59"/>
        <v>9</v>
      </c>
      <c r="T318" s="11" t="str">
        <f t="shared" si="60"/>
        <v>2</v>
      </c>
      <c r="U318" s="11" t="str">
        <f t="shared" si="61"/>
        <v>2</v>
      </c>
      <c r="V318" s="11" t="str">
        <f t="shared" si="62"/>
        <v>3</v>
      </c>
      <c r="W318" s="11" t="str">
        <f t="shared" si="63"/>
        <v>1</v>
      </c>
      <c r="X318" s="11" t="str">
        <f t="shared" si="64"/>
        <v>7</v>
      </c>
    </row>
    <row r="319" spans="1:24" x14ac:dyDescent="0.35">
      <c r="A319" s="5">
        <v>14179</v>
      </c>
      <c r="B319" s="5">
        <v>1160922318</v>
      </c>
      <c r="C319" s="5">
        <v>727029</v>
      </c>
      <c r="D319" s="5">
        <v>3763470</v>
      </c>
      <c r="E319" s="6" t="s">
        <v>70</v>
      </c>
      <c r="F319" s="6" t="s">
        <v>70</v>
      </c>
      <c r="G319" s="6" t="s">
        <v>70</v>
      </c>
      <c r="H319" s="7"/>
      <c r="I319" s="34" t="str">
        <f t="shared" si="52"/>
        <v>160922</v>
      </c>
      <c r="J319" s="31" t="str">
        <f t="shared" si="53"/>
        <v>01</v>
      </c>
      <c r="N319" s="12">
        <f t="shared" si="54"/>
        <v>0</v>
      </c>
      <c r="O319" s="11" t="str">
        <f t="shared" si="55"/>
        <v>1</v>
      </c>
      <c r="P319" s="11" t="str">
        <f t="shared" si="56"/>
        <v>1</v>
      </c>
      <c r="Q319" s="11" t="str">
        <f t="shared" si="57"/>
        <v>6</v>
      </c>
      <c r="R319" s="11" t="str">
        <f t="shared" si="58"/>
        <v>0</v>
      </c>
      <c r="S319" s="11" t="str">
        <f t="shared" si="59"/>
        <v>9</v>
      </c>
      <c r="T319" s="11" t="str">
        <f t="shared" si="60"/>
        <v>2</v>
      </c>
      <c r="U319" s="11" t="str">
        <f t="shared" si="61"/>
        <v>2</v>
      </c>
      <c r="V319" s="11" t="str">
        <f t="shared" si="62"/>
        <v>3</v>
      </c>
      <c r="W319" s="11" t="str">
        <f t="shared" si="63"/>
        <v>1</v>
      </c>
      <c r="X319" s="11" t="str">
        <f t="shared" si="64"/>
        <v>8</v>
      </c>
    </row>
    <row r="320" spans="1:24" x14ac:dyDescent="0.35">
      <c r="A320" s="5">
        <v>14180</v>
      </c>
      <c r="B320" s="5">
        <v>1160922319</v>
      </c>
      <c r="C320" s="5">
        <v>726975</v>
      </c>
      <c r="D320" s="5">
        <v>3763474</v>
      </c>
      <c r="E320" s="6" t="s">
        <v>70</v>
      </c>
      <c r="F320" s="6" t="s">
        <v>70</v>
      </c>
      <c r="G320" s="6" t="s">
        <v>70</v>
      </c>
      <c r="H320" s="7"/>
      <c r="I320" s="34" t="str">
        <f t="shared" si="52"/>
        <v>160922</v>
      </c>
      <c r="J320" s="31" t="str">
        <f t="shared" si="53"/>
        <v>01</v>
      </c>
      <c r="N320" s="12">
        <f t="shared" si="54"/>
        <v>0</v>
      </c>
      <c r="O320" s="11" t="str">
        <f t="shared" si="55"/>
        <v>1</v>
      </c>
      <c r="P320" s="11" t="str">
        <f t="shared" si="56"/>
        <v>1</v>
      </c>
      <c r="Q320" s="11" t="str">
        <f t="shared" si="57"/>
        <v>6</v>
      </c>
      <c r="R320" s="11" t="str">
        <f t="shared" si="58"/>
        <v>0</v>
      </c>
      <c r="S320" s="11" t="str">
        <f t="shared" si="59"/>
        <v>9</v>
      </c>
      <c r="T320" s="11" t="str">
        <f t="shared" si="60"/>
        <v>2</v>
      </c>
      <c r="U320" s="11" t="str">
        <f t="shared" si="61"/>
        <v>2</v>
      </c>
      <c r="V320" s="11" t="str">
        <f t="shared" si="62"/>
        <v>3</v>
      </c>
      <c r="W320" s="11" t="str">
        <f t="shared" si="63"/>
        <v>1</v>
      </c>
      <c r="X320" s="11" t="str">
        <f t="shared" si="64"/>
        <v>9</v>
      </c>
    </row>
    <row r="321" spans="1:24" x14ac:dyDescent="0.35">
      <c r="A321" s="5">
        <v>14181</v>
      </c>
      <c r="B321" s="5">
        <v>1160922320</v>
      </c>
      <c r="C321" s="5">
        <v>726984</v>
      </c>
      <c r="D321" s="5">
        <v>3763497</v>
      </c>
      <c r="E321" s="6" t="s">
        <v>70</v>
      </c>
      <c r="F321" s="6" t="s">
        <v>70</v>
      </c>
      <c r="G321" s="6" t="s">
        <v>70</v>
      </c>
      <c r="H321" s="7"/>
      <c r="I321" s="34" t="str">
        <f t="shared" si="52"/>
        <v>160922</v>
      </c>
      <c r="J321" s="31" t="str">
        <f t="shared" si="53"/>
        <v>01</v>
      </c>
      <c r="N321" s="12">
        <f t="shared" si="54"/>
        <v>0</v>
      </c>
      <c r="O321" s="11" t="str">
        <f t="shared" si="55"/>
        <v>1</v>
      </c>
      <c r="P321" s="11" t="str">
        <f t="shared" si="56"/>
        <v>1</v>
      </c>
      <c r="Q321" s="11" t="str">
        <f t="shared" si="57"/>
        <v>6</v>
      </c>
      <c r="R321" s="11" t="str">
        <f t="shared" si="58"/>
        <v>0</v>
      </c>
      <c r="S321" s="11" t="str">
        <f t="shared" si="59"/>
        <v>9</v>
      </c>
      <c r="T321" s="11" t="str">
        <f t="shared" si="60"/>
        <v>2</v>
      </c>
      <c r="U321" s="11" t="str">
        <f t="shared" si="61"/>
        <v>2</v>
      </c>
      <c r="V321" s="11" t="str">
        <f t="shared" si="62"/>
        <v>3</v>
      </c>
      <c r="W321" s="11" t="str">
        <f t="shared" si="63"/>
        <v>2</v>
      </c>
      <c r="X321" s="11" t="str">
        <f t="shared" si="64"/>
        <v>0</v>
      </c>
    </row>
    <row r="322" spans="1:24" x14ac:dyDescent="0.35">
      <c r="A322" s="5">
        <v>14182</v>
      </c>
      <c r="B322" s="5">
        <v>1160922321</v>
      </c>
      <c r="C322" s="5">
        <v>726985</v>
      </c>
      <c r="D322" s="5">
        <v>3763498</v>
      </c>
      <c r="E322" s="6" t="s">
        <v>70</v>
      </c>
      <c r="F322" s="6" t="s">
        <v>70</v>
      </c>
      <c r="G322" s="6" t="s">
        <v>70</v>
      </c>
      <c r="H322" s="7"/>
      <c r="I322" s="34" t="str">
        <f t="shared" si="52"/>
        <v>160922</v>
      </c>
      <c r="J322" s="31" t="str">
        <f t="shared" si="53"/>
        <v>01</v>
      </c>
      <c r="N322" s="12">
        <f t="shared" si="54"/>
        <v>0</v>
      </c>
      <c r="O322" s="11" t="str">
        <f t="shared" si="55"/>
        <v>1</v>
      </c>
      <c r="P322" s="11" t="str">
        <f t="shared" si="56"/>
        <v>1</v>
      </c>
      <c r="Q322" s="11" t="str">
        <f t="shared" si="57"/>
        <v>6</v>
      </c>
      <c r="R322" s="11" t="str">
        <f t="shared" si="58"/>
        <v>0</v>
      </c>
      <c r="S322" s="11" t="str">
        <f t="shared" si="59"/>
        <v>9</v>
      </c>
      <c r="T322" s="11" t="str">
        <f t="shared" si="60"/>
        <v>2</v>
      </c>
      <c r="U322" s="11" t="str">
        <f t="shared" si="61"/>
        <v>2</v>
      </c>
      <c r="V322" s="11" t="str">
        <f t="shared" si="62"/>
        <v>3</v>
      </c>
      <c r="W322" s="11" t="str">
        <f t="shared" si="63"/>
        <v>2</v>
      </c>
      <c r="X322" s="11" t="str">
        <f t="shared" si="64"/>
        <v>1</v>
      </c>
    </row>
    <row r="323" spans="1:24" x14ac:dyDescent="0.35">
      <c r="A323" s="5">
        <v>14183</v>
      </c>
      <c r="B323" s="5">
        <v>1160922322</v>
      </c>
      <c r="C323" s="5">
        <v>726986</v>
      </c>
      <c r="D323" s="5">
        <v>3763499</v>
      </c>
      <c r="E323" s="6" t="s">
        <v>70</v>
      </c>
      <c r="F323" s="6" t="s">
        <v>70</v>
      </c>
      <c r="G323" s="6" t="s">
        <v>70</v>
      </c>
      <c r="H323" s="7"/>
      <c r="I323" s="34" t="str">
        <f t="shared" ref="I323:I386" si="65">MID(B323,IF(LEN(B323)=10,2,3),6)</f>
        <v>160922</v>
      </c>
      <c r="J323" s="31" t="str">
        <f t="shared" ref="J323:J386" si="66">TEXT(MID(B323,1,IF(LEN(B323)=10,1,2)),"00")</f>
        <v>01</v>
      </c>
      <c r="N323" s="12">
        <f t="shared" ref="N323:N386" si="67">IFERROR(MID($B323,LEN($B323)-10,1),0)</f>
        <v>0</v>
      </c>
      <c r="O323" s="11" t="str">
        <f t="shared" ref="O323:O386" si="68">MID($B323,LEN($B323)-9,1)</f>
        <v>1</v>
      </c>
      <c r="P323" s="11" t="str">
        <f t="shared" ref="P323:P386" si="69">MID($B323,LEN($B323)-8,1)</f>
        <v>1</v>
      </c>
      <c r="Q323" s="11" t="str">
        <f t="shared" ref="Q323:Q386" si="70">MID($B323,LEN($B323)-7,1)</f>
        <v>6</v>
      </c>
      <c r="R323" s="11" t="str">
        <f t="shared" ref="R323:R386" si="71">MID($B323,LEN($B323)-6,1)</f>
        <v>0</v>
      </c>
      <c r="S323" s="11" t="str">
        <f t="shared" ref="S323:S386" si="72">MID($B323,LEN($B323)-5,1)</f>
        <v>9</v>
      </c>
      <c r="T323" s="11" t="str">
        <f t="shared" ref="T323:T386" si="73">MID($B323,LEN($B323)-4,1)</f>
        <v>2</v>
      </c>
      <c r="U323" s="11" t="str">
        <f t="shared" ref="U323:U386" si="74">MID($B323,LEN($B323)-3,1)</f>
        <v>2</v>
      </c>
      <c r="V323" s="11" t="str">
        <f t="shared" ref="V323:V386" si="75">MID($B323,LEN($B323)-2,1)</f>
        <v>3</v>
      </c>
      <c r="W323" s="11" t="str">
        <f t="shared" ref="W323:W386" si="76">MID($B323,LEN($B323)-1,1)</f>
        <v>2</v>
      </c>
      <c r="X323" s="11" t="str">
        <f t="shared" ref="X323:X386" si="77">MID($B323,LEN($B323)-0,1)</f>
        <v>2</v>
      </c>
    </row>
    <row r="324" spans="1:24" x14ac:dyDescent="0.35">
      <c r="A324" s="5">
        <v>14184</v>
      </c>
      <c r="B324" s="5">
        <v>1160922323</v>
      </c>
      <c r="C324" s="5">
        <v>727007</v>
      </c>
      <c r="D324" s="5">
        <v>3763544</v>
      </c>
      <c r="E324" s="6" t="s">
        <v>70</v>
      </c>
      <c r="F324" s="6" t="s">
        <v>70</v>
      </c>
      <c r="G324" s="6" t="s">
        <v>70</v>
      </c>
      <c r="H324" s="7"/>
      <c r="I324" s="34" t="str">
        <f t="shared" si="65"/>
        <v>160922</v>
      </c>
      <c r="J324" s="31" t="str">
        <f t="shared" si="66"/>
        <v>01</v>
      </c>
      <c r="N324" s="12">
        <f t="shared" si="67"/>
        <v>0</v>
      </c>
      <c r="O324" s="11" t="str">
        <f t="shared" si="68"/>
        <v>1</v>
      </c>
      <c r="P324" s="11" t="str">
        <f t="shared" si="69"/>
        <v>1</v>
      </c>
      <c r="Q324" s="11" t="str">
        <f t="shared" si="70"/>
        <v>6</v>
      </c>
      <c r="R324" s="11" t="str">
        <f t="shared" si="71"/>
        <v>0</v>
      </c>
      <c r="S324" s="11" t="str">
        <f t="shared" si="72"/>
        <v>9</v>
      </c>
      <c r="T324" s="11" t="str">
        <f t="shared" si="73"/>
        <v>2</v>
      </c>
      <c r="U324" s="11" t="str">
        <f t="shared" si="74"/>
        <v>2</v>
      </c>
      <c r="V324" s="11" t="str">
        <f t="shared" si="75"/>
        <v>3</v>
      </c>
      <c r="W324" s="11" t="str">
        <f t="shared" si="76"/>
        <v>2</v>
      </c>
      <c r="X324" s="11" t="str">
        <f t="shared" si="77"/>
        <v>3</v>
      </c>
    </row>
    <row r="325" spans="1:24" x14ac:dyDescent="0.35">
      <c r="A325" s="5">
        <v>14185</v>
      </c>
      <c r="B325" s="5">
        <v>1160922324</v>
      </c>
      <c r="C325" s="5">
        <v>727017</v>
      </c>
      <c r="D325" s="5">
        <v>3763563</v>
      </c>
      <c r="E325" s="6" t="s">
        <v>70</v>
      </c>
      <c r="F325" s="6" t="s">
        <v>70</v>
      </c>
      <c r="G325" s="6" t="s">
        <v>70</v>
      </c>
      <c r="H325" s="7"/>
      <c r="I325" s="34" t="str">
        <f t="shared" si="65"/>
        <v>160922</v>
      </c>
      <c r="J325" s="31" t="str">
        <f t="shared" si="66"/>
        <v>01</v>
      </c>
      <c r="N325" s="12">
        <f t="shared" si="67"/>
        <v>0</v>
      </c>
      <c r="O325" s="11" t="str">
        <f t="shared" si="68"/>
        <v>1</v>
      </c>
      <c r="P325" s="11" t="str">
        <f t="shared" si="69"/>
        <v>1</v>
      </c>
      <c r="Q325" s="11" t="str">
        <f t="shared" si="70"/>
        <v>6</v>
      </c>
      <c r="R325" s="11" t="str">
        <f t="shared" si="71"/>
        <v>0</v>
      </c>
      <c r="S325" s="11" t="str">
        <f t="shared" si="72"/>
        <v>9</v>
      </c>
      <c r="T325" s="11" t="str">
        <f t="shared" si="73"/>
        <v>2</v>
      </c>
      <c r="U325" s="11" t="str">
        <f t="shared" si="74"/>
        <v>2</v>
      </c>
      <c r="V325" s="11" t="str">
        <f t="shared" si="75"/>
        <v>3</v>
      </c>
      <c r="W325" s="11" t="str">
        <f t="shared" si="76"/>
        <v>2</v>
      </c>
      <c r="X325" s="11" t="str">
        <f t="shared" si="77"/>
        <v>4</v>
      </c>
    </row>
    <row r="326" spans="1:24" x14ac:dyDescent="0.35">
      <c r="A326" s="5">
        <v>14186</v>
      </c>
      <c r="B326" s="5">
        <v>1160922325</v>
      </c>
      <c r="C326" s="5">
        <v>727028</v>
      </c>
      <c r="D326" s="5">
        <v>3763595</v>
      </c>
      <c r="E326" s="6" t="s">
        <v>70</v>
      </c>
      <c r="F326" s="6" t="s">
        <v>70</v>
      </c>
      <c r="G326" s="6" t="s">
        <v>70</v>
      </c>
      <c r="H326" s="7"/>
      <c r="I326" s="34" t="str">
        <f t="shared" si="65"/>
        <v>160922</v>
      </c>
      <c r="J326" s="31" t="str">
        <f t="shared" si="66"/>
        <v>01</v>
      </c>
      <c r="N326" s="12">
        <f t="shared" si="67"/>
        <v>0</v>
      </c>
      <c r="O326" s="11" t="str">
        <f t="shared" si="68"/>
        <v>1</v>
      </c>
      <c r="P326" s="11" t="str">
        <f t="shared" si="69"/>
        <v>1</v>
      </c>
      <c r="Q326" s="11" t="str">
        <f t="shared" si="70"/>
        <v>6</v>
      </c>
      <c r="R326" s="11" t="str">
        <f t="shared" si="71"/>
        <v>0</v>
      </c>
      <c r="S326" s="11" t="str">
        <f t="shared" si="72"/>
        <v>9</v>
      </c>
      <c r="T326" s="11" t="str">
        <f t="shared" si="73"/>
        <v>2</v>
      </c>
      <c r="U326" s="11" t="str">
        <f t="shared" si="74"/>
        <v>2</v>
      </c>
      <c r="V326" s="11" t="str">
        <f t="shared" si="75"/>
        <v>3</v>
      </c>
      <c r="W326" s="11" t="str">
        <f t="shared" si="76"/>
        <v>2</v>
      </c>
      <c r="X326" s="11" t="str">
        <f t="shared" si="77"/>
        <v>5</v>
      </c>
    </row>
    <row r="327" spans="1:24" x14ac:dyDescent="0.35">
      <c r="A327" s="5">
        <v>14187</v>
      </c>
      <c r="B327" s="5">
        <v>1160922326</v>
      </c>
      <c r="C327" s="5">
        <v>727046</v>
      </c>
      <c r="D327" s="5">
        <v>3763504</v>
      </c>
      <c r="E327" s="6" t="s">
        <v>70</v>
      </c>
      <c r="F327" s="6" t="s">
        <v>70</v>
      </c>
      <c r="G327" s="6" t="s">
        <v>70</v>
      </c>
      <c r="H327" s="7"/>
      <c r="I327" s="34" t="str">
        <f t="shared" si="65"/>
        <v>160922</v>
      </c>
      <c r="J327" s="31" t="str">
        <f t="shared" si="66"/>
        <v>01</v>
      </c>
      <c r="N327" s="12">
        <f t="shared" si="67"/>
        <v>0</v>
      </c>
      <c r="O327" s="11" t="str">
        <f t="shared" si="68"/>
        <v>1</v>
      </c>
      <c r="P327" s="11" t="str">
        <f t="shared" si="69"/>
        <v>1</v>
      </c>
      <c r="Q327" s="11" t="str">
        <f t="shared" si="70"/>
        <v>6</v>
      </c>
      <c r="R327" s="11" t="str">
        <f t="shared" si="71"/>
        <v>0</v>
      </c>
      <c r="S327" s="11" t="str">
        <f t="shared" si="72"/>
        <v>9</v>
      </c>
      <c r="T327" s="11" t="str">
        <f t="shared" si="73"/>
        <v>2</v>
      </c>
      <c r="U327" s="11" t="str">
        <f t="shared" si="74"/>
        <v>2</v>
      </c>
      <c r="V327" s="11" t="str">
        <f t="shared" si="75"/>
        <v>3</v>
      </c>
      <c r="W327" s="11" t="str">
        <f t="shared" si="76"/>
        <v>2</v>
      </c>
      <c r="X327" s="11" t="str">
        <f t="shared" si="77"/>
        <v>6</v>
      </c>
    </row>
    <row r="328" spans="1:24" x14ac:dyDescent="0.35">
      <c r="A328" s="5">
        <v>14188</v>
      </c>
      <c r="B328" s="5">
        <v>1160922327</v>
      </c>
      <c r="C328" s="5">
        <v>727065</v>
      </c>
      <c r="D328" s="5">
        <v>3763538</v>
      </c>
      <c r="E328" s="6" t="s">
        <v>70</v>
      </c>
      <c r="F328" s="6" t="s">
        <v>70</v>
      </c>
      <c r="G328" s="6" t="s">
        <v>70</v>
      </c>
      <c r="H328" s="7"/>
      <c r="I328" s="34" t="str">
        <f t="shared" si="65"/>
        <v>160922</v>
      </c>
      <c r="J328" s="31" t="str">
        <f t="shared" si="66"/>
        <v>01</v>
      </c>
      <c r="N328" s="12">
        <f t="shared" si="67"/>
        <v>0</v>
      </c>
      <c r="O328" s="11" t="str">
        <f t="shared" si="68"/>
        <v>1</v>
      </c>
      <c r="P328" s="11" t="str">
        <f t="shared" si="69"/>
        <v>1</v>
      </c>
      <c r="Q328" s="11" t="str">
        <f t="shared" si="70"/>
        <v>6</v>
      </c>
      <c r="R328" s="11" t="str">
        <f t="shared" si="71"/>
        <v>0</v>
      </c>
      <c r="S328" s="11" t="str">
        <f t="shared" si="72"/>
        <v>9</v>
      </c>
      <c r="T328" s="11" t="str">
        <f t="shared" si="73"/>
        <v>2</v>
      </c>
      <c r="U328" s="11" t="str">
        <f t="shared" si="74"/>
        <v>2</v>
      </c>
      <c r="V328" s="11" t="str">
        <f t="shared" si="75"/>
        <v>3</v>
      </c>
      <c r="W328" s="11" t="str">
        <f t="shared" si="76"/>
        <v>2</v>
      </c>
      <c r="X328" s="11" t="str">
        <f t="shared" si="77"/>
        <v>7</v>
      </c>
    </row>
    <row r="329" spans="1:24" x14ac:dyDescent="0.35">
      <c r="A329" s="5">
        <v>14189</v>
      </c>
      <c r="B329" s="5">
        <v>1160922328</v>
      </c>
      <c r="C329" s="5">
        <v>727082</v>
      </c>
      <c r="D329" s="5">
        <v>3763577</v>
      </c>
      <c r="E329" s="6" t="s">
        <v>70</v>
      </c>
      <c r="F329" s="6" t="s">
        <v>70</v>
      </c>
      <c r="G329" s="6" t="s">
        <v>70</v>
      </c>
      <c r="H329" s="7"/>
      <c r="I329" s="34" t="str">
        <f t="shared" si="65"/>
        <v>160922</v>
      </c>
      <c r="J329" s="31" t="str">
        <f t="shared" si="66"/>
        <v>01</v>
      </c>
      <c r="N329" s="12">
        <f t="shared" si="67"/>
        <v>0</v>
      </c>
      <c r="O329" s="11" t="str">
        <f t="shared" si="68"/>
        <v>1</v>
      </c>
      <c r="P329" s="11" t="str">
        <f t="shared" si="69"/>
        <v>1</v>
      </c>
      <c r="Q329" s="11" t="str">
        <f t="shared" si="70"/>
        <v>6</v>
      </c>
      <c r="R329" s="11" t="str">
        <f t="shared" si="71"/>
        <v>0</v>
      </c>
      <c r="S329" s="11" t="str">
        <f t="shared" si="72"/>
        <v>9</v>
      </c>
      <c r="T329" s="11" t="str">
        <f t="shared" si="73"/>
        <v>2</v>
      </c>
      <c r="U329" s="11" t="str">
        <f t="shared" si="74"/>
        <v>2</v>
      </c>
      <c r="V329" s="11" t="str">
        <f t="shared" si="75"/>
        <v>3</v>
      </c>
      <c r="W329" s="11" t="str">
        <f t="shared" si="76"/>
        <v>2</v>
      </c>
      <c r="X329" s="11" t="str">
        <f t="shared" si="77"/>
        <v>8</v>
      </c>
    </row>
    <row r="330" spans="1:24" x14ac:dyDescent="0.35">
      <c r="A330" s="5">
        <v>14190</v>
      </c>
      <c r="B330" s="5">
        <v>1160922329</v>
      </c>
      <c r="C330" s="5">
        <v>727102</v>
      </c>
      <c r="D330" s="5">
        <v>3763613</v>
      </c>
      <c r="E330" s="6" t="s">
        <v>70</v>
      </c>
      <c r="F330" s="6" t="s">
        <v>70</v>
      </c>
      <c r="G330" s="6" t="s">
        <v>70</v>
      </c>
      <c r="H330" s="7"/>
      <c r="I330" s="34" t="str">
        <f t="shared" si="65"/>
        <v>160922</v>
      </c>
      <c r="J330" s="31" t="str">
        <f t="shared" si="66"/>
        <v>01</v>
      </c>
      <c r="N330" s="12">
        <f t="shared" si="67"/>
        <v>0</v>
      </c>
      <c r="O330" s="11" t="str">
        <f t="shared" si="68"/>
        <v>1</v>
      </c>
      <c r="P330" s="11" t="str">
        <f t="shared" si="69"/>
        <v>1</v>
      </c>
      <c r="Q330" s="11" t="str">
        <f t="shared" si="70"/>
        <v>6</v>
      </c>
      <c r="R330" s="11" t="str">
        <f t="shared" si="71"/>
        <v>0</v>
      </c>
      <c r="S330" s="11" t="str">
        <f t="shared" si="72"/>
        <v>9</v>
      </c>
      <c r="T330" s="11" t="str">
        <f t="shared" si="73"/>
        <v>2</v>
      </c>
      <c r="U330" s="11" t="str">
        <f t="shared" si="74"/>
        <v>2</v>
      </c>
      <c r="V330" s="11" t="str">
        <f t="shared" si="75"/>
        <v>3</v>
      </c>
      <c r="W330" s="11" t="str">
        <f t="shared" si="76"/>
        <v>2</v>
      </c>
      <c r="X330" s="11" t="str">
        <f t="shared" si="77"/>
        <v>9</v>
      </c>
    </row>
    <row r="331" spans="1:24" x14ac:dyDescent="0.35">
      <c r="A331" s="5">
        <v>14191</v>
      </c>
      <c r="B331" s="5">
        <v>1160922330</v>
      </c>
      <c r="C331" s="5">
        <v>727103</v>
      </c>
      <c r="D331" s="5">
        <v>3763615</v>
      </c>
      <c r="E331" s="6" t="s">
        <v>70</v>
      </c>
      <c r="F331" s="6" t="s">
        <v>70</v>
      </c>
      <c r="G331" s="6" t="s">
        <v>70</v>
      </c>
      <c r="H331" s="7"/>
      <c r="I331" s="34" t="str">
        <f t="shared" si="65"/>
        <v>160922</v>
      </c>
      <c r="J331" s="31" t="str">
        <f t="shared" si="66"/>
        <v>01</v>
      </c>
      <c r="N331" s="12">
        <f t="shared" si="67"/>
        <v>0</v>
      </c>
      <c r="O331" s="11" t="str">
        <f t="shared" si="68"/>
        <v>1</v>
      </c>
      <c r="P331" s="11" t="str">
        <f t="shared" si="69"/>
        <v>1</v>
      </c>
      <c r="Q331" s="11" t="str">
        <f t="shared" si="70"/>
        <v>6</v>
      </c>
      <c r="R331" s="11" t="str">
        <f t="shared" si="71"/>
        <v>0</v>
      </c>
      <c r="S331" s="11" t="str">
        <f t="shared" si="72"/>
        <v>9</v>
      </c>
      <c r="T331" s="11" t="str">
        <f t="shared" si="73"/>
        <v>2</v>
      </c>
      <c r="U331" s="11" t="str">
        <f t="shared" si="74"/>
        <v>2</v>
      </c>
      <c r="V331" s="11" t="str">
        <f t="shared" si="75"/>
        <v>3</v>
      </c>
      <c r="W331" s="11" t="str">
        <f t="shared" si="76"/>
        <v>3</v>
      </c>
      <c r="X331" s="11" t="str">
        <f t="shared" si="77"/>
        <v>0</v>
      </c>
    </row>
    <row r="332" spans="1:24" x14ac:dyDescent="0.35">
      <c r="A332" s="5">
        <v>14192</v>
      </c>
      <c r="B332" s="5">
        <v>1160922331</v>
      </c>
      <c r="C332" s="5">
        <v>727102</v>
      </c>
      <c r="D332" s="5">
        <v>3763617</v>
      </c>
      <c r="E332" s="6" t="s">
        <v>70</v>
      </c>
      <c r="F332" s="6" t="s">
        <v>70</v>
      </c>
      <c r="G332" s="6" t="s">
        <v>70</v>
      </c>
      <c r="H332" s="7"/>
      <c r="I332" s="34" t="str">
        <f t="shared" si="65"/>
        <v>160922</v>
      </c>
      <c r="J332" s="31" t="str">
        <f t="shared" si="66"/>
        <v>01</v>
      </c>
      <c r="N332" s="12">
        <f t="shared" si="67"/>
        <v>0</v>
      </c>
      <c r="O332" s="11" t="str">
        <f t="shared" si="68"/>
        <v>1</v>
      </c>
      <c r="P332" s="11" t="str">
        <f t="shared" si="69"/>
        <v>1</v>
      </c>
      <c r="Q332" s="11" t="str">
        <f t="shared" si="70"/>
        <v>6</v>
      </c>
      <c r="R332" s="11" t="str">
        <f t="shared" si="71"/>
        <v>0</v>
      </c>
      <c r="S332" s="11" t="str">
        <f t="shared" si="72"/>
        <v>9</v>
      </c>
      <c r="T332" s="11" t="str">
        <f t="shared" si="73"/>
        <v>2</v>
      </c>
      <c r="U332" s="11" t="str">
        <f t="shared" si="74"/>
        <v>2</v>
      </c>
      <c r="V332" s="11" t="str">
        <f t="shared" si="75"/>
        <v>3</v>
      </c>
      <c r="W332" s="11" t="str">
        <f t="shared" si="76"/>
        <v>3</v>
      </c>
      <c r="X332" s="11" t="str">
        <f t="shared" si="77"/>
        <v>1</v>
      </c>
    </row>
    <row r="333" spans="1:24" x14ac:dyDescent="0.35">
      <c r="A333" s="5">
        <v>14193</v>
      </c>
      <c r="B333" s="5">
        <v>1160922332</v>
      </c>
      <c r="C333" s="5">
        <v>727068</v>
      </c>
      <c r="D333" s="5">
        <v>3763642</v>
      </c>
      <c r="E333" s="6" t="s">
        <v>70</v>
      </c>
      <c r="F333" s="6" t="s">
        <v>70</v>
      </c>
      <c r="G333" s="6" t="s">
        <v>70</v>
      </c>
      <c r="H333" s="7"/>
      <c r="I333" s="34" t="str">
        <f t="shared" si="65"/>
        <v>160922</v>
      </c>
      <c r="J333" s="31" t="str">
        <f t="shared" si="66"/>
        <v>01</v>
      </c>
      <c r="N333" s="12">
        <f t="shared" si="67"/>
        <v>0</v>
      </c>
      <c r="O333" s="11" t="str">
        <f t="shared" si="68"/>
        <v>1</v>
      </c>
      <c r="P333" s="11" t="str">
        <f t="shared" si="69"/>
        <v>1</v>
      </c>
      <c r="Q333" s="11" t="str">
        <f t="shared" si="70"/>
        <v>6</v>
      </c>
      <c r="R333" s="11" t="str">
        <f t="shared" si="71"/>
        <v>0</v>
      </c>
      <c r="S333" s="11" t="str">
        <f t="shared" si="72"/>
        <v>9</v>
      </c>
      <c r="T333" s="11" t="str">
        <f t="shared" si="73"/>
        <v>2</v>
      </c>
      <c r="U333" s="11" t="str">
        <f t="shared" si="74"/>
        <v>2</v>
      </c>
      <c r="V333" s="11" t="str">
        <f t="shared" si="75"/>
        <v>3</v>
      </c>
      <c r="W333" s="11" t="str">
        <f t="shared" si="76"/>
        <v>3</v>
      </c>
      <c r="X333" s="11" t="str">
        <f t="shared" si="77"/>
        <v>2</v>
      </c>
    </row>
    <row r="334" spans="1:24" x14ac:dyDescent="0.35">
      <c r="A334" s="5">
        <v>14194</v>
      </c>
      <c r="B334" s="5">
        <v>1160922333</v>
      </c>
      <c r="C334" s="5">
        <v>727084</v>
      </c>
      <c r="D334" s="5">
        <v>3763670</v>
      </c>
      <c r="E334" s="6" t="s">
        <v>70</v>
      </c>
      <c r="F334" s="6" t="s">
        <v>70</v>
      </c>
      <c r="G334" s="6" t="s">
        <v>70</v>
      </c>
      <c r="H334" s="7"/>
      <c r="I334" s="34" t="str">
        <f t="shared" si="65"/>
        <v>160922</v>
      </c>
      <c r="J334" s="31" t="str">
        <f t="shared" si="66"/>
        <v>01</v>
      </c>
      <c r="N334" s="12">
        <f t="shared" si="67"/>
        <v>0</v>
      </c>
      <c r="O334" s="11" t="str">
        <f t="shared" si="68"/>
        <v>1</v>
      </c>
      <c r="P334" s="11" t="str">
        <f t="shared" si="69"/>
        <v>1</v>
      </c>
      <c r="Q334" s="11" t="str">
        <f t="shared" si="70"/>
        <v>6</v>
      </c>
      <c r="R334" s="11" t="str">
        <f t="shared" si="71"/>
        <v>0</v>
      </c>
      <c r="S334" s="11" t="str">
        <f t="shared" si="72"/>
        <v>9</v>
      </c>
      <c r="T334" s="11" t="str">
        <f t="shared" si="73"/>
        <v>2</v>
      </c>
      <c r="U334" s="11" t="str">
        <f t="shared" si="74"/>
        <v>2</v>
      </c>
      <c r="V334" s="11" t="str">
        <f t="shared" si="75"/>
        <v>3</v>
      </c>
      <c r="W334" s="11" t="str">
        <f t="shared" si="76"/>
        <v>3</v>
      </c>
      <c r="X334" s="11" t="str">
        <f t="shared" si="77"/>
        <v>3</v>
      </c>
    </row>
    <row r="335" spans="1:24" x14ac:dyDescent="0.35">
      <c r="A335" s="5">
        <v>14195</v>
      </c>
      <c r="B335" s="5">
        <v>1160922334</v>
      </c>
      <c r="C335" s="5">
        <v>727122</v>
      </c>
      <c r="D335" s="5">
        <v>3763669</v>
      </c>
      <c r="E335" s="6" t="s">
        <v>70</v>
      </c>
      <c r="F335" s="6" t="s">
        <v>70</v>
      </c>
      <c r="G335" s="6" t="s">
        <v>70</v>
      </c>
      <c r="H335" s="7"/>
      <c r="I335" s="34" t="str">
        <f t="shared" si="65"/>
        <v>160922</v>
      </c>
      <c r="J335" s="31" t="str">
        <f t="shared" si="66"/>
        <v>01</v>
      </c>
      <c r="N335" s="12">
        <f t="shared" si="67"/>
        <v>0</v>
      </c>
      <c r="O335" s="11" t="str">
        <f t="shared" si="68"/>
        <v>1</v>
      </c>
      <c r="P335" s="11" t="str">
        <f t="shared" si="69"/>
        <v>1</v>
      </c>
      <c r="Q335" s="11" t="str">
        <f t="shared" si="70"/>
        <v>6</v>
      </c>
      <c r="R335" s="11" t="str">
        <f t="shared" si="71"/>
        <v>0</v>
      </c>
      <c r="S335" s="11" t="str">
        <f t="shared" si="72"/>
        <v>9</v>
      </c>
      <c r="T335" s="11" t="str">
        <f t="shared" si="73"/>
        <v>2</v>
      </c>
      <c r="U335" s="11" t="str">
        <f t="shared" si="74"/>
        <v>2</v>
      </c>
      <c r="V335" s="11" t="str">
        <f t="shared" si="75"/>
        <v>3</v>
      </c>
      <c r="W335" s="11" t="str">
        <f t="shared" si="76"/>
        <v>3</v>
      </c>
      <c r="X335" s="11" t="str">
        <f t="shared" si="77"/>
        <v>4</v>
      </c>
    </row>
    <row r="336" spans="1:24" x14ac:dyDescent="0.35">
      <c r="A336" s="5">
        <v>14196</v>
      </c>
      <c r="B336" s="5">
        <v>1160922335</v>
      </c>
      <c r="C336" s="5">
        <v>727141</v>
      </c>
      <c r="D336" s="5">
        <v>3763697</v>
      </c>
      <c r="E336" s="6" t="s">
        <v>70</v>
      </c>
      <c r="F336" s="6" t="s">
        <v>70</v>
      </c>
      <c r="G336" s="6" t="s">
        <v>70</v>
      </c>
      <c r="H336" s="7"/>
      <c r="I336" s="34" t="str">
        <f t="shared" si="65"/>
        <v>160922</v>
      </c>
      <c r="J336" s="31" t="str">
        <f t="shared" si="66"/>
        <v>01</v>
      </c>
      <c r="N336" s="12">
        <f t="shared" si="67"/>
        <v>0</v>
      </c>
      <c r="O336" s="11" t="str">
        <f t="shared" si="68"/>
        <v>1</v>
      </c>
      <c r="P336" s="11" t="str">
        <f t="shared" si="69"/>
        <v>1</v>
      </c>
      <c r="Q336" s="11" t="str">
        <f t="shared" si="70"/>
        <v>6</v>
      </c>
      <c r="R336" s="11" t="str">
        <f t="shared" si="71"/>
        <v>0</v>
      </c>
      <c r="S336" s="11" t="str">
        <f t="shared" si="72"/>
        <v>9</v>
      </c>
      <c r="T336" s="11" t="str">
        <f t="shared" si="73"/>
        <v>2</v>
      </c>
      <c r="U336" s="11" t="str">
        <f t="shared" si="74"/>
        <v>2</v>
      </c>
      <c r="V336" s="11" t="str">
        <f t="shared" si="75"/>
        <v>3</v>
      </c>
      <c r="W336" s="11" t="str">
        <f t="shared" si="76"/>
        <v>3</v>
      </c>
      <c r="X336" s="11" t="str">
        <f t="shared" si="77"/>
        <v>5</v>
      </c>
    </row>
    <row r="337" spans="1:24" x14ac:dyDescent="0.35">
      <c r="A337" s="5">
        <v>14197</v>
      </c>
      <c r="B337" s="5">
        <v>1160922336</v>
      </c>
      <c r="C337" s="5">
        <v>727012</v>
      </c>
      <c r="D337" s="5">
        <v>3763813</v>
      </c>
      <c r="E337" s="6" t="s">
        <v>70</v>
      </c>
      <c r="F337" s="6" t="s">
        <v>70</v>
      </c>
      <c r="G337" s="6" t="s">
        <v>70</v>
      </c>
      <c r="H337" s="7"/>
      <c r="I337" s="34" t="str">
        <f t="shared" si="65"/>
        <v>160922</v>
      </c>
      <c r="J337" s="31" t="str">
        <f t="shared" si="66"/>
        <v>01</v>
      </c>
      <c r="N337" s="12">
        <f t="shared" si="67"/>
        <v>0</v>
      </c>
      <c r="O337" s="11" t="str">
        <f t="shared" si="68"/>
        <v>1</v>
      </c>
      <c r="P337" s="11" t="str">
        <f t="shared" si="69"/>
        <v>1</v>
      </c>
      <c r="Q337" s="11" t="str">
        <f t="shared" si="70"/>
        <v>6</v>
      </c>
      <c r="R337" s="11" t="str">
        <f t="shared" si="71"/>
        <v>0</v>
      </c>
      <c r="S337" s="11" t="str">
        <f t="shared" si="72"/>
        <v>9</v>
      </c>
      <c r="T337" s="11" t="str">
        <f t="shared" si="73"/>
        <v>2</v>
      </c>
      <c r="U337" s="11" t="str">
        <f t="shared" si="74"/>
        <v>2</v>
      </c>
      <c r="V337" s="11" t="str">
        <f t="shared" si="75"/>
        <v>3</v>
      </c>
      <c r="W337" s="11" t="str">
        <f t="shared" si="76"/>
        <v>3</v>
      </c>
      <c r="X337" s="11" t="str">
        <f t="shared" si="77"/>
        <v>6</v>
      </c>
    </row>
    <row r="338" spans="1:24" x14ac:dyDescent="0.35">
      <c r="A338" s="5">
        <v>14198</v>
      </c>
      <c r="B338" s="5">
        <v>1160922337</v>
      </c>
      <c r="C338" s="5">
        <v>727012</v>
      </c>
      <c r="D338" s="5">
        <v>3763813</v>
      </c>
      <c r="E338" s="6" t="s">
        <v>70</v>
      </c>
      <c r="F338" s="6" t="s">
        <v>70</v>
      </c>
      <c r="G338" s="6" t="s">
        <v>70</v>
      </c>
      <c r="H338" s="7"/>
      <c r="I338" s="34" t="str">
        <f t="shared" si="65"/>
        <v>160922</v>
      </c>
      <c r="J338" s="31" t="str">
        <f t="shared" si="66"/>
        <v>01</v>
      </c>
      <c r="N338" s="12">
        <f t="shared" si="67"/>
        <v>0</v>
      </c>
      <c r="O338" s="11" t="str">
        <f t="shared" si="68"/>
        <v>1</v>
      </c>
      <c r="P338" s="11" t="str">
        <f t="shared" si="69"/>
        <v>1</v>
      </c>
      <c r="Q338" s="11" t="str">
        <f t="shared" si="70"/>
        <v>6</v>
      </c>
      <c r="R338" s="11" t="str">
        <f t="shared" si="71"/>
        <v>0</v>
      </c>
      <c r="S338" s="11" t="str">
        <f t="shared" si="72"/>
        <v>9</v>
      </c>
      <c r="T338" s="11" t="str">
        <f t="shared" si="73"/>
        <v>2</v>
      </c>
      <c r="U338" s="11" t="str">
        <f t="shared" si="74"/>
        <v>2</v>
      </c>
      <c r="V338" s="11" t="str">
        <f t="shared" si="75"/>
        <v>3</v>
      </c>
      <c r="W338" s="11" t="str">
        <f t="shared" si="76"/>
        <v>3</v>
      </c>
      <c r="X338" s="11" t="str">
        <f t="shared" si="77"/>
        <v>7</v>
      </c>
    </row>
    <row r="339" spans="1:24" x14ac:dyDescent="0.35">
      <c r="A339" s="5">
        <v>14199</v>
      </c>
      <c r="B339" s="5">
        <v>1160922338</v>
      </c>
      <c r="C339" s="5">
        <v>727010</v>
      </c>
      <c r="D339" s="5">
        <v>3763813</v>
      </c>
      <c r="E339" s="6" t="s">
        <v>70</v>
      </c>
      <c r="F339" s="6" t="s">
        <v>70</v>
      </c>
      <c r="G339" s="6" t="s">
        <v>70</v>
      </c>
      <c r="H339" s="7"/>
      <c r="I339" s="34" t="str">
        <f t="shared" si="65"/>
        <v>160922</v>
      </c>
      <c r="J339" s="31" t="str">
        <f t="shared" si="66"/>
        <v>01</v>
      </c>
      <c r="N339" s="12">
        <f t="shared" si="67"/>
        <v>0</v>
      </c>
      <c r="O339" s="11" t="str">
        <f t="shared" si="68"/>
        <v>1</v>
      </c>
      <c r="P339" s="11" t="str">
        <f t="shared" si="69"/>
        <v>1</v>
      </c>
      <c r="Q339" s="11" t="str">
        <f t="shared" si="70"/>
        <v>6</v>
      </c>
      <c r="R339" s="11" t="str">
        <f t="shared" si="71"/>
        <v>0</v>
      </c>
      <c r="S339" s="11" t="str">
        <f t="shared" si="72"/>
        <v>9</v>
      </c>
      <c r="T339" s="11" t="str">
        <f t="shared" si="73"/>
        <v>2</v>
      </c>
      <c r="U339" s="11" t="str">
        <f t="shared" si="74"/>
        <v>2</v>
      </c>
      <c r="V339" s="11" t="str">
        <f t="shared" si="75"/>
        <v>3</v>
      </c>
      <c r="W339" s="11" t="str">
        <f t="shared" si="76"/>
        <v>3</v>
      </c>
      <c r="X339" s="11" t="str">
        <f t="shared" si="77"/>
        <v>8</v>
      </c>
    </row>
    <row r="340" spans="1:24" x14ac:dyDescent="0.35">
      <c r="A340" s="5">
        <v>14200</v>
      </c>
      <c r="B340" s="5">
        <v>1160922339</v>
      </c>
      <c r="C340" s="5">
        <v>727044</v>
      </c>
      <c r="D340" s="5">
        <v>3763796</v>
      </c>
      <c r="E340" s="6" t="s">
        <v>70</v>
      </c>
      <c r="F340" s="6" t="s">
        <v>70</v>
      </c>
      <c r="G340" s="6" t="s">
        <v>70</v>
      </c>
      <c r="H340" s="7"/>
      <c r="I340" s="34" t="str">
        <f t="shared" si="65"/>
        <v>160922</v>
      </c>
      <c r="J340" s="31" t="str">
        <f t="shared" si="66"/>
        <v>01</v>
      </c>
      <c r="N340" s="12">
        <f t="shared" si="67"/>
        <v>0</v>
      </c>
      <c r="O340" s="11" t="str">
        <f t="shared" si="68"/>
        <v>1</v>
      </c>
      <c r="P340" s="11" t="str">
        <f t="shared" si="69"/>
        <v>1</v>
      </c>
      <c r="Q340" s="11" t="str">
        <f t="shared" si="70"/>
        <v>6</v>
      </c>
      <c r="R340" s="11" t="str">
        <f t="shared" si="71"/>
        <v>0</v>
      </c>
      <c r="S340" s="11" t="str">
        <f t="shared" si="72"/>
        <v>9</v>
      </c>
      <c r="T340" s="11" t="str">
        <f t="shared" si="73"/>
        <v>2</v>
      </c>
      <c r="U340" s="11" t="str">
        <f t="shared" si="74"/>
        <v>2</v>
      </c>
      <c r="V340" s="11" t="str">
        <f t="shared" si="75"/>
        <v>3</v>
      </c>
      <c r="W340" s="11" t="str">
        <f t="shared" si="76"/>
        <v>3</v>
      </c>
      <c r="X340" s="11" t="str">
        <f t="shared" si="77"/>
        <v>9</v>
      </c>
    </row>
    <row r="341" spans="1:24" x14ac:dyDescent="0.35">
      <c r="A341" s="5">
        <v>14201</v>
      </c>
      <c r="B341" s="5">
        <v>1160922340</v>
      </c>
      <c r="C341" s="5">
        <v>727104</v>
      </c>
      <c r="D341" s="5">
        <v>3763774</v>
      </c>
      <c r="E341" s="6" t="s">
        <v>70</v>
      </c>
      <c r="F341" s="6" t="s">
        <v>70</v>
      </c>
      <c r="G341" s="6" t="s">
        <v>70</v>
      </c>
      <c r="H341" s="7"/>
      <c r="I341" s="34" t="str">
        <f t="shared" si="65"/>
        <v>160922</v>
      </c>
      <c r="J341" s="31" t="str">
        <f t="shared" si="66"/>
        <v>01</v>
      </c>
      <c r="N341" s="12">
        <f t="shared" si="67"/>
        <v>0</v>
      </c>
      <c r="O341" s="11" t="str">
        <f t="shared" si="68"/>
        <v>1</v>
      </c>
      <c r="P341" s="11" t="str">
        <f t="shared" si="69"/>
        <v>1</v>
      </c>
      <c r="Q341" s="11" t="str">
        <f t="shared" si="70"/>
        <v>6</v>
      </c>
      <c r="R341" s="11" t="str">
        <f t="shared" si="71"/>
        <v>0</v>
      </c>
      <c r="S341" s="11" t="str">
        <f t="shared" si="72"/>
        <v>9</v>
      </c>
      <c r="T341" s="11" t="str">
        <f t="shared" si="73"/>
        <v>2</v>
      </c>
      <c r="U341" s="11" t="str">
        <f t="shared" si="74"/>
        <v>2</v>
      </c>
      <c r="V341" s="11" t="str">
        <f t="shared" si="75"/>
        <v>3</v>
      </c>
      <c r="W341" s="11" t="str">
        <f t="shared" si="76"/>
        <v>4</v>
      </c>
      <c r="X341" s="11" t="str">
        <f t="shared" si="77"/>
        <v>0</v>
      </c>
    </row>
    <row r="342" spans="1:24" x14ac:dyDescent="0.35">
      <c r="A342" s="5">
        <v>14202</v>
      </c>
      <c r="B342" s="5">
        <v>1160922341</v>
      </c>
      <c r="C342" s="5">
        <v>727149</v>
      </c>
      <c r="D342" s="5">
        <v>3763751</v>
      </c>
      <c r="E342" s="6" t="s">
        <v>70</v>
      </c>
      <c r="F342" s="6" t="s">
        <v>70</v>
      </c>
      <c r="G342" s="6" t="s">
        <v>70</v>
      </c>
      <c r="H342" s="7"/>
      <c r="I342" s="34" t="str">
        <f t="shared" si="65"/>
        <v>160922</v>
      </c>
      <c r="J342" s="31" t="str">
        <f t="shared" si="66"/>
        <v>01</v>
      </c>
      <c r="N342" s="12">
        <f t="shared" si="67"/>
        <v>0</v>
      </c>
      <c r="O342" s="11" t="str">
        <f t="shared" si="68"/>
        <v>1</v>
      </c>
      <c r="P342" s="11" t="str">
        <f t="shared" si="69"/>
        <v>1</v>
      </c>
      <c r="Q342" s="11" t="str">
        <f t="shared" si="70"/>
        <v>6</v>
      </c>
      <c r="R342" s="11" t="str">
        <f t="shared" si="71"/>
        <v>0</v>
      </c>
      <c r="S342" s="11" t="str">
        <f t="shared" si="72"/>
        <v>9</v>
      </c>
      <c r="T342" s="11" t="str">
        <f t="shared" si="73"/>
        <v>2</v>
      </c>
      <c r="U342" s="11" t="str">
        <f t="shared" si="74"/>
        <v>2</v>
      </c>
      <c r="V342" s="11" t="str">
        <f t="shared" si="75"/>
        <v>3</v>
      </c>
      <c r="W342" s="11" t="str">
        <f t="shared" si="76"/>
        <v>4</v>
      </c>
      <c r="X342" s="11" t="str">
        <f t="shared" si="77"/>
        <v>1</v>
      </c>
    </row>
    <row r="343" spans="1:24" x14ac:dyDescent="0.35">
      <c r="A343" s="5">
        <v>14203</v>
      </c>
      <c r="B343" s="5">
        <v>1160922342</v>
      </c>
      <c r="C343" s="5">
        <v>727156</v>
      </c>
      <c r="D343" s="5">
        <v>3763733</v>
      </c>
      <c r="E343" s="6" t="s">
        <v>70</v>
      </c>
      <c r="F343" s="6" t="s">
        <v>70</v>
      </c>
      <c r="G343" s="6" t="s">
        <v>70</v>
      </c>
      <c r="H343" s="7"/>
      <c r="I343" s="34" t="str">
        <f t="shared" si="65"/>
        <v>160922</v>
      </c>
      <c r="J343" s="31" t="str">
        <f t="shared" si="66"/>
        <v>01</v>
      </c>
      <c r="N343" s="12">
        <f t="shared" si="67"/>
        <v>0</v>
      </c>
      <c r="O343" s="11" t="str">
        <f t="shared" si="68"/>
        <v>1</v>
      </c>
      <c r="P343" s="11" t="str">
        <f t="shared" si="69"/>
        <v>1</v>
      </c>
      <c r="Q343" s="11" t="str">
        <f t="shared" si="70"/>
        <v>6</v>
      </c>
      <c r="R343" s="11" t="str">
        <f t="shared" si="71"/>
        <v>0</v>
      </c>
      <c r="S343" s="11" t="str">
        <f t="shared" si="72"/>
        <v>9</v>
      </c>
      <c r="T343" s="11" t="str">
        <f t="shared" si="73"/>
        <v>2</v>
      </c>
      <c r="U343" s="11" t="str">
        <f t="shared" si="74"/>
        <v>2</v>
      </c>
      <c r="V343" s="11" t="str">
        <f t="shared" si="75"/>
        <v>3</v>
      </c>
      <c r="W343" s="11" t="str">
        <f t="shared" si="76"/>
        <v>4</v>
      </c>
      <c r="X343" s="11" t="str">
        <f t="shared" si="77"/>
        <v>2</v>
      </c>
    </row>
    <row r="344" spans="1:24" x14ac:dyDescent="0.35">
      <c r="A344" s="5">
        <v>14204</v>
      </c>
      <c r="B344" s="5">
        <v>1160922343</v>
      </c>
      <c r="C344" s="5">
        <v>727157</v>
      </c>
      <c r="D344" s="5">
        <v>3763732</v>
      </c>
      <c r="E344" s="6" t="s">
        <v>70</v>
      </c>
      <c r="F344" s="6" t="s">
        <v>70</v>
      </c>
      <c r="G344" s="6" t="s">
        <v>70</v>
      </c>
      <c r="H344" s="7"/>
      <c r="I344" s="34" t="str">
        <f t="shared" si="65"/>
        <v>160922</v>
      </c>
      <c r="J344" s="31" t="str">
        <f t="shared" si="66"/>
        <v>01</v>
      </c>
      <c r="N344" s="12">
        <f t="shared" si="67"/>
        <v>0</v>
      </c>
      <c r="O344" s="11" t="str">
        <f t="shared" si="68"/>
        <v>1</v>
      </c>
      <c r="P344" s="11" t="str">
        <f t="shared" si="69"/>
        <v>1</v>
      </c>
      <c r="Q344" s="11" t="str">
        <f t="shared" si="70"/>
        <v>6</v>
      </c>
      <c r="R344" s="11" t="str">
        <f t="shared" si="71"/>
        <v>0</v>
      </c>
      <c r="S344" s="11" t="str">
        <f t="shared" si="72"/>
        <v>9</v>
      </c>
      <c r="T344" s="11" t="str">
        <f t="shared" si="73"/>
        <v>2</v>
      </c>
      <c r="U344" s="11" t="str">
        <f t="shared" si="74"/>
        <v>2</v>
      </c>
      <c r="V344" s="11" t="str">
        <f t="shared" si="75"/>
        <v>3</v>
      </c>
      <c r="W344" s="11" t="str">
        <f t="shared" si="76"/>
        <v>4</v>
      </c>
      <c r="X344" s="11" t="str">
        <f t="shared" si="77"/>
        <v>3</v>
      </c>
    </row>
    <row r="345" spans="1:24" x14ac:dyDescent="0.35">
      <c r="A345" s="5">
        <v>14205</v>
      </c>
      <c r="B345" s="5">
        <v>1160922344</v>
      </c>
      <c r="C345" s="5">
        <v>727156</v>
      </c>
      <c r="D345" s="5">
        <v>3763732</v>
      </c>
      <c r="E345" s="6" t="s">
        <v>70</v>
      </c>
      <c r="F345" s="6" t="s">
        <v>70</v>
      </c>
      <c r="G345" s="6" t="s">
        <v>70</v>
      </c>
      <c r="H345" s="7"/>
      <c r="I345" s="34" t="str">
        <f t="shared" si="65"/>
        <v>160922</v>
      </c>
      <c r="J345" s="31" t="str">
        <f t="shared" si="66"/>
        <v>01</v>
      </c>
      <c r="N345" s="12">
        <f t="shared" si="67"/>
        <v>0</v>
      </c>
      <c r="O345" s="11" t="str">
        <f t="shared" si="68"/>
        <v>1</v>
      </c>
      <c r="P345" s="11" t="str">
        <f t="shared" si="69"/>
        <v>1</v>
      </c>
      <c r="Q345" s="11" t="str">
        <f t="shared" si="70"/>
        <v>6</v>
      </c>
      <c r="R345" s="11" t="str">
        <f t="shared" si="71"/>
        <v>0</v>
      </c>
      <c r="S345" s="11" t="str">
        <f t="shared" si="72"/>
        <v>9</v>
      </c>
      <c r="T345" s="11" t="str">
        <f t="shared" si="73"/>
        <v>2</v>
      </c>
      <c r="U345" s="11" t="str">
        <f t="shared" si="74"/>
        <v>2</v>
      </c>
      <c r="V345" s="11" t="str">
        <f t="shared" si="75"/>
        <v>3</v>
      </c>
      <c r="W345" s="11" t="str">
        <f t="shared" si="76"/>
        <v>4</v>
      </c>
      <c r="X345" s="11" t="str">
        <f t="shared" si="77"/>
        <v>4</v>
      </c>
    </row>
    <row r="346" spans="1:24" x14ac:dyDescent="0.35">
      <c r="A346" s="5">
        <v>14206</v>
      </c>
      <c r="B346" s="5">
        <v>1160922345</v>
      </c>
      <c r="C346" s="5">
        <v>727185</v>
      </c>
      <c r="D346" s="5">
        <v>3763726</v>
      </c>
      <c r="E346" s="6" t="s">
        <v>70</v>
      </c>
      <c r="F346" s="6" t="s">
        <v>70</v>
      </c>
      <c r="G346" s="6" t="s">
        <v>70</v>
      </c>
      <c r="H346" s="7"/>
      <c r="I346" s="34" t="str">
        <f t="shared" si="65"/>
        <v>160922</v>
      </c>
      <c r="J346" s="31" t="str">
        <f t="shared" si="66"/>
        <v>01</v>
      </c>
      <c r="N346" s="12">
        <f t="shared" si="67"/>
        <v>0</v>
      </c>
      <c r="O346" s="11" t="str">
        <f t="shared" si="68"/>
        <v>1</v>
      </c>
      <c r="P346" s="11" t="str">
        <f t="shared" si="69"/>
        <v>1</v>
      </c>
      <c r="Q346" s="11" t="str">
        <f t="shared" si="70"/>
        <v>6</v>
      </c>
      <c r="R346" s="11" t="str">
        <f t="shared" si="71"/>
        <v>0</v>
      </c>
      <c r="S346" s="11" t="str">
        <f t="shared" si="72"/>
        <v>9</v>
      </c>
      <c r="T346" s="11" t="str">
        <f t="shared" si="73"/>
        <v>2</v>
      </c>
      <c r="U346" s="11" t="str">
        <f t="shared" si="74"/>
        <v>2</v>
      </c>
      <c r="V346" s="11" t="str">
        <f t="shared" si="75"/>
        <v>3</v>
      </c>
      <c r="W346" s="11" t="str">
        <f t="shared" si="76"/>
        <v>4</v>
      </c>
      <c r="X346" s="11" t="str">
        <f t="shared" si="77"/>
        <v>5</v>
      </c>
    </row>
    <row r="347" spans="1:24" x14ac:dyDescent="0.35">
      <c r="A347" s="5">
        <v>14207</v>
      </c>
      <c r="B347" s="5">
        <v>1160922346</v>
      </c>
      <c r="C347" s="5">
        <v>727210</v>
      </c>
      <c r="D347" s="5">
        <v>3763709</v>
      </c>
      <c r="E347" s="6" t="s">
        <v>70</v>
      </c>
      <c r="F347" s="6" t="s">
        <v>70</v>
      </c>
      <c r="G347" s="6" t="s">
        <v>70</v>
      </c>
      <c r="H347" s="7"/>
      <c r="I347" s="34" t="str">
        <f t="shared" si="65"/>
        <v>160922</v>
      </c>
      <c r="J347" s="31" t="str">
        <f t="shared" si="66"/>
        <v>01</v>
      </c>
      <c r="N347" s="12">
        <f t="shared" si="67"/>
        <v>0</v>
      </c>
      <c r="O347" s="11" t="str">
        <f t="shared" si="68"/>
        <v>1</v>
      </c>
      <c r="P347" s="11" t="str">
        <f t="shared" si="69"/>
        <v>1</v>
      </c>
      <c r="Q347" s="11" t="str">
        <f t="shared" si="70"/>
        <v>6</v>
      </c>
      <c r="R347" s="11" t="str">
        <f t="shared" si="71"/>
        <v>0</v>
      </c>
      <c r="S347" s="11" t="str">
        <f t="shared" si="72"/>
        <v>9</v>
      </c>
      <c r="T347" s="11" t="str">
        <f t="shared" si="73"/>
        <v>2</v>
      </c>
      <c r="U347" s="11" t="str">
        <f t="shared" si="74"/>
        <v>2</v>
      </c>
      <c r="V347" s="11" t="str">
        <f t="shared" si="75"/>
        <v>3</v>
      </c>
      <c r="W347" s="11" t="str">
        <f t="shared" si="76"/>
        <v>4</v>
      </c>
      <c r="X347" s="11" t="str">
        <f t="shared" si="77"/>
        <v>6</v>
      </c>
    </row>
    <row r="348" spans="1:24" x14ac:dyDescent="0.35">
      <c r="A348" s="5">
        <v>14208</v>
      </c>
      <c r="B348" s="5">
        <v>1160922347</v>
      </c>
      <c r="C348" s="5">
        <v>727203</v>
      </c>
      <c r="D348" s="5">
        <v>3763686</v>
      </c>
      <c r="E348" s="6" t="s">
        <v>70</v>
      </c>
      <c r="F348" s="6" t="s">
        <v>70</v>
      </c>
      <c r="G348" s="6" t="s">
        <v>70</v>
      </c>
      <c r="H348" s="7"/>
      <c r="I348" s="34" t="str">
        <f t="shared" si="65"/>
        <v>160922</v>
      </c>
      <c r="J348" s="31" t="str">
        <f t="shared" si="66"/>
        <v>01</v>
      </c>
      <c r="N348" s="12">
        <f t="shared" si="67"/>
        <v>0</v>
      </c>
      <c r="O348" s="11" t="str">
        <f t="shared" si="68"/>
        <v>1</v>
      </c>
      <c r="P348" s="11" t="str">
        <f t="shared" si="69"/>
        <v>1</v>
      </c>
      <c r="Q348" s="11" t="str">
        <f t="shared" si="70"/>
        <v>6</v>
      </c>
      <c r="R348" s="11" t="str">
        <f t="shared" si="71"/>
        <v>0</v>
      </c>
      <c r="S348" s="11" t="str">
        <f t="shared" si="72"/>
        <v>9</v>
      </c>
      <c r="T348" s="11" t="str">
        <f t="shared" si="73"/>
        <v>2</v>
      </c>
      <c r="U348" s="11" t="str">
        <f t="shared" si="74"/>
        <v>2</v>
      </c>
      <c r="V348" s="11" t="str">
        <f t="shared" si="75"/>
        <v>3</v>
      </c>
      <c r="W348" s="11" t="str">
        <f t="shared" si="76"/>
        <v>4</v>
      </c>
      <c r="X348" s="11" t="str">
        <f t="shared" si="77"/>
        <v>7</v>
      </c>
    </row>
    <row r="349" spans="1:24" x14ac:dyDescent="0.35">
      <c r="A349" s="5">
        <v>14209</v>
      </c>
      <c r="B349" s="5">
        <v>1160922348</v>
      </c>
      <c r="C349" s="5">
        <v>727191</v>
      </c>
      <c r="D349" s="5">
        <v>3763665</v>
      </c>
      <c r="E349" s="6" t="s">
        <v>70</v>
      </c>
      <c r="F349" s="6" t="s">
        <v>70</v>
      </c>
      <c r="G349" s="6" t="s">
        <v>70</v>
      </c>
      <c r="H349" s="7"/>
      <c r="I349" s="34" t="str">
        <f t="shared" si="65"/>
        <v>160922</v>
      </c>
      <c r="J349" s="31" t="str">
        <f t="shared" si="66"/>
        <v>01</v>
      </c>
      <c r="N349" s="12">
        <f t="shared" si="67"/>
        <v>0</v>
      </c>
      <c r="O349" s="11" t="str">
        <f t="shared" si="68"/>
        <v>1</v>
      </c>
      <c r="P349" s="11" t="str">
        <f t="shared" si="69"/>
        <v>1</v>
      </c>
      <c r="Q349" s="11" t="str">
        <f t="shared" si="70"/>
        <v>6</v>
      </c>
      <c r="R349" s="11" t="str">
        <f t="shared" si="71"/>
        <v>0</v>
      </c>
      <c r="S349" s="11" t="str">
        <f t="shared" si="72"/>
        <v>9</v>
      </c>
      <c r="T349" s="11" t="str">
        <f t="shared" si="73"/>
        <v>2</v>
      </c>
      <c r="U349" s="11" t="str">
        <f t="shared" si="74"/>
        <v>2</v>
      </c>
      <c r="V349" s="11" t="str">
        <f t="shared" si="75"/>
        <v>3</v>
      </c>
      <c r="W349" s="11" t="str">
        <f t="shared" si="76"/>
        <v>4</v>
      </c>
      <c r="X349" s="11" t="str">
        <f t="shared" si="77"/>
        <v>8</v>
      </c>
    </row>
    <row r="350" spans="1:24" x14ac:dyDescent="0.35">
      <c r="A350" s="5">
        <v>14210</v>
      </c>
      <c r="B350" s="5">
        <v>1160922349</v>
      </c>
      <c r="C350" s="5">
        <v>727189</v>
      </c>
      <c r="D350" s="5">
        <v>3763656</v>
      </c>
      <c r="E350" s="6" t="s">
        <v>70</v>
      </c>
      <c r="F350" s="6" t="s">
        <v>70</v>
      </c>
      <c r="G350" s="6" t="s">
        <v>70</v>
      </c>
      <c r="H350" s="7"/>
      <c r="I350" s="34" t="str">
        <f t="shared" si="65"/>
        <v>160922</v>
      </c>
      <c r="J350" s="31" t="str">
        <f t="shared" si="66"/>
        <v>01</v>
      </c>
      <c r="N350" s="12">
        <f t="shared" si="67"/>
        <v>0</v>
      </c>
      <c r="O350" s="11" t="str">
        <f t="shared" si="68"/>
        <v>1</v>
      </c>
      <c r="P350" s="11" t="str">
        <f t="shared" si="69"/>
        <v>1</v>
      </c>
      <c r="Q350" s="11" t="str">
        <f t="shared" si="70"/>
        <v>6</v>
      </c>
      <c r="R350" s="11" t="str">
        <f t="shared" si="71"/>
        <v>0</v>
      </c>
      <c r="S350" s="11" t="str">
        <f t="shared" si="72"/>
        <v>9</v>
      </c>
      <c r="T350" s="11" t="str">
        <f t="shared" si="73"/>
        <v>2</v>
      </c>
      <c r="U350" s="11" t="str">
        <f t="shared" si="74"/>
        <v>2</v>
      </c>
      <c r="V350" s="11" t="str">
        <f t="shared" si="75"/>
        <v>3</v>
      </c>
      <c r="W350" s="11" t="str">
        <f t="shared" si="76"/>
        <v>4</v>
      </c>
      <c r="X350" s="11" t="str">
        <f t="shared" si="77"/>
        <v>9</v>
      </c>
    </row>
    <row r="351" spans="1:24" x14ac:dyDescent="0.35">
      <c r="A351" s="5">
        <v>14211</v>
      </c>
      <c r="B351" s="5">
        <v>1160922350</v>
      </c>
      <c r="C351" s="5">
        <v>727182</v>
      </c>
      <c r="D351" s="5">
        <v>3763629</v>
      </c>
      <c r="E351" s="6" t="s">
        <v>70</v>
      </c>
      <c r="F351" s="6" t="s">
        <v>70</v>
      </c>
      <c r="G351" s="6" t="s">
        <v>70</v>
      </c>
      <c r="H351" s="7"/>
      <c r="I351" s="34" t="str">
        <f t="shared" si="65"/>
        <v>160922</v>
      </c>
      <c r="J351" s="31" t="str">
        <f t="shared" si="66"/>
        <v>01</v>
      </c>
      <c r="N351" s="12">
        <f t="shared" si="67"/>
        <v>0</v>
      </c>
      <c r="O351" s="11" t="str">
        <f t="shared" si="68"/>
        <v>1</v>
      </c>
      <c r="P351" s="11" t="str">
        <f t="shared" si="69"/>
        <v>1</v>
      </c>
      <c r="Q351" s="11" t="str">
        <f t="shared" si="70"/>
        <v>6</v>
      </c>
      <c r="R351" s="11" t="str">
        <f t="shared" si="71"/>
        <v>0</v>
      </c>
      <c r="S351" s="11" t="str">
        <f t="shared" si="72"/>
        <v>9</v>
      </c>
      <c r="T351" s="11" t="str">
        <f t="shared" si="73"/>
        <v>2</v>
      </c>
      <c r="U351" s="11" t="str">
        <f t="shared" si="74"/>
        <v>2</v>
      </c>
      <c r="V351" s="11" t="str">
        <f t="shared" si="75"/>
        <v>3</v>
      </c>
      <c r="W351" s="11" t="str">
        <f t="shared" si="76"/>
        <v>5</v>
      </c>
      <c r="X351" s="11" t="str">
        <f t="shared" si="77"/>
        <v>0</v>
      </c>
    </row>
    <row r="352" spans="1:24" x14ac:dyDescent="0.35">
      <c r="A352" s="5">
        <v>14212</v>
      </c>
      <c r="B352" s="5">
        <v>1160922351</v>
      </c>
      <c r="C352" s="5">
        <v>727182</v>
      </c>
      <c r="D352" s="5">
        <v>3763645</v>
      </c>
      <c r="E352" s="6" t="s">
        <v>70</v>
      </c>
      <c r="F352" s="6" t="s">
        <v>70</v>
      </c>
      <c r="G352" s="6" t="s">
        <v>70</v>
      </c>
      <c r="H352" s="7"/>
      <c r="I352" s="34" t="str">
        <f t="shared" si="65"/>
        <v>160922</v>
      </c>
      <c r="J352" s="31" t="str">
        <f t="shared" si="66"/>
        <v>01</v>
      </c>
      <c r="N352" s="12">
        <f t="shared" si="67"/>
        <v>0</v>
      </c>
      <c r="O352" s="11" t="str">
        <f t="shared" si="68"/>
        <v>1</v>
      </c>
      <c r="P352" s="11" t="str">
        <f t="shared" si="69"/>
        <v>1</v>
      </c>
      <c r="Q352" s="11" t="str">
        <f t="shared" si="70"/>
        <v>6</v>
      </c>
      <c r="R352" s="11" t="str">
        <f t="shared" si="71"/>
        <v>0</v>
      </c>
      <c r="S352" s="11" t="str">
        <f t="shared" si="72"/>
        <v>9</v>
      </c>
      <c r="T352" s="11" t="str">
        <f t="shared" si="73"/>
        <v>2</v>
      </c>
      <c r="U352" s="11" t="str">
        <f t="shared" si="74"/>
        <v>2</v>
      </c>
      <c r="V352" s="11" t="str">
        <f t="shared" si="75"/>
        <v>3</v>
      </c>
      <c r="W352" s="11" t="str">
        <f t="shared" si="76"/>
        <v>5</v>
      </c>
      <c r="X352" s="11" t="str">
        <f t="shared" si="77"/>
        <v>1</v>
      </c>
    </row>
    <row r="353" spans="1:24" x14ac:dyDescent="0.35">
      <c r="A353" s="5">
        <v>14213</v>
      </c>
      <c r="B353" s="5">
        <v>1160922352</v>
      </c>
      <c r="C353" s="5">
        <v>727168</v>
      </c>
      <c r="D353" s="5">
        <v>3763621</v>
      </c>
      <c r="E353" s="6" t="s">
        <v>70</v>
      </c>
      <c r="F353" s="6" t="s">
        <v>70</v>
      </c>
      <c r="G353" s="6" t="s">
        <v>70</v>
      </c>
      <c r="H353" s="7"/>
      <c r="I353" s="34" t="str">
        <f t="shared" si="65"/>
        <v>160922</v>
      </c>
      <c r="J353" s="31" t="str">
        <f t="shared" si="66"/>
        <v>01</v>
      </c>
      <c r="N353" s="12">
        <f t="shared" si="67"/>
        <v>0</v>
      </c>
      <c r="O353" s="11" t="str">
        <f t="shared" si="68"/>
        <v>1</v>
      </c>
      <c r="P353" s="11" t="str">
        <f t="shared" si="69"/>
        <v>1</v>
      </c>
      <c r="Q353" s="11" t="str">
        <f t="shared" si="70"/>
        <v>6</v>
      </c>
      <c r="R353" s="11" t="str">
        <f t="shared" si="71"/>
        <v>0</v>
      </c>
      <c r="S353" s="11" t="str">
        <f t="shared" si="72"/>
        <v>9</v>
      </c>
      <c r="T353" s="11" t="str">
        <f t="shared" si="73"/>
        <v>2</v>
      </c>
      <c r="U353" s="11" t="str">
        <f t="shared" si="74"/>
        <v>2</v>
      </c>
      <c r="V353" s="11" t="str">
        <f t="shared" si="75"/>
        <v>3</v>
      </c>
      <c r="W353" s="11" t="str">
        <f t="shared" si="76"/>
        <v>5</v>
      </c>
      <c r="X353" s="11" t="str">
        <f t="shared" si="77"/>
        <v>2</v>
      </c>
    </row>
    <row r="354" spans="1:24" x14ac:dyDescent="0.35">
      <c r="A354" s="5">
        <v>14214</v>
      </c>
      <c r="B354" s="5">
        <v>1160922353</v>
      </c>
      <c r="C354" s="5">
        <v>727149</v>
      </c>
      <c r="D354" s="5">
        <v>3763579</v>
      </c>
      <c r="E354" s="6" t="s">
        <v>70</v>
      </c>
      <c r="F354" s="6" t="s">
        <v>70</v>
      </c>
      <c r="G354" s="6" t="s">
        <v>70</v>
      </c>
      <c r="H354" s="7"/>
      <c r="I354" s="34" t="str">
        <f t="shared" si="65"/>
        <v>160922</v>
      </c>
      <c r="J354" s="31" t="str">
        <f t="shared" si="66"/>
        <v>01</v>
      </c>
      <c r="N354" s="12">
        <f t="shared" si="67"/>
        <v>0</v>
      </c>
      <c r="O354" s="11" t="str">
        <f t="shared" si="68"/>
        <v>1</v>
      </c>
      <c r="P354" s="11" t="str">
        <f t="shared" si="69"/>
        <v>1</v>
      </c>
      <c r="Q354" s="11" t="str">
        <f t="shared" si="70"/>
        <v>6</v>
      </c>
      <c r="R354" s="11" t="str">
        <f t="shared" si="71"/>
        <v>0</v>
      </c>
      <c r="S354" s="11" t="str">
        <f t="shared" si="72"/>
        <v>9</v>
      </c>
      <c r="T354" s="11" t="str">
        <f t="shared" si="73"/>
        <v>2</v>
      </c>
      <c r="U354" s="11" t="str">
        <f t="shared" si="74"/>
        <v>2</v>
      </c>
      <c r="V354" s="11" t="str">
        <f t="shared" si="75"/>
        <v>3</v>
      </c>
      <c r="W354" s="11" t="str">
        <f t="shared" si="76"/>
        <v>5</v>
      </c>
      <c r="X354" s="11" t="str">
        <f t="shared" si="77"/>
        <v>3</v>
      </c>
    </row>
    <row r="355" spans="1:24" x14ac:dyDescent="0.35">
      <c r="A355" s="5">
        <v>14215</v>
      </c>
      <c r="B355" s="5">
        <v>1160922354</v>
      </c>
      <c r="C355" s="5">
        <v>727139</v>
      </c>
      <c r="D355" s="5">
        <v>3763557</v>
      </c>
      <c r="E355" s="6" t="s">
        <v>70</v>
      </c>
      <c r="F355" s="6" t="s">
        <v>70</v>
      </c>
      <c r="G355" s="6" t="s">
        <v>70</v>
      </c>
      <c r="H355" s="7"/>
      <c r="I355" s="34" t="str">
        <f t="shared" si="65"/>
        <v>160922</v>
      </c>
      <c r="J355" s="31" t="str">
        <f t="shared" si="66"/>
        <v>01</v>
      </c>
      <c r="N355" s="12">
        <f t="shared" si="67"/>
        <v>0</v>
      </c>
      <c r="O355" s="11" t="str">
        <f t="shared" si="68"/>
        <v>1</v>
      </c>
      <c r="P355" s="11" t="str">
        <f t="shared" si="69"/>
        <v>1</v>
      </c>
      <c r="Q355" s="11" t="str">
        <f t="shared" si="70"/>
        <v>6</v>
      </c>
      <c r="R355" s="11" t="str">
        <f t="shared" si="71"/>
        <v>0</v>
      </c>
      <c r="S355" s="11" t="str">
        <f t="shared" si="72"/>
        <v>9</v>
      </c>
      <c r="T355" s="11" t="str">
        <f t="shared" si="73"/>
        <v>2</v>
      </c>
      <c r="U355" s="11" t="str">
        <f t="shared" si="74"/>
        <v>2</v>
      </c>
      <c r="V355" s="11" t="str">
        <f t="shared" si="75"/>
        <v>3</v>
      </c>
      <c r="W355" s="11" t="str">
        <f t="shared" si="76"/>
        <v>5</v>
      </c>
      <c r="X355" s="11" t="str">
        <f t="shared" si="77"/>
        <v>4</v>
      </c>
    </row>
    <row r="356" spans="1:24" x14ac:dyDescent="0.35">
      <c r="A356" s="5">
        <v>14216</v>
      </c>
      <c r="B356" s="5">
        <v>1160922355</v>
      </c>
      <c r="C356" s="5">
        <v>727114</v>
      </c>
      <c r="D356" s="5">
        <v>3763571</v>
      </c>
      <c r="E356" s="6" t="s">
        <v>70</v>
      </c>
      <c r="F356" s="6" t="s">
        <v>70</v>
      </c>
      <c r="G356" s="6" t="s">
        <v>70</v>
      </c>
      <c r="H356" s="7"/>
      <c r="I356" s="34" t="str">
        <f t="shared" si="65"/>
        <v>160922</v>
      </c>
      <c r="J356" s="31" t="str">
        <f t="shared" si="66"/>
        <v>01</v>
      </c>
      <c r="N356" s="12">
        <f t="shared" si="67"/>
        <v>0</v>
      </c>
      <c r="O356" s="11" t="str">
        <f t="shared" si="68"/>
        <v>1</v>
      </c>
      <c r="P356" s="11" t="str">
        <f t="shared" si="69"/>
        <v>1</v>
      </c>
      <c r="Q356" s="11" t="str">
        <f t="shared" si="70"/>
        <v>6</v>
      </c>
      <c r="R356" s="11" t="str">
        <f t="shared" si="71"/>
        <v>0</v>
      </c>
      <c r="S356" s="11" t="str">
        <f t="shared" si="72"/>
        <v>9</v>
      </c>
      <c r="T356" s="11" t="str">
        <f t="shared" si="73"/>
        <v>2</v>
      </c>
      <c r="U356" s="11" t="str">
        <f t="shared" si="74"/>
        <v>2</v>
      </c>
      <c r="V356" s="11" t="str">
        <f t="shared" si="75"/>
        <v>3</v>
      </c>
      <c r="W356" s="11" t="str">
        <f t="shared" si="76"/>
        <v>5</v>
      </c>
      <c r="X356" s="11" t="str">
        <f t="shared" si="77"/>
        <v>5</v>
      </c>
    </row>
    <row r="357" spans="1:24" x14ac:dyDescent="0.35">
      <c r="A357" s="5">
        <v>14217</v>
      </c>
      <c r="B357" s="5">
        <v>1160922356</v>
      </c>
      <c r="C357" s="5">
        <v>727128</v>
      </c>
      <c r="D357" s="5">
        <v>3763536</v>
      </c>
      <c r="E357" s="6" t="s">
        <v>70</v>
      </c>
      <c r="F357" s="6" t="s">
        <v>70</v>
      </c>
      <c r="G357" s="6" t="s">
        <v>70</v>
      </c>
      <c r="H357" s="7"/>
      <c r="I357" s="34" t="str">
        <f t="shared" si="65"/>
        <v>160922</v>
      </c>
      <c r="J357" s="31" t="str">
        <f t="shared" si="66"/>
        <v>01</v>
      </c>
      <c r="N357" s="12">
        <f t="shared" si="67"/>
        <v>0</v>
      </c>
      <c r="O357" s="11" t="str">
        <f t="shared" si="68"/>
        <v>1</v>
      </c>
      <c r="P357" s="11" t="str">
        <f t="shared" si="69"/>
        <v>1</v>
      </c>
      <c r="Q357" s="11" t="str">
        <f t="shared" si="70"/>
        <v>6</v>
      </c>
      <c r="R357" s="11" t="str">
        <f t="shared" si="71"/>
        <v>0</v>
      </c>
      <c r="S357" s="11" t="str">
        <f t="shared" si="72"/>
        <v>9</v>
      </c>
      <c r="T357" s="11" t="str">
        <f t="shared" si="73"/>
        <v>2</v>
      </c>
      <c r="U357" s="11" t="str">
        <f t="shared" si="74"/>
        <v>2</v>
      </c>
      <c r="V357" s="11" t="str">
        <f t="shared" si="75"/>
        <v>3</v>
      </c>
      <c r="W357" s="11" t="str">
        <f t="shared" si="76"/>
        <v>5</v>
      </c>
      <c r="X357" s="11" t="str">
        <f t="shared" si="77"/>
        <v>6</v>
      </c>
    </row>
    <row r="358" spans="1:24" x14ac:dyDescent="0.35">
      <c r="A358" s="5">
        <v>14218</v>
      </c>
      <c r="B358" s="5">
        <v>1160922357</v>
      </c>
      <c r="C358" s="5">
        <v>727105</v>
      </c>
      <c r="D358" s="5">
        <v>3763551</v>
      </c>
      <c r="E358" s="6" t="s">
        <v>70</v>
      </c>
      <c r="F358" s="6" t="s">
        <v>70</v>
      </c>
      <c r="G358" s="6" t="s">
        <v>70</v>
      </c>
      <c r="H358" s="7"/>
      <c r="I358" s="34" t="str">
        <f t="shared" si="65"/>
        <v>160922</v>
      </c>
      <c r="J358" s="31" t="str">
        <f t="shared" si="66"/>
        <v>01</v>
      </c>
      <c r="N358" s="12">
        <f t="shared" si="67"/>
        <v>0</v>
      </c>
      <c r="O358" s="11" t="str">
        <f t="shared" si="68"/>
        <v>1</v>
      </c>
      <c r="P358" s="11" t="str">
        <f t="shared" si="69"/>
        <v>1</v>
      </c>
      <c r="Q358" s="11" t="str">
        <f t="shared" si="70"/>
        <v>6</v>
      </c>
      <c r="R358" s="11" t="str">
        <f t="shared" si="71"/>
        <v>0</v>
      </c>
      <c r="S358" s="11" t="str">
        <f t="shared" si="72"/>
        <v>9</v>
      </c>
      <c r="T358" s="11" t="str">
        <f t="shared" si="73"/>
        <v>2</v>
      </c>
      <c r="U358" s="11" t="str">
        <f t="shared" si="74"/>
        <v>2</v>
      </c>
      <c r="V358" s="11" t="str">
        <f t="shared" si="75"/>
        <v>3</v>
      </c>
      <c r="W358" s="11" t="str">
        <f t="shared" si="76"/>
        <v>5</v>
      </c>
      <c r="X358" s="11" t="str">
        <f t="shared" si="77"/>
        <v>7</v>
      </c>
    </row>
    <row r="359" spans="1:24" x14ac:dyDescent="0.35">
      <c r="A359" s="5">
        <v>14219</v>
      </c>
      <c r="B359" s="5">
        <v>1160922358</v>
      </c>
      <c r="C359" s="5">
        <v>727115</v>
      </c>
      <c r="D359" s="5">
        <v>3763511</v>
      </c>
      <c r="E359" s="6" t="s">
        <v>70</v>
      </c>
      <c r="F359" s="6" t="s">
        <v>70</v>
      </c>
      <c r="G359" s="6" t="s">
        <v>70</v>
      </c>
      <c r="H359" s="7"/>
      <c r="I359" s="34" t="str">
        <f t="shared" si="65"/>
        <v>160922</v>
      </c>
      <c r="J359" s="31" t="str">
        <f t="shared" si="66"/>
        <v>01</v>
      </c>
      <c r="N359" s="12">
        <f t="shared" si="67"/>
        <v>0</v>
      </c>
      <c r="O359" s="11" t="str">
        <f t="shared" si="68"/>
        <v>1</v>
      </c>
      <c r="P359" s="11" t="str">
        <f t="shared" si="69"/>
        <v>1</v>
      </c>
      <c r="Q359" s="11" t="str">
        <f t="shared" si="70"/>
        <v>6</v>
      </c>
      <c r="R359" s="11" t="str">
        <f t="shared" si="71"/>
        <v>0</v>
      </c>
      <c r="S359" s="11" t="str">
        <f t="shared" si="72"/>
        <v>9</v>
      </c>
      <c r="T359" s="11" t="str">
        <f t="shared" si="73"/>
        <v>2</v>
      </c>
      <c r="U359" s="11" t="str">
        <f t="shared" si="74"/>
        <v>2</v>
      </c>
      <c r="V359" s="11" t="str">
        <f t="shared" si="75"/>
        <v>3</v>
      </c>
      <c r="W359" s="11" t="str">
        <f t="shared" si="76"/>
        <v>5</v>
      </c>
      <c r="X359" s="11" t="str">
        <f t="shared" si="77"/>
        <v>8</v>
      </c>
    </row>
    <row r="360" spans="1:24" x14ac:dyDescent="0.35">
      <c r="A360" s="5">
        <v>14220</v>
      </c>
      <c r="B360" s="5">
        <v>1160922359</v>
      </c>
      <c r="C360" s="5">
        <v>727076</v>
      </c>
      <c r="D360" s="5">
        <v>3763496</v>
      </c>
      <c r="E360" s="6" t="s">
        <v>70</v>
      </c>
      <c r="F360" s="6" t="s">
        <v>70</v>
      </c>
      <c r="G360" s="6" t="s">
        <v>70</v>
      </c>
      <c r="H360" s="7"/>
      <c r="I360" s="34" t="str">
        <f t="shared" si="65"/>
        <v>160922</v>
      </c>
      <c r="J360" s="31" t="str">
        <f t="shared" si="66"/>
        <v>01</v>
      </c>
      <c r="N360" s="12">
        <f t="shared" si="67"/>
        <v>0</v>
      </c>
      <c r="O360" s="11" t="str">
        <f t="shared" si="68"/>
        <v>1</v>
      </c>
      <c r="P360" s="11" t="str">
        <f t="shared" si="69"/>
        <v>1</v>
      </c>
      <c r="Q360" s="11" t="str">
        <f t="shared" si="70"/>
        <v>6</v>
      </c>
      <c r="R360" s="11" t="str">
        <f t="shared" si="71"/>
        <v>0</v>
      </c>
      <c r="S360" s="11" t="str">
        <f t="shared" si="72"/>
        <v>9</v>
      </c>
      <c r="T360" s="11" t="str">
        <f t="shared" si="73"/>
        <v>2</v>
      </c>
      <c r="U360" s="11" t="str">
        <f t="shared" si="74"/>
        <v>2</v>
      </c>
      <c r="V360" s="11" t="str">
        <f t="shared" si="75"/>
        <v>3</v>
      </c>
      <c r="W360" s="11" t="str">
        <f t="shared" si="76"/>
        <v>5</v>
      </c>
      <c r="X360" s="11" t="str">
        <f t="shared" si="77"/>
        <v>9</v>
      </c>
    </row>
    <row r="361" spans="1:24" x14ac:dyDescent="0.35">
      <c r="A361" s="5">
        <v>14221</v>
      </c>
      <c r="B361" s="5">
        <v>1160922360</v>
      </c>
      <c r="C361" s="5">
        <v>727106</v>
      </c>
      <c r="D361" s="5">
        <v>3763481</v>
      </c>
      <c r="E361" s="6" t="s">
        <v>70</v>
      </c>
      <c r="F361" s="6" t="s">
        <v>70</v>
      </c>
      <c r="G361" s="6" t="s">
        <v>70</v>
      </c>
      <c r="H361" s="7"/>
      <c r="I361" s="34" t="str">
        <f t="shared" si="65"/>
        <v>160922</v>
      </c>
      <c r="J361" s="31" t="str">
        <f t="shared" si="66"/>
        <v>01</v>
      </c>
      <c r="N361" s="12">
        <f t="shared" si="67"/>
        <v>0</v>
      </c>
      <c r="O361" s="11" t="str">
        <f t="shared" si="68"/>
        <v>1</v>
      </c>
      <c r="P361" s="11" t="str">
        <f t="shared" si="69"/>
        <v>1</v>
      </c>
      <c r="Q361" s="11" t="str">
        <f t="shared" si="70"/>
        <v>6</v>
      </c>
      <c r="R361" s="11" t="str">
        <f t="shared" si="71"/>
        <v>0</v>
      </c>
      <c r="S361" s="11" t="str">
        <f t="shared" si="72"/>
        <v>9</v>
      </c>
      <c r="T361" s="11" t="str">
        <f t="shared" si="73"/>
        <v>2</v>
      </c>
      <c r="U361" s="11" t="str">
        <f t="shared" si="74"/>
        <v>2</v>
      </c>
      <c r="V361" s="11" t="str">
        <f t="shared" si="75"/>
        <v>3</v>
      </c>
      <c r="W361" s="11" t="str">
        <f t="shared" si="76"/>
        <v>6</v>
      </c>
      <c r="X361" s="11" t="str">
        <f t="shared" si="77"/>
        <v>0</v>
      </c>
    </row>
    <row r="362" spans="1:24" x14ac:dyDescent="0.35">
      <c r="A362" s="5">
        <v>14222</v>
      </c>
      <c r="B362" s="5">
        <v>1160922361</v>
      </c>
      <c r="C362" s="5">
        <v>727106</v>
      </c>
      <c r="D362" s="5">
        <v>3763481</v>
      </c>
      <c r="E362" s="6" t="s">
        <v>70</v>
      </c>
      <c r="F362" s="6" t="s">
        <v>70</v>
      </c>
      <c r="G362" s="6" t="s">
        <v>70</v>
      </c>
      <c r="H362" s="7"/>
      <c r="I362" s="34" t="str">
        <f t="shared" si="65"/>
        <v>160922</v>
      </c>
      <c r="J362" s="31" t="str">
        <f t="shared" si="66"/>
        <v>01</v>
      </c>
      <c r="N362" s="12">
        <f t="shared" si="67"/>
        <v>0</v>
      </c>
      <c r="O362" s="11" t="str">
        <f t="shared" si="68"/>
        <v>1</v>
      </c>
      <c r="P362" s="11" t="str">
        <f t="shared" si="69"/>
        <v>1</v>
      </c>
      <c r="Q362" s="11" t="str">
        <f t="shared" si="70"/>
        <v>6</v>
      </c>
      <c r="R362" s="11" t="str">
        <f t="shared" si="71"/>
        <v>0</v>
      </c>
      <c r="S362" s="11" t="str">
        <f t="shared" si="72"/>
        <v>9</v>
      </c>
      <c r="T362" s="11" t="str">
        <f t="shared" si="73"/>
        <v>2</v>
      </c>
      <c r="U362" s="11" t="str">
        <f t="shared" si="74"/>
        <v>2</v>
      </c>
      <c r="V362" s="11" t="str">
        <f t="shared" si="75"/>
        <v>3</v>
      </c>
      <c r="W362" s="11" t="str">
        <f t="shared" si="76"/>
        <v>6</v>
      </c>
      <c r="X362" s="11" t="str">
        <f t="shared" si="77"/>
        <v>1</v>
      </c>
    </row>
    <row r="363" spans="1:24" x14ac:dyDescent="0.35">
      <c r="A363" s="5">
        <v>14223</v>
      </c>
      <c r="B363" s="5">
        <v>1160922362</v>
      </c>
      <c r="C363" s="5">
        <v>727105</v>
      </c>
      <c r="D363" s="5">
        <v>3763482</v>
      </c>
      <c r="E363" s="6" t="s">
        <v>70</v>
      </c>
      <c r="F363" s="6" t="s">
        <v>70</v>
      </c>
      <c r="G363" s="6" t="s">
        <v>70</v>
      </c>
      <c r="H363" s="7"/>
      <c r="I363" s="34" t="str">
        <f t="shared" si="65"/>
        <v>160922</v>
      </c>
      <c r="J363" s="31" t="str">
        <f t="shared" si="66"/>
        <v>01</v>
      </c>
      <c r="N363" s="12">
        <f t="shared" si="67"/>
        <v>0</v>
      </c>
      <c r="O363" s="11" t="str">
        <f t="shared" si="68"/>
        <v>1</v>
      </c>
      <c r="P363" s="11" t="str">
        <f t="shared" si="69"/>
        <v>1</v>
      </c>
      <c r="Q363" s="11" t="str">
        <f t="shared" si="70"/>
        <v>6</v>
      </c>
      <c r="R363" s="11" t="str">
        <f t="shared" si="71"/>
        <v>0</v>
      </c>
      <c r="S363" s="11" t="str">
        <f t="shared" si="72"/>
        <v>9</v>
      </c>
      <c r="T363" s="11" t="str">
        <f t="shared" si="73"/>
        <v>2</v>
      </c>
      <c r="U363" s="11" t="str">
        <f t="shared" si="74"/>
        <v>2</v>
      </c>
      <c r="V363" s="11" t="str">
        <f t="shared" si="75"/>
        <v>3</v>
      </c>
      <c r="W363" s="11" t="str">
        <f t="shared" si="76"/>
        <v>6</v>
      </c>
      <c r="X363" s="11" t="str">
        <f t="shared" si="77"/>
        <v>2</v>
      </c>
    </row>
    <row r="364" spans="1:24" x14ac:dyDescent="0.35">
      <c r="A364" s="5">
        <v>14224</v>
      </c>
      <c r="B364" s="5">
        <v>1160922363</v>
      </c>
      <c r="C364" s="5">
        <v>727130</v>
      </c>
      <c r="D364" s="5">
        <v>3763472</v>
      </c>
      <c r="E364" s="6" t="s">
        <v>70</v>
      </c>
      <c r="F364" s="6" t="s">
        <v>70</v>
      </c>
      <c r="G364" s="6" t="s">
        <v>70</v>
      </c>
      <c r="H364" s="7"/>
      <c r="I364" s="34" t="str">
        <f t="shared" si="65"/>
        <v>160922</v>
      </c>
      <c r="J364" s="31" t="str">
        <f t="shared" si="66"/>
        <v>01</v>
      </c>
      <c r="N364" s="12">
        <f t="shared" si="67"/>
        <v>0</v>
      </c>
      <c r="O364" s="11" t="str">
        <f t="shared" si="68"/>
        <v>1</v>
      </c>
      <c r="P364" s="11" t="str">
        <f t="shared" si="69"/>
        <v>1</v>
      </c>
      <c r="Q364" s="11" t="str">
        <f t="shared" si="70"/>
        <v>6</v>
      </c>
      <c r="R364" s="11" t="str">
        <f t="shared" si="71"/>
        <v>0</v>
      </c>
      <c r="S364" s="11" t="str">
        <f t="shared" si="72"/>
        <v>9</v>
      </c>
      <c r="T364" s="11" t="str">
        <f t="shared" si="73"/>
        <v>2</v>
      </c>
      <c r="U364" s="11" t="str">
        <f t="shared" si="74"/>
        <v>2</v>
      </c>
      <c r="V364" s="11" t="str">
        <f t="shared" si="75"/>
        <v>3</v>
      </c>
      <c r="W364" s="11" t="str">
        <f t="shared" si="76"/>
        <v>6</v>
      </c>
      <c r="X364" s="11" t="str">
        <f t="shared" si="77"/>
        <v>3</v>
      </c>
    </row>
    <row r="365" spans="1:24" x14ac:dyDescent="0.35">
      <c r="A365" s="5">
        <v>14225</v>
      </c>
      <c r="B365" s="5">
        <v>1160922364</v>
      </c>
      <c r="C365" s="5">
        <v>727142</v>
      </c>
      <c r="D365" s="5">
        <v>3763499</v>
      </c>
      <c r="E365" s="6" t="s">
        <v>70</v>
      </c>
      <c r="F365" s="6" t="s">
        <v>70</v>
      </c>
      <c r="G365" s="6" t="s">
        <v>70</v>
      </c>
      <c r="H365" s="7"/>
      <c r="I365" s="34" t="str">
        <f t="shared" si="65"/>
        <v>160922</v>
      </c>
      <c r="J365" s="31" t="str">
        <f t="shared" si="66"/>
        <v>01</v>
      </c>
      <c r="N365" s="12">
        <f t="shared" si="67"/>
        <v>0</v>
      </c>
      <c r="O365" s="11" t="str">
        <f t="shared" si="68"/>
        <v>1</v>
      </c>
      <c r="P365" s="11" t="str">
        <f t="shared" si="69"/>
        <v>1</v>
      </c>
      <c r="Q365" s="11" t="str">
        <f t="shared" si="70"/>
        <v>6</v>
      </c>
      <c r="R365" s="11" t="str">
        <f t="shared" si="71"/>
        <v>0</v>
      </c>
      <c r="S365" s="11" t="str">
        <f t="shared" si="72"/>
        <v>9</v>
      </c>
      <c r="T365" s="11" t="str">
        <f t="shared" si="73"/>
        <v>2</v>
      </c>
      <c r="U365" s="11" t="str">
        <f t="shared" si="74"/>
        <v>2</v>
      </c>
      <c r="V365" s="11" t="str">
        <f t="shared" si="75"/>
        <v>3</v>
      </c>
      <c r="W365" s="11" t="str">
        <f t="shared" si="76"/>
        <v>6</v>
      </c>
      <c r="X365" s="11" t="str">
        <f t="shared" si="77"/>
        <v>4</v>
      </c>
    </row>
    <row r="366" spans="1:24" x14ac:dyDescent="0.35">
      <c r="A366" s="5">
        <v>14226</v>
      </c>
      <c r="B366" s="5">
        <v>1160922365</v>
      </c>
      <c r="C366" s="5">
        <v>727183</v>
      </c>
      <c r="D366" s="5">
        <v>3763446</v>
      </c>
      <c r="E366" s="6" t="s">
        <v>70</v>
      </c>
      <c r="F366" s="6" t="s">
        <v>70</v>
      </c>
      <c r="G366" s="6" t="s">
        <v>70</v>
      </c>
      <c r="H366" s="7"/>
      <c r="I366" s="34" t="str">
        <f t="shared" si="65"/>
        <v>160922</v>
      </c>
      <c r="J366" s="31" t="str">
        <f t="shared" si="66"/>
        <v>01</v>
      </c>
      <c r="N366" s="12">
        <f t="shared" si="67"/>
        <v>0</v>
      </c>
      <c r="O366" s="11" t="str">
        <f t="shared" si="68"/>
        <v>1</v>
      </c>
      <c r="P366" s="11" t="str">
        <f t="shared" si="69"/>
        <v>1</v>
      </c>
      <c r="Q366" s="11" t="str">
        <f t="shared" si="70"/>
        <v>6</v>
      </c>
      <c r="R366" s="11" t="str">
        <f t="shared" si="71"/>
        <v>0</v>
      </c>
      <c r="S366" s="11" t="str">
        <f t="shared" si="72"/>
        <v>9</v>
      </c>
      <c r="T366" s="11" t="str">
        <f t="shared" si="73"/>
        <v>2</v>
      </c>
      <c r="U366" s="11" t="str">
        <f t="shared" si="74"/>
        <v>2</v>
      </c>
      <c r="V366" s="11" t="str">
        <f t="shared" si="75"/>
        <v>3</v>
      </c>
      <c r="W366" s="11" t="str">
        <f t="shared" si="76"/>
        <v>6</v>
      </c>
      <c r="X366" s="11" t="str">
        <f t="shared" si="77"/>
        <v>5</v>
      </c>
    </row>
    <row r="367" spans="1:24" x14ac:dyDescent="0.35">
      <c r="A367" s="5">
        <v>14227</v>
      </c>
      <c r="B367" s="5">
        <v>1160922366</v>
      </c>
      <c r="C367" s="5">
        <v>727158</v>
      </c>
      <c r="D367" s="5">
        <v>3763487</v>
      </c>
      <c r="E367" s="6" t="s">
        <v>70</v>
      </c>
      <c r="F367" s="6" t="s">
        <v>70</v>
      </c>
      <c r="G367" s="6" t="s">
        <v>70</v>
      </c>
      <c r="H367" s="7"/>
      <c r="I367" s="34" t="str">
        <f t="shared" si="65"/>
        <v>160922</v>
      </c>
      <c r="J367" s="31" t="str">
        <f t="shared" si="66"/>
        <v>01</v>
      </c>
      <c r="N367" s="12">
        <f t="shared" si="67"/>
        <v>0</v>
      </c>
      <c r="O367" s="11" t="str">
        <f t="shared" si="68"/>
        <v>1</v>
      </c>
      <c r="P367" s="11" t="str">
        <f t="shared" si="69"/>
        <v>1</v>
      </c>
      <c r="Q367" s="11" t="str">
        <f t="shared" si="70"/>
        <v>6</v>
      </c>
      <c r="R367" s="11" t="str">
        <f t="shared" si="71"/>
        <v>0</v>
      </c>
      <c r="S367" s="11" t="str">
        <f t="shared" si="72"/>
        <v>9</v>
      </c>
      <c r="T367" s="11" t="str">
        <f t="shared" si="73"/>
        <v>2</v>
      </c>
      <c r="U367" s="11" t="str">
        <f t="shared" si="74"/>
        <v>2</v>
      </c>
      <c r="V367" s="11" t="str">
        <f t="shared" si="75"/>
        <v>3</v>
      </c>
      <c r="W367" s="11" t="str">
        <f t="shared" si="76"/>
        <v>6</v>
      </c>
      <c r="X367" s="11" t="str">
        <f t="shared" si="77"/>
        <v>6</v>
      </c>
    </row>
    <row r="368" spans="1:24" x14ac:dyDescent="0.35">
      <c r="A368" s="5">
        <v>14228</v>
      </c>
      <c r="B368" s="5">
        <v>1160922367</v>
      </c>
      <c r="C368" s="5">
        <v>727162</v>
      </c>
      <c r="D368" s="5">
        <v>3763509</v>
      </c>
      <c r="E368" s="6" t="s">
        <v>70</v>
      </c>
      <c r="F368" s="6" t="s">
        <v>70</v>
      </c>
      <c r="G368" s="6" t="s">
        <v>70</v>
      </c>
      <c r="H368" s="7"/>
      <c r="I368" s="34" t="str">
        <f t="shared" si="65"/>
        <v>160922</v>
      </c>
      <c r="J368" s="31" t="str">
        <f t="shared" si="66"/>
        <v>01</v>
      </c>
      <c r="N368" s="12">
        <f t="shared" si="67"/>
        <v>0</v>
      </c>
      <c r="O368" s="11" t="str">
        <f t="shared" si="68"/>
        <v>1</v>
      </c>
      <c r="P368" s="11" t="str">
        <f t="shared" si="69"/>
        <v>1</v>
      </c>
      <c r="Q368" s="11" t="str">
        <f t="shared" si="70"/>
        <v>6</v>
      </c>
      <c r="R368" s="11" t="str">
        <f t="shared" si="71"/>
        <v>0</v>
      </c>
      <c r="S368" s="11" t="str">
        <f t="shared" si="72"/>
        <v>9</v>
      </c>
      <c r="T368" s="11" t="str">
        <f t="shared" si="73"/>
        <v>2</v>
      </c>
      <c r="U368" s="11" t="str">
        <f t="shared" si="74"/>
        <v>2</v>
      </c>
      <c r="V368" s="11" t="str">
        <f t="shared" si="75"/>
        <v>3</v>
      </c>
      <c r="W368" s="11" t="str">
        <f t="shared" si="76"/>
        <v>6</v>
      </c>
      <c r="X368" s="11" t="str">
        <f t="shared" si="77"/>
        <v>7</v>
      </c>
    </row>
    <row r="369" spans="1:24" x14ac:dyDescent="0.35">
      <c r="A369" s="5">
        <v>14229</v>
      </c>
      <c r="B369" s="5">
        <v>1160922368</v>
      </c>
      <c r="C369" s="5">
        <v>727168</v>
      </c>
      <c r="D369" s="5">
        <v>3763536</v>
      </c>
      <c r="E369" s="6" t="s">
        <v>70</v>
      </c>
      <c r="F369" s="6" t="s">
        <v>70</v>
      </c>
      <c r="G369" s="6" t="s">
        <v>70</v>
      </c>
      <c r="H369" s="7"/>
      <c r="I369" s="34" t="str">
        <f t="shared" si="65"/>
        <v>160922</v>
      </c>
      <c r="J369" s="31" t="str">
        <f t="shared" si="66"/>
        <v>01</v>
      </c>
      <c r="N369" s="12">
        <f t="shared" si="67"/>
        <v>0</v>
      </c>
      <c r="O369" s="11" t="str">
        <f t="shared" si="68"/>
        <v>1</v>
      </c>
      <c r="P369" s="11" t="str">
        <f t="shared" si="69"/>
        <v>1</v>
      </c>
      <c r="Q369" s="11" t="str">
        <f t="shared" si="70"/>
        <v>6</v>
      </c>
      <c r="R369" s="11" t="str">
        <f t="shared" si="71"/>
        <v>0</v>
      </c>
      <c r="S369" s="11" t="str">
        <f t="shared" si="72"/>
        <v>9</v>
      </c>
      <c r="T369" s="11" t="str">
        <f t="shared" si="73"/>
        <v>2</v>
      </c>
      <c r="U369" s="11" t="str">
        <f t="shared" si="74"/>
        <v>2</v>
      </c>
      <c r="V369" s="11" t="str">
        <f t="shared" si="75"/>
        <v>3</v>
      </c>
      <c r="W369" s="11" t="str">
        <f t="shared" si="76"/>
        <v>6</v>
      </c>
      <c r="X369" s="11" t="str">
        <f t="shared" si="77"/>
        <v>8</v>
      </c>
    </row>
    <row r="370" spans="1:24" x14ac:dyDescent="0.35">
      <c r="A370" s="5">
        <v>14230</v>
      </c>
      <c r="B370" s="5">
        <v>1160922369</v>
      </c>
      <c r="C370" s="5">
        <v>727177</v>
      </c>
      <c r="D370" s="5">
        <v>3763560</v>
      </c>
      <c r="E370" s="6" t="s">
        <v>70</v>
      </c>
      <c r="F370" s="6" t="s">
        <v>70</v>
      </c>
      <c r="G370" s="6" t="s">
        <v>70</v>
      </c>
      <c r="H370" s="7"/>
      <c r="I370" s="34" t="str">
        <f t="shared" si="65"/>
        <v>160922</v>
      </c>
      <c r="J370" s="31" t="str">
        <f t="shared" si="66"/>
        <v>01</v>
      </c>
      <c r="N370" s="12">
        <f t="shared" si="67"/>
        <v>0</v>
      </c>
      <c r="O370" s="11" t="str">
        <f t="shared" si="68"/>
        <v>1</v>
      </c>
      <c r="P370" s="11" t="str">
        <f t="shared" si="69"/>
        <v>1</v>
      </c>
      <c r="Q370" s="11" t="str">
        <f t="shared" si="70"/>
        <v>6</v>
      </c>
      <c r="R370" s="11" t="str">
        <f t="shared" si="71"/>
        <v>0</v>
      </c>
      <c r="S370" s="11" t="str">
        <f t="shared" si="72"/>
        <v>9</v>
      </c>
      <c r="T370" s="11" t="str">
        <f t="shared" si="73"/>
        <v>2</v>
      </c>
      <c r="U370" s="11" t="str">
        <f t="shared" si="74"/>
        <v>2</v>
      </c>
      <c r="V370" s="11" t="str">
        <f t="shared" si="75"/>
        <v>3</v>
      </c>
      <c r="W370" s="11" t="str">
        <f t="shared" si="76"/>
        <v>6</v>
      </c>
      <c r="X370" s="11" t="str">
        <f t="shared" si="77"/>
        <v>9</v>
      </c>
    </row>
    <row r="371" spans="1:24" x14ac:dyDescent="0.35">
      <c r="A371" s="5">
        <v>14231</v>
      </c>
      <c r="B371" s="5">
        <v>1160922370</v>
      </c>
      <c r="C371" s="5">
        <v>727176</v>
      </c>
      <c r="D371" s="5">
        <v>3763579</v>
      </c>
      <c r="E371" s="6" t="s">
        <v>70</v>
      </c>
      <c r="F371" s="6" t="s">
        <v>70</v>
      </c>
      <c r="G371" s="6" t="s">
        <v>70</v>
      </c>
      <c r="H371" s="7"/>
      <c r="I371" s="34" t="str">
        <f t="shared" si="65"/>
        <v>160922</v>
      </c>
      <c r="J371" s="31" t="str">
        <f t="shared" si="66"/>
        <v>01</v>
      </c>
      <c r="N371" s="12">
        <f t="shared" si="67"/>
        <v>0</v>
      </c>
      <c r="O371" s="11" t="str">
        <f t="shared" si="68"/>
        <v>1</v>
      </c>
      <c r="P371" s="11" t="str">
        <f t="shared" si="69"/>
        <v>1</v>
      </c>
      <c r="Q371" s="11" t="str">
        <f t="shared" si="70"/>
        <v>6</v>
      </c>
      <c r="R371" s="11" t="str">
        <f t="shared" si="71"/>
        <v>0</v>
      </c>
      <c r="S371" s="11" t="str">
        <f t="shared" si="72"/>
        <v>9</v>
      </c>
      <c r="T371" s="11" t="str">
        <f t="shared" si="73"/>
        <v>2</v>
      </c>
      <c r="U371" s="11" t="str">
        <f t="shared" si="74"/>
        <v>2</v>
      </c>
      <c r="V371" s="11" t="str">
        <f t="shared" si="75"/>
        <v>3</v>
      </c>
      <c r="W371" s="11" t="str">
        <f t="shared" si="76"/>
        <v>7</v>
      </c>
      <c r="X371" s="11" t="str">
        <f t="shared" si="77"/>
        <v>0</v>
      </c>
    </row>
    <row r="372" spans="1:24" x14ac:dyDescent="0.35">
      <c r="A372" s="5">
        <v>14232</v>
      </c>
      <c r="B372" s="5">
        <v>1160922371</v>
      </c>
      <c r="C372" s="5">
        <v>727181</v>
      </c>
      <c r="D372" s="5">
        <v>3763600</v>
      </c>
      <c r="E372" s="6" t="s">
        <v>70</v>
      </c>
      <c r="F372" s="6" t="s">
        <v>70</v>
      </c>
      <c r="G372" s="6" t="s">
        <v>70</v>
      </c>
      <c r="H372" s="7"/>
      <c r="I372" s="34" t="str">
        <f t="shared" si="65"/>
        <v>160922</v>
      </c>
      <c r="J372" s="31" t="str">
        <f t="shared" si="66"/>
        <v>01</v>
      </c>
      <c r="N372" s="12">
        <f t="shared" si="67"/>
        <v>0</v>
      </c>
      <c r="O372" s="11" t="str">
        <f t="shared" si="68"/>
        <v>1</v>
      </c>
      <c r="P372" s="11" t="str">
        <f t="shared" si="69"/>
        <v>1</v>
      </c>
      <c r="Q372" s="11" t="str">
        <f t="shared" si="70"/>
        <v>6</v>
      </c>
      <c r="R372" s="11" t="str">
        <f t="shared" si="71"/>
        <v>0</v>
      </c>
      <c r="S372" s="11" t="str">
        <f t="shared" si="72"/>
        <v>9</v>
      </c>
      <c r="T372" s="11" t="str">
        <f t="shared" si="73"/>
        <v>2</v>
      </c>
      <c r="U372" s="11" t="str">
        <f t="shared" si="74"/>
        <v>2</v>
      </c>
      <c r="V372" s="11" t="str">
        <f t="shared" si="75"/>
        <v>3</v>
      </c>
      <c r="W372" s="11" t="str">
        <f t="shared" si="76"/>
        <v>7</v>
      </c>
      <c r="X372" s="11" t="str">
        <f t="shared" si="77"/>
        <v>1</v>
      </c>
    </row>
    <row r="373" spans="1:24" s="19" customFormat="1" x14ac:dyDescent="0.35">
      <c r="A373" s="8">
        <v>14233</v>
      </c>
      <c r="B373" s="8">
        <v>14120922001</v>
      </c>
      <c r="C373" s="8">
        <v>724645</v>
      </c>
      <c r="D373" s="8">
        <v>3763465</v>
      </c>
      <c r="E373" s="22" t="s">
        <v>70</v>
      </c>
      <c r="F373" s="22" t="s">
        <v>71</v>
      </c>
      <c r="G373" s="22" t="s">
        <v>71</v>
      </c>
      <c r="H373" s="23"/>
      <c r="I373" s="34" t="str">
        <f t="shared" si="65"/>
        <v>120922</v>
      </c>
      <c r="J373" s="31" t="str">
        <f t="shared" si="66"/>
        <v>14</v>
      </c>
      <c r="N373" s="24" t="str">
        <f t="shared" si="67"/>
        <v>1</v>
      </c>
      <c r="O373" s="25" t="str">
        <f t="shared" si="68"/>
        <v>4</v>
      </c>
      <c r="P373" s="25" t="str">
        <f t="shared" si="69"/>
        <v>1</v>
      </c>
      <c r="Q373" s="25" t="str">
        <f t="shared" si="70"/>
        <v>2</v>
      </c>
      <c r="R373" s="25" t="str">
        <f t="shared" si="71"/>
        <v>0</v>
      </c>
      <c r="S373" s="25" t="str">
        <f t="shared" si="72"/>
        <v>9</v>
      </c>
      <c r="T373" s="25" t="str">
        <f t="shared" si="73"/>
        <v>2</v>
      </c>
      <c r="U373" s="25" t="str">
        <f t="shared" si="74"/>
        <v>2</v>
      </c>
      <c r="V373" s="25" t="str">
        <f t="shared" si="75"/>
        <v>0</v>
      </c>
      <c r="W373" s="25" t="str">
        <f t="shared" si="76"/>
        <v>0</v>
      </c>
      <c r="X373" s="25" t="str">
        <f t="shared" si="77"/>
        <v>1</v>
      </c>
    </row>
    <row r="374" spans="1:24" x14ac:dyDescent="0.35">
      <c r="A374" s="5">
        <v>14234</v>
      </c>
      <c r="B374" s="5">
        <v>14120922002</v>
      </c>
      <c r="C374" s="5">
        <v>724656</v>
      </c>
      <c r="D374" s="5">
        <v>3763496</v>
      </c>
      <c r="E374" s="6" t="s">
        <v>70</v>
      </c>
      <c r="F374" s="6" t="s">
        <v>71</v>
      </c>
      <c r="G374" s="6" t="s">
        <v>71</v>
      </c>
      <c r="H374" s="7"/>
      <c r="I374" s="34" t="str">
        <f t="shared" si="65"/>
        <v>120922</v>
      </c>
      <c r="J374" s="31" t="str">
        <f t="shared" si="66"/>
        <v>14</v>
      </c>
      <c r="N374" s="12" t="str">
        <f t="shared" si="67"/>
        <v>1</v>
      </c>
      <c r="O374" s="11" t="str">
        <f t="shared" si="68"/>
        <v>4</v>
      </c>
      <c r="P374" s="11" t="str">
        <f t="shared" si="69"/>
        <v>1</v>
      </c>
      <c r="Q374" s="11" t="str">
        <f t="shared" si="70"/>
        <v>2</v>
      </c>
      <c r="R374" s="11" t="str">
        <f t="shared" si="71"/>
        <v>0</v>
      </c>
      <c r="S374" s="11" t="str">
        <f t="shared" si="72"/>
        <v>9</v>
      </c>
      <c r="T374" s="11" t="str">
        <f t="shared" si="73"/>
        <v>2</v>
      </c>
      <c r="U374" s="11" t="str">
        <f t="shared" si="74"/>
        <v>2</v>
      </c>
      <c r="V374" s="11" t="str">
        <f t="shared" si="75"/>
        <v>0</v>
      </c>
      <c r="W374" s="11" t="str">
        <f t="shared" si="76"/>
        <v>0</v>
      </c>
      <c r="X374" s="11" t="str">
        <f t="shared" si="77"/>
        <v>2</v>
      </c>
    </row>
    <row r="375" spans="1:24" x14ac:dyDescent="0.35">
      <c r="A375" s="5">
        <v>14235</v>
      </c>
      <c r="B375" s="5">
        <v>14120922003</v>
      </c>
      <c r="C375" s="5">
        <v>724690</v>
      </c>
      <c r="D375" s="5">
        <v>3763551</v>
      </c>
      <c r="E375" s="6" t="s">
        <v>70</v>
      </c>
      <c r="F375" s="6" t="s">
        <v>71</v>
      </c>
      <c r="G375" s="6" t="s">
        <v>71</v>
      </c>
      <c r="H375" s="7"/>
      <c r="I375" s="34" t="str">
        <f t="shared" si="65"/>
        <v>120922</v>
      </c>
      <c r="J375" s="31" t="str">
        <f t="shared" si="66"/>
        <v>14</v>
      </c>
      <c r="N375" s="12" t="str">
        <f t="shared" si="67"/>
        <v>1</v>
      </c>
      <c r="O375" s="11" t="str">
        <f t="shared" si="68"/>
        <v>4</v>
      </c>
      <c r="P375" s="11" t="str">
        <f t="shared" si="69"/>
        <v>1</v>
      </c>
      <c r="Q375" s="11" t="str">
        <f t="shared" si="70"/>
        <v>2</v>
      </c>
      <c r="R375" s="11" t="str">
        <f t="shared" si="71"/>
        <v>0</v>
      </c>
      <c r="S375" s="11" t="str">
        <f t="shared" si="72"/>
        <v>9</v>
      </c>
      <c r="T375" s="11" t="str">
        <f t="shared" si="73"/>
        <v>2</v>
      </c>
      <c r="U375" s="11" t="str">
        <f t="shared" si="74"/>
        <v>2</v>
      </c>
      <c r="V375" s="11" t="str">
        <f t="shared" si="75"/>
        <v>0</v>
      </c>
      <c r="W375" s="11" t="str">
        <f t="shared" si="76"/>
        <v>0</v>
      </c>
      <c r="X375" s="11" t="str">
        <f t="shared" si="77"/>
        <v>3</v>
      </c>
    </row>
    <row r="376" spans="1:24" x14ac:dyDescent="0.35">
      <c r="A376" s="5">
        <v>14236</v>
      </c>
      <c r="B376" s="5">
        <v>14120922004</v>
      </c>
      <c r="C376" s="5">
        <v>724710</v>
      </c>
      <c r="D376" s="5">
        <v>3763557</v>
      </c>
      <c r="E376" s="6" t="s">
        <v>70</v>
      </c>
      <c r="F376" s="6" t="s">
        <v>71</v>
      </c>
      <c r="G376" s="6" t="s">
        <v>71</v>
      </c>
      <c r="H376" s="7"/>
      <c r="I376" s="34" t="str">
        <f t="shared" si="65"/>
        <v>120922</v>
      </c>
      <c r="J376" s="31" t="str">
        <f t="shared" si="66"/>
        <v>14</v>
      </c>
      <c r="N376" s="12" t="str">
        <f t="shared" si="67"/>
        <v>1</v>
      </c>
      <c r="O376" s="11" t="str">
        <f t="shared" si="68"/>
        <v>4</v>
      </c>
      <c r="P376" s="11" t="str">
        <f t="shared" si="69"/>
        <v>1</v>
      </c>
      <c r="Q376" s="11" t="str">
        <f t="shared" si="70"/>
        <v>2</v>
      </c>
      <c r="R376" s="11" t="str">
        <f t="shared" si="71"/>
        <v>0</v>
      </c>
      <c r="S376" s="11" t="str">
        <f t="shared" si="72"/>
        <v>9</v>
      </c>
      <c r="T376" s="11" t="str">
        <f t="shared" si="73"/>
        <v>2</v>
      </c>
      <c r="U376" s="11" t="str">
        <f t="shared" si="74"/>
        <v>2</v>
      </c>
      <c r="V376" s="11" t="str">
        <f t="shared" si="75"/>
        <v>0</v>
      </c>
      <c r="W376" s="11" t="str">
        <f t="shared" si="76"/>
        <v>0</v>
      </c>
      <c r="X376" s="11" t="str">
        <f t="shared" si="77"/>
        <v>4</v>
      </c>
    </row>
    <row r="377" spans="1:24" x14ac:dyDescent="0.35">
      <c r="A377" s="5">
        <v>14237</v>
      </c>
      <c r="B377" s="5">
        <v>14120922005</v>
      </c>
      <c r="C377" s="5">
        <v>724752</v>
      </c>
      <c r="D377" s="5">
        <v>3763556</v>
      </c>
      <c r="E377" s="6" t="s">
        <v>70</v>
      </c>
      <c r="F377" s="6" t="s">
        <v>71</v>
      </c>
      <c r="G377" s="6" t="s">
        <v>71</v>
      </c>
      <c r="H377" s="7"/>
      <c r="I377" s="34" t="str">
        <f t="shared" si="65"/>
        <v>120922</v>
      </c>
      <c r="J377" s="31" t="str">
        <f t="shared" si="66"/>
        <v>14</v>
      </c>
      <c r="N377" s="12" t="str">
        <f t="shared" si="67"/>
        <v>1</v>
      </c>
      <c r="O377" s="11" t="str">
        <f t="shared" si="68"/>
        <v>4</v>
      </c>
      <c r="P377" s="11" t="str">
        <f t="shared" si="69"/>
        <v>1</v>
      </c>
      <c r="Q377" s="11" t="str">
        <f t="shared" si="70"/>
        <v>2</v>
      </c>
      <c r="R377" s="11" t="str">
        <f t="shared" si="71"/>
        <v>0</v>
      </c>
      <c r="S377" s="11" t="str">
        <f t="shared" si="72"/>
        <v>9</v>
      </c>
      <c r="T377" s="11" t="str">
        <f t="shared" si="73"/>
        <v>2</v>
      </c>
      <c r="U377" s="11" t="str">
        <f t="shared" si="74"/>
        <v>2</v>
      </c>
      <c r="V377" s="11" t="str">
        <f t="shared" si="75"/>
        <v>0</v>
      </c>
      <c r="W377" s="11" t="str">
        <f t="shared" si="76"/>
        <v>0</v>
      </c>
      <c r="X377" s="11" t="str">
        <f t="shared" si="77"/>
        <v>5</v>
      </c>
    </row>
    <row r="378" spans="1:24" x14ac:dyDescent="0.35">
      <c r="A378" s="5">
        <v>14238</v>
      </c>
      <c r="B378" s="5">
        <v>14120922006</v>
      </c>
      <c r="C378" s="5">
        <v>724755</v>
      </c>
      <c r="D378" s="5">
        <v>3763606</v>
      </c>
      <c r="E378" s="6" t="s">
        <v>70</v>
      </c>
      <c r="F378" s="6" t="s">
        <v>71</v>
      </c>
      <c r="G378" s="6" t="s">
        <v>71</v>
      </c>
      <c r="H378" s="7"/>
      <c r="I378" s="34" t="str">
        <f t="shared" si="65"/>
        <v>120922</v>
      </c>
      <c r="J378" s="31" t="str">
        <f t="shared" si="66"/>
        <v>14</v>
      </c>
      <c r="N378" s="12" t="str">
        <f t="shared" si="67"/>
        <v>1</v>
      </c>
      <c r="O378" s="11" t="str">
        <f t="shared" si="68"/>
        <v>4</v>
      </c>
      <c r="P378" s="11" t="str">
        <f t="shared" si="69"/>
        <v>1</v>
      </c>
      <c r="Q378" s="11" t="str">
        <f t="shared" si="70"/>
        <v>2</v>
      </c>
      <c r="R378" s="11" t="str">
        <f t="shared" si="71"/>
        <v>0</v>
      </c>
      <c r="S378" s="11" t="str">
        <f t="shared" si="72"/>
        <v>9</v>
      </c>
      <c r="T378" s="11" t="str">
        <f t="shared" si="73"/>
        <v>2</v>
      </c>
      <c r="U378" s="11" t="str">
        <f t="shared" si="74"/>
        <v>2</v>
      </c>
      <c r="V378" s="11" t="str">
        <f t="shared" si="75"/>
        <v>0</v>
      </c>
      <c r="W378" s="11" t="str">
        <f t="shared" si="76"/>
        <v>0</v>
      </c>
      <c r="X378" s="11" t="str">
        <f t="shared" si="77"/>
        <v>6</v>
      </c>
    </row>
    <row r="379" spans="1:24" x14ac:dyDescent="0.35">
      <c r="A379" s="5">
        <v>14239</v>
      </c>
      <c r="B379" s="5">
        <v>14120922007</v>
      </c>
      <c r="C379" s="5">
        <v>724759</v>
      </c>
      <c r="D379" s="5">
        <v>3763672</v>
      </c>
      <c r="E379" s="6" t="s">
        <v>70</v>
      </c>
      <c r="F379" s="6" t="s">
        <v>71</v>
      </c>
      <c r="G379" s="6" t="s">
        <v>71</v>
      </c>
      <c r="H379" s="7"/>
      <c r="I379" s="34" t="str">
        <f t="shared" si="65"/>
        <v>120922</v>
      </c>
      <c r="J379" s="31" t="str">
        <f t="shared" si="66"/>
        <v>14</v>
      </c>
      <c r="N379" s="12" t="str">
        <f t="shared" si="67"/>
        <v>1</v>
      </c>
      <c r="O379" s="11" t="str">
        <f t="shared" si="68"/>
        <v>4</v>
      </c>
      <c r="P379" s="11" t="str">
        <f t="shared" si="69"/>
        <v>1</v>
      </c>
      <c r="Q379" s="11" t="str">
        <f t="shared" si="70"/>
        <v>2</v>
      </c>
      <c r="R379" s="11" t="str">
        <f t="shared" si="71"/>
        <v>0</v>
      </c>
      <c r="S379" s="11" t="str">
        <f t="shared" si="72"/>
        <v>9</v>
      </c>
      <c r="T379" s="11" t="str">
        <f t="shared" si="73"/>
        <v>2</v>
      </c>
      <c r="U379" s="11" t="str">
        <f t="shared" si="74"/>
        <v>2</v>
      </c>
      <c r="V379" s="11" t="str">
        <f t="shared" si="75"/>
        <v>0</v>
      </c>
      <c r="W379" s="11" t="str">
        <f t="shared" si="76"/>
        <v>0</v>
      </c>
      <c r="X379" s="11" t="str">
        <f t="shared" si="77"/>
        <v>7</v>
      </c>
    </row>
    <row r="380" spans="1:24" x14ac:dyDescent="0.35">
      <c r="A380" s="5">
        <v>14240</v>
      </c>
      <c r="B380" s="5">
        <v>14120922008</v>
      </c>
      <c r="C380" s="5">
        <v>724763</v>
      </c>
      <c r="D380" s="5">
        <v>3763725</v>
      </c>
      <c r="E380" s="6" t="s">
        <v>70</v>
      </c>
      <c r="F380" s="6" t="s">
        <v>71</v>
      </c>
      <c r="G380" s="6" t="s">
        <v>71</v>
      </c>
      <c r="H380" s="7"/>
      <c r="I380" s="34" t="str">
        <f t="shared" si="65"/>
        <v>120922</v>
      </c>
      <c r="J380" s="31" t="str">
        <f t="shared" si="66"/>
        <v>14</v>
      </c>
      <c r="N380" s="12" t="str">
        <f t="shared" si="67"/>
        <v>1</v>
      </c>
      <c r="O380" s="11" t="str">
        <f t="shared" si="68"/>
        <v>4</v>
      </c>
      <c r="P380" s="11" t="str">
        <f t="shared" si="69"/>
        <v>1</v>
      </c>
      <c r="Q380" s="11" t="str">
        <f t="shared" si="70"/>
        <v>2</v>
      </c>
      <c r="R380" s="11" t="str">
        <f t="shared" si="71"/>
        <v>0</v>
      </c>
      <c r="S380" s="11" t="str">
        <f t="shared" si="72"/>
        <v>9</v>
      </c>
      <c r="T380" s="11" t="str">
        <f t="shared" si="73"/>
        <v>2</v>
      </c>
      <c r="U380" s="11" t="str">
        <f t="shared" si="74"/>
        <v>2</v>
      </c>
      <c r="V380" s="11" t="str">
        <f t="shared" si="75"/>
        <v>0</v>
      </c>
      <c r="W380" s="11" t="str">
        <f t="shared" si="76"/>
        <v>0</v>
      </c>
      <c r="X380" s="11" t="str">
        <f t="shared" si="77"/>
        <v>8</v>
      </c>
    </row>
    <row r="381" spans="1:24" x14ac:dyDescent="0.35">
      <c r="A381" s="5">
        <v>14241</v>
      </c>
      <c r="B381" s="5">
        <v>14120922009</v>
      </c>
      <c r="C381" s="5">
        <v>724766</v>
      </c>
      <c r="D381" s="5">
        <v>3763771</v>
      </c>
      <c r="E381" s="6" t="s">
        <v>70</v>
      </c>
      <c r="F381" s="6" t="s">
        <v>71</v>
      </c>
      <c r="G381" s="6" t="s">
        <v>71</v>
      </c>
      <c r="H381" s="7"/>
      <c r="I381" s="34" t="str">
        <f t="shared" si="65"/>
        <v>120922</v>
      </c>
      <c r="J381" s="31" t="str">
        <f t="shared" si="66"/>
        <v>14</v>
      </c>
      <c r="N381" s="12" t="str">
        <f t="shared" si="67"/>
        <v>1</v>
      </c>
      <c r="O381" s="11" t="str">
        <f t="shared" si="68"/>
        <v>4</v>
      </c>
      <c r="P381" s="11" t="str">
        <f t="shared" si="69"/>
        <v>1</v>
      </c>
      <c r="Q381" s="11" t="str">
        <f t="shared" si="70"/>
        <v>2</v>
      </c>
      <c r="R381" s="11" t="str">
        <f t="shared" si="71"/>
        <v>0</v>
      </c>
      <c r="S381" s="11" t="str">
        <f t="shared" si="72"/>
        <v>9</v>
      </c>
      <c r="T381" s="11" t="str">
        <f t="shared" si="73"/>
        <v>2</v>
      </c>
      <c r="U381" s="11" t="str">
        <f t="shared" si="74"/>
        <v>2</v>
      </c>
      <c r="V381" s="11" t="str">
        <f t="shared" si="75"/>
        <v>0</v>
      </c>
      <c r="W381" s="11" t="str">
        <f t="shared" si="76"/>
        <v>0</v>
      </c>
      <c r="X381" s="11" t="str">
        <f t="shared" si="77"/>
        <v>9</v>
      </c>
    </row>
    <row r="382" spans="1:24" x14ac:dyDescent="0.35">
      <c r="A382" s="5">
        <v>14242</v>
      </c>
      <c r="B382" s="5">
        <v>14120922010</v>
      </c>
      <c r="C382" s="5">
        <v>724754</v>
      </c>
      <c r="D382" s="5">
        <v>3763856</v>
      </c>
      <c r="E382" s="6" t="s">
        <v>70</v>
      </c>
      <c r="F382" s="6" t="s">
        <v>71</v>
      </c>
      <c r="G382" s="6" t="s">
        <v>71</v>
      </c>
      <c r="H382" s="7"/>
      <c r="I382" s="34" t="str">
        <f t="shared" si="65"/>
        <v>120922</v>
      </c>
      <c r="J382" s="31" t="str">
        <f t="shared" si="66"/>
        <v>14</v>
      </c>
      <c r="N382" s="12" t="str">
        <f t="shared" si="67"/>
        <v>1</v>
      </c>
      <c r="O382" s="11" t="str">
        <f t="shared" si="68"/>
        <v>4</v>
      </c>
      <c r="P382" s="11" t="str">
        <f t="shared" si="69"/>
        <v>1</v>
      </c>
      <c r="Q382" s="11" t="str">
        <f t="shared" si="70"/>
        <v>2</v>
      </c>
      <c r="R382" s="11" t="str">
        <f t="shared" si="71"/>
        <v>0</v>
      </c>
      <c r="S382" s="11" t="str">
        <f t="shared" si="72"/>
        <v>9</v>
      </c>
      <c r="T382" s="11" t="str">
        <f t="shared" si="73"/>
        <v>2</v>
      </c>
      <c r="U382" s="11" t="str">
        <f t="shared" si="74"/>
        <v>2</v>
      </c>
      <c r="V382" s="11" t="str">
        <f t="shared" si="75"/>
        <v>0</v>
      </c>
      <c r="W382" s="11" t="str">
        <f t="shared" si="76"/>
        <v>1</v>
      </c>
      <c r="X382" s="11" t="str">
        <f t="shared" si="77"/>
        <v>0</v>
      </c>
    </row>
    <row r="383" spans="1:24" x14ac:dyDescent="0.35">
      <c r="A383" s="5">
        <v>14243</v>
      </c>
      <c r="B383" s="5">
        <v>14120922011</v>
      </c>
      <c r="C383" s="5">
        <v>724746</v>
      </c>
      <c r="D383" s="5">
        <v>3764010</v>
      </c>
      <c r="E383" s="6" t="s">
        <v>70</v>
      </c>
      <c r="F383" s="6" t="s">
        <v>71</v>
      </c>
      <c r="G383" s="6" t="s">
        <v>71</v>
      </c>
      <c r="H383" s="7"/>
      <c r="I383" s="34" t="str">
        <f t="shared" si="65"/>
        <v>120922</v>
      </c>
      <c r="J383" s="31" t="str">
        <f t="shared" si="66"/>
        <v>14</v>
      </c>
      <c r="N383" s="12" t="str">
        <f t="shared" si="67"/>
        <v>1</v>
      </c>
      <c r="O383" s="11" t="str">
        <f t="shared" si="68"/>
        <v>4</v>
      </c>
      <c r="P383" s="11" t="str">
        <f t="shared" si="69"/>
        <v>1</v>
      </c>
      <c r="Q383" s="11" t="str">
        <f t="shared" si="70"/>
        <v>2</v>
      </c>
      <c r="R383" s="11" t="str">
        <f t="shared" si="71"/>
        <v>0</v>
      </c>
      <c r="S383" s="11" t="str">
        <f t="shared" si="72"/>
        <v>9</v>
      </c>
      <c r="T383" s="11" t="str">
        <f t="shared" si="73"/>
        <v>2</v>
      </c>
      <c r="U383" s="11" t="str">
        <f t="shared" si="74"/>
        <v>2</v>
      </c>
      <c r="V383" s="11" t="str">
        <f t="shared" si="75"/>
        <v>0</v>
      </c>
      <c r="W383" s="11" t="str">
        <f t="shared" si="76"/>
        <v>1</v>
      </c>
      <c r="X383" s="11" t="str">
        <f t="shared" si="77"/>
        <v>1</v>
      </c>
    </row>
    <row r="384" spans="1:24" x14ac:dyDescent="0.35">
      <c r="A384" s="5">
        <v>14244</v>
      </c>
      <c r="B384" s="5">
        <v>14120922012</v>
      </c>
      <c r="C384" s="5">
        <v>724740</v>
      </c>
      <c r="D384" s="5">
        <v>3764043</v>
      </c>
      <c r="E384" s="6" t="s">
        <v>70</v>
      </c>
      <c r="F384" s="6" t="s">
        <v>71</v>
      </c>
      <c r="G384" s="6" t="s">
        <v>71</v>
      </c>
      <c r="H384" s="7"/>
      <c r="I384" s="34" t="str">
        <f t="shared" si="65"/>
        <v>120922</v>
      </c>
      <c r="J384" s="31" t="str">
        <f t="shared" si="66"/>
        <v>14</v>
      </c>
      <c r="N384" s="12" t="str">
        <f t="shared" si="67"/>
        <v>1</v>
      </c>
      <c r="O384" s="11" t="str">
        <f t="shared" si="68"/>
        <v>4</v>
      </c>
      <c r="P384" s="11" t="str">
        <f t="shared" si="69"/>
        <v>1</v>
      </c>
      <c r="Q384" s="11" t="str">
        <f t="shared" si="70"/>
        <v>2</v>
      </c>
      <c r="R384" s="11" t="str">
        <f t="shared" si="71"/>
        <v>0</v>
      </c>
      <c r="S384" s="11" t="str">
        <f t="shared" si="72"/>
        <v>9</v>
      </c>
      <c r="T384" s="11" t="str">
        <f t="shared" si="73"/>
        <v>2</v>
      </c>
      <c r="U384" s="11" t="str">
        <f t="shared" si="74"/>
        <v>2</v>
      </c>
      <c r="V384" s="11" t="str">
        <f t="shared" si="75"/>
        <v>0</v>
      </c>
      <c r="W384" s="11" t="str">
        <f t="shared" si="76"/>
        <v>1</v>
      </c>
      <c r="X384" s="11" t="str">
        <f t="shared" si="77"/>
        <v>2</v>
      </c>
    </row>
    <row r="385" spans="1:24" x14ac:dyDescent="0.35">
      <c r="A385" s="5">
        <v>14245</v>
      </c>
      <c r="B385" s="5">
        <v>14120922013</v>
      </c>
      <c r="C385" s="5">
        <v>724737</v>
      </c>
      <c r="D385" s="5">
        <v>3764071</v>
      </c>
      <c r="E385" s="6" t="s">
        <v>70</v>
      </c>
      <c r="F385" s="6" t="s">
        <v>71</v>
      </c>
      <c r="G385" s="6" t="s">
        <v>71</v>
      </c>
      <c r="H385" s="7"/>
      <c r="I385" s="34" t="str">
        <f t="shared" si="65"/>
        <v>120922</v>
      </c>
      <c r="J385" s="31" t="str">
        <f t="shared" si="66"/>
        <v>14</v>
      </c>
      <c r="N385" s="12" t="str">
        <f t="shared" si="67"/>
        <v>1</v>
      </c>
      <c r="O385" s="11" t="str">
        <f t="shared" si="68"/>
        <v>4</v>
      </c>
      <c r="P385" s="11" t="str">
        <f t="shared" si="69"/>
        <v>1</v>
      </c>
      <c r="Q385" s="11" t="str">
        <f t="shared" si="70"/>
        <v>2</v>
      </c>
      <c r="R385" s="11" t="str">
        <f t="shared" si="71"/>
        <v>0</v>
      </c>
      <c r="S385" s="11" t="str">
        <f t="shared" si="72"/>
        <v>9</v>
      </c>
      <c r="T385" s="11" t="str">
        <f t="shared" si="73"/>
        <v>2</v>
      </c>
      <c r="U385" s="11" t="str">
        <f t="shared" si="74"/>
        <v>2</v>
      </c>
      <c r="V385" s="11" t="str">
        <f t="shared" si="75"/>
        <v>0</v>
      </c>
      <c r="W385" s="11" t="str">
        <f t="shared" si="76"/>
        <v>1</v>
      </c>
      <c r="X385" s="11" t="str">
        <f t="shared" si="77"/>
        <v>3</v>
      </c>
    </row>
    <row r="386" spans="1:24" x14ac:dyDescent="0.35">
      <c r="A386" s="5">
        <v>14246</v>
      </c>
      <c r="B386" s="5">
        <v>14120922014</v>
      </c>
      <c r="C386" s="5">
        <v>724742</v>
      </c>
      <c r="D386" s="5">
        <v>3764121</v>
      </c>
      <c r="E386" s="6" t="s">
        <v>70</v>
      </c>
      <c r="F386" s="6" t="s">
        <v>71</v>
      </c>
      <c r="G386" s="6" t="s">
        <v>71</v>
      </c>
      <c r="H386" s="7"/>
      <c r="I386" s="34" t="str">
        <f t="shared" si="65"/>
        <v>120922</v>
      </c>
      <c r="J386" s="31" t="str">
        <f t="shared" si="66"/>
        <v>14</v>
      </c>
      <c r="N386" s="12" t="str">
        <f t="shared" si="67"/>
        <v>1</v>
      </c>
      <c r="O386" s="11" t="str">
        <f t="shared" si="68"/>
        <v>4</v>
      </c>
      <c r="P386" s="11" t="str">
        <f t="shared" si="69"/>
        <v>1</v>
      </c>
      <c r="Q386" s="11" t="str">
        <f t="shared" si="70"/>
        <v>2</v>
      </c>
      <c r="R386" s="11" t="str">
        <f t="shared" si="71"/>
        <v>0</v>
      </c>
      <c r="S386" s="11" t="str">
        <f t="shared" si="72"/>
        <v>9</v>
      </c>
      <c r="T386" s="11" t="str">
        <f t="shared" si="73"/>
        <v>2</v>
      </c>
      <c r="U386" s="11" t="str">
        <f t="shared" si="74"/>
        <v>2</v>
      </c>
      <c r="V386" s="11" t="str">
        <f t="shared" si="75"/>
        <v>0</v>
      </c>
      <c r="W386" s="11" t="str">
        <f t="shared" si="76"/>
        <v>1</v>
      </c>
      <c r="X386" s="11" t="str">
        <f t="shared" si="77"/>
        <v>4</v>
      </c>
    </row>
    <row r="387" spans="1:24" x14ac:dyDescent="0.35">
      <c r="A387" s="5">
        <v>14247</v>
      </c>
      <c r="B387" s="5">
        <v>14120922015</v>
      </c>
      <c r="C387" s="5">
        <v>724744</v>
      </c>
      <c r="D387" s="5">
        <v>3764163</v>
      </c>
      <c r="E387" s="6" t="s">
        <v>70</v>
      </c>
      <c r="F387" s="6" t="s">
        <v>71</v>
      </c>
      <c r="G387" s="6" t="s">
        <v>71</v>
      </c>
      <c r="H387" s="7"/>
      <c r="I387" s="34" t="str">
        <f t="shared" ref="I387:I450" si="78">MID(B387,IF(LEN(B387)=10,2,3),6)</f>
        <v>120922</v>
      </c>
      <c r="J387" s="31" t="str">
        <f t="shared" ref="J387:J450" si="79">TEXT(MID(B387,1,IF(LEN(B387)=10,1,2)),"00")</f>
        <v>14</v>
      </c>
      <c r="N387" s="12" t="str">
        <f t="shared" ref="N387:N450" si="80">IFERROR(MID($B387,LEN($B387)-10,1),0)</f>
        <v>1</v>
      </c>
      <c r="O387" s="11" t="str">
        <f t="shared" ref="O387:O409" si="81">MID($B387,LEN($B387)-9,1)</f>
        <v>4</v>
      </c>
      <c r="P387" s="11" t="str">
        <f t="shared" ref="P387:P450" si="82">MID($B387,LEN($B387)-8,1)</f>
        <v>1</v>
      </c>
      <c r="Q387" s="11" t="str">
        <f t="shared" ref="Q387:Q450" si="83">MID($B387,LEN($B387)-7,1)</f>
        <v>2</v>
      </c>
      <c r="R387" s="11" t="str">
        <f t="shared" ref="R387:R450" si="84">MID($B387,LEN($B387)-6,1)</f>
        <v>0</v>
      </c>
      <c r="S387" s="11" t="str">
        <f t="shared" ref="S387:S450" si="85">MID($B387,LEN($B387)-5,1)</f>
        <v>9</v>
      </c>
      <c r="T387" s="11" t="str">
        <f t="shared" ref="T387:T450" si="86">MID($B387,LEN($B387)-4,1)</f>
        <v>2</v>
      </c>
      <c r="U387" s="11" t="str">
        <f t="shared" ref="U387:U450" si="87">MID($B387,LEN($B387)-3,1)</f>
        <v>2</v>
      </c>
      <c r="V387" s="11" t="str">
        <f t="shared" ref="V387:V450" si="88">MID($B387,LEN($B387)-2,1)</f>
        <v>0</v>
      </c>
      <c r="W387" s="11" t="str">
        <f t="shared" ref="W387:W450" si="89">MID($B387,LEN($B387)-1,1)</f>
        <v>1</v>
      </c>
      <c r="X387" s="11" t="str">
        <f t="shared" ref="X387:X450" si="90">MID($B387,LEN($B387)-0,1)</f>
        <v>5</v>
      </c>
    </row>
    <row r="388" spans="1:24" x14ac:dyDescent="0.35">
      <c r="A388" s="5">
        <v>14248</v>
      </c>
      <c r="B388" s="5">
        <v>14120922016</v>
      </c>
      <c r="C388" s="5">
        <v>724747</v>
      </c>
      <c r="D388" s="5">
        <v>3764212</v>
      </c>
      <c r="E388" s="6" t="s">
        <v>70</v>
      </c>
      <c r="F388" s="6" t="s">
        <v>70</v>
      </c>
      <c r="G388" s="6" t="s">
        <v>70</v>
      </c>
      <c r="H388" s="7"/>
      <c r="I388" s="34" t="str">
        <f t="shared" si="78"/>
        <v>120922</v>
      </c>
      <c r="J388" s="31" t="str">
        <f t="shared" si="79"/>
        <v>14</v>
      </c>
      <c r="N388" s="12" t="str">
        <f t="shared" si="80"/>
        <v>1</v>
      </c>
      <c r="O388" s="11" t="str">
        <f t="shared" si="81"/>
        <v>4</v>
      </c>
      <c r="P388" s="11" t="str">
        <f t="shared" si="82"/>
        <v>1</v>
      </c>
      <c r="Q388" s="11" t="str">
        <f t="shared" si="83"/>
        <v>2</v>
      </c>
      <c r="R388" s="11" t="str">
        <f t="shared" si="84"/>
        <v>0</v>
      </c>
      <c r="S388" s="11" t="str">
        <f t="shared" si="85"/>
        <v>9</v>
      </c>
      <c r="T388" s="11" t="str">
        <f t="shared" si="86"/>
        <v>2</v>
      </c>
      <c r="U388" s="11" t="str">
        <f t="shared" si="87"/>
        <v>2</v>
      </c>
      <c r="V388" s="11" t="str">
        <f t="shared" si="88"/>
        <v>0</v>
      </c>
      <c r="W388" s="11" t="str">
        <f t="shared" si="89"/>
        <v>1</v>
      </c>
      <c r="X388" s="11" t="str">
        <f t="shared" si="90"/>
        <v>6</v>
      </c>
    </row>
    <row r="389" spans="1:24" x14ac:dyDescent="0.35">
      <c r="A389" s="5">
        <v>14249</v>
      </c>
      <c r="B389" s="5">
        <v>14120922017</v>
      </c>
      <c r="C389" s="5">
        <v>724747</v>
      </c>
      <c r="D389" s="5">
        <v>3764216</v>
      </c>
      <c r="E389" s="6" t="s">
        <v>70</v>
      </c>
      <c r="F389" s="6" t="s">
        <v>71</v>
      </c>
      <c r="G389" s="6" t="s">
        <v>71</v>
      </c>
      <c r="H389" s="7"/>
      <c r="I389" s="34" t="str">
        <f t="shared" si="78"/>
        <v>120922</v>
      </c>
      <c r="J389" s="31" t="str">
        <f t="shared" si="79"/>
        <v>14</v>
      </c>
      <c r="N389" s="12" t="str">
        <f t="shared" si="80"/>
        <v>1</v>
      </c>
      <c r="O389" s="11" t="str">
        <f t="shared" si="81"/>
        <v>4</v>
      </c>
      <c r="P389" s="11" t="str">
        <f t="shared" si="82"/>
        <v>1</v>
      </c>
      <c r="Q389" s="11" t="str">
        <f t="shared" si="83"/>
        <v>2</v>
      </c>
      <c r="R389" s="11" t="str">
        <f t="shared" si="84"/>
        <v>0</v>
      </c>
      <c r="S389" s="11" t="str">
        <f t="shared" si="85"/>
        <v>9</v>
      </c>
      <c r="T389" s="11" t="str">
        <f t="shared" si="86"/>
        <v>2</v>
      </c>
      <c r="U389" s="11" t="str">
        <f t="shared" si="87"/>
        <v>2</v>
      </c>
      <c r="V389" s="11" t="str">
        <f t="shared" si="88"/>
        <v>0</v>
      </c>
      <c r="W389" s="11" t="str">
        <f t="shared" si="89"/>
        <v>1</v>
      </c>
      <c r="X389" s="11" t="str">
        <f t="shared" si="90"/>
        <v>7</v>
      </c>
    </row>
    <row r="390" spans="1:24" x14ac:dyDescent="0.35">
      <c r="A390" s="5">
        <v>14250</v>
      </c>
      <c r="B390" s="5">
        <v>14120922018</v>
      </c>
      <c r="C390" s="5">
        <v>724750</v>
      </c>
      <c r="D390" s="5">
        <v>3764255</v>
      </c>
      <c r="E390" s="6" t="s">
        <v>70</v>
      </c>
      <c r="F390" s="6" t="s">
        <v>70</v>
      </c>
      <c r="G390" s="6" t="s">
        <v>70</v>
      </c>
      <c r="H390" s="7"/>
      <c r="I390" s="34" t="str">
        <f t="shared" si="78"/>
        <v>120922</v>
      </c>
      <c r="J390" s="31" t="str">
        <f t="shared" si="79"/>
        <v>14</v>
      </c>
      <c r="N390" s="12" t="str">
        <f t="shared" si="80"/>
        <v>1</v>
      </c>
      <c r="O390" s="11" t="str">
        <f t="shared" si="81"/>
        <v>4</v>
      </c>
      <c r="P390" s="11" t="str">
        <f t="shared" si="82"/>
        <v>1</v>
      </c>
      <c r="Q390" s="11" t="str">
        <f t="shared" si="83"/>
        <v>2</v>
      </c>
      <c r="R390" s="11" t="str">
        <f t="shared" si="84"/>
        <v>0</v>
      </c>
      <c r="S390" s="11" t="str">
        <f t="shared" si="85"/>
        <v>9</v>
      </c>
      <c r="T390" s="11" t="str">
        <f t="shared" si="86"/>
        <v>2</v>
      </c>
      <c r="U390" s="11" t="str">
        <f t="shared" si="87"/>
        <v>2</v>
      </c>
      <c r="V390" s="11" t="str">
        <f t="shared" si="88"/>
        <v>0</v>
      </c>
      <c r="W390" s="11" t="str">
        <f t="shared" si="89"/>
        <v>1</v>
      </c>
      <c r="X390" s="11" t="str">
        <f t="shared" si="90"/>
        <v>8</v>
      </c>
    </row>
    <row r="391" spans="1:24" x14ac:dyDescent="0.35">
      <c r="A391" s="5">
        <v>14251</v>
      </c>
      <c r="B391" s="5">
        <v>14120922019</v>
      </c>
      <c r="C391" s="5">
        <v>724750</v>
      </c>
      <c r="D391" s="5">
        <v>3764259</v>
      </c>
      <c r="E391" s="6" t="s">
        <v>70</v>
      </c>
      <c r="F391" s="6" t="s">
        <v>71</v>
      </c>
      <c r="G391" s="6" t="s">
        <v>71</v>
      </c>
      <c r="H391" s="7"/>
      <c r="I391" s="34" t="str">
        <f t="shared" si="78"/>
        <v>120922</v>
      </c>
      <c r="J391" s="31" t="str">
        <f t="shared" si="79"/>
        <v>14</v>
      </c>
      <c r="N391" s="12" t="str">
        <f t="shared" si="80"/>
        <v>1</v>
      </c>
      <c r="O391" s="11" t="str">
        <f t="shared" si="81"/>
        <v>4</v>
      </c>
      <c r="P391" s="11" t="str">
        <f t="shared" si="82"/>
        <v>1</v>
      </c>
      <c r="Q391" s="11" t="str">
        <f t="shared" si="83"/>
        <v>2</v>
      </c>
      <c r="R391" s="11" t="str">
        <f t="shared" si="84"/>
        <v>0</v>
      </c>
      <c r="S391" s="11" t="str">
        <f t="shared" si="85"/>
        <v>9</v>
      </c>
      <c r="T391" s="11" t="str">
        <f t="shared" si="86"/>
        <v>2</v>
      </c>
      <c r="U391" s="11" t="str">
        <f t="shared" si="87"/>
        <v>2</v>
      </c>
      <c r="V391" s="11" t="str">
        <f t="shared" si="88"/>
        <v>0</v>
      </c>
      <c r="W391" s="11" t="str">
        <f t="shared" si="89"/>
        <v>1</v>
      </c>
      <c r="X391" s="11" t="str">
        <f t="shared" si="90"/>
        <v>9</v>
      </c>
    </row>
    <row r="392" spans="1:24" x14ac:dyDescent="0.35">
      <c r="A392" s="5">
        <v>14252</v>
      </c>
      <c r="B392" s="5">
        <v>14120922020</v>
      </c>
      <c r="C392" s="5">
        <v>724752</v>
      </c>
      <c r="D392" s="5">
        <v>3764294</v>
      </c>
      <c r="E392" s="6" t="s">
        <v>70</v>
      </c>
      <c r="F392" s="6" t="s">
        <v>71</v>
      </c>
      <c r="G392" s="6" t="s">
        <v>71</v>
      </c>
      <c r="H392" s="7"/>
      <c r="I392" s="34" t="str">
        <f t="shared" si="78"/>
        <v>120922</v>
      </c>
      <c r="J392" s="31" t="str">
        <f t="shared" si="79"/>
        <v>14</v>
      </c>
      <c r="N392" s="12" t="str">
        <f t="shared" si="80"/>
        <v>1</v>
      </c>
      <c r="O392" s="11" t="str">
        <f t="shared" si="81"/>
        <v>4</v>
      </c>
      <c r="P392" s="11" t="str">
        <f t="shared" si="82"/>
        <v>1</v>
      </c>
      <c r="Q392" s="11" t="str">
        <f t="shared" si="83"/>
        <v>2</v>
      </c>
      <c r="R392" s="11" t="str">
        <f t="shared" si="84"/>
        <v>0</v>
      </c>
      <c r="S392" s="11" t="str">
        <f t="shared" si="85"/>
        <v>9</v>
      </c>
      <c r="T392" s="11" t="str">
        <f t="shared" si="86"/>
        <v>2</v>
      </c>
      <c r="U392" s="11" t="str">
        <f t="shared" si="87"/>
        <v>2</v>
      </c>
      <c r="V392" s="11" t="str">
        <f t="shared" si="88"/>
        <v>0</v>
      </c>
      <c r="W392" s="11" t="str">
        <f t="shared" si="89"/>
        <v>2</v>
      </c>
      <c r="X392" s="11" t="str">
        <f t="shared" si="90"/>
        <v>0</v>
      </c>
    </row>
    <row r="393" spans="1:24" x14ac:dyDescent="0.35">
      <c r="A393" s="5">
        <v>14253</v>
      </c>
      <c r="B393" s="5">
        <v>14120922021</v>
      </c>
      <c r="C393" s="5">
        <v>724754</v>
      </c>
      <c r="D393" s="5">
        <v>3764341</v>
      </c>
      <c r="E393" s="6" t="s">
        <v>70</v>
      </c>
      <c r="F393" s="6" t="s">
        <v>70</v>
      </c>
      <c r="G393" s="6" t="s">
        <v>70</v>
      </c>
      <c r="H393" s="7"/>
      <c r="I393" s="34" t="str">
        <f t="shared" si="78"/>
        <v>120922</v>
      </c>
      <c r="J393" s="31" t="str">
        <f t="shared" si="79"/>
        <v>14</v>
      </c>
      <c r="N393" s="12" t="str">
        <f t="shared" si="80"/>
        <v>1</v>
      </c>
      <c r="O393" s="11" t="str">
        <f t="shared" si="81"/>
        <v>4</v>
      </c>
      <c r="P393" s="11" t="str">
        <f t="shared" si="82"/>
        <v>1</v>
      </c>
      <c r="Q393" s="11" t="str">
        <f t="shared" si="83"/>
        <v>2</v>
      </c>
      <c r="R393" s="11" t="str">
        <f t="shared" si="84"/>
        <v>0</v>
      </c>
      <c r="S393" s="11" t="str">
        <f t="shared" si="85"/>
        <v>9</v>
      </c>
      <c r="T393" s="11" t="str">
        <f t="shared" si="86"/>
        <v>2</v>
      </c>
      <c r="U393" s="11" t="str">
        <f t="shared" si="87"/>
        <v>2</v>
      </c>
      <c r="V393" s="11" t="str">
        <f t="shared" si="88"/>
        <v>0</v>
      </c>
      <c r="W393" s="11" t="str">
        <f t="shared" si="89"/>
        <v>2</v>
      </c>
      <c r="X393" s="11" t="str">
        <f t="shared" si="90"/>
        <v>1</v>
      </c>
    </row>
    <row r="394" spans="1:24" x14ac:dyDescent="0.35">
      <c r="A394" s="5">
        <v>14254</v>
      </c>
      <c r="B394" s="5">
        <v>14120922022</v>
      </c>
      <c r="C394" s="5">
        <v>724761</v>
      </c>
      <c r="D394" s="5">
        <v>3764431</v>
      </c>
      <c r="E394" s="6" t="s">
        <v>70</v>
      </c>
      <c r="F394" s="6" t="s">
        <v>71</v>
      </c>
      <c r="G394" s="6" t="s">
        <v>71</v>
      </c>
      <c r="H394" s="7"/>
      <c r="I394" s="34" t="str">
        <f t="shared" si="78"/>
        <v>120922</v>
      </c>
      <c r="J394" s="31" t="str">
        <f t="shared" si="79"/>
        <v>14</v>
      </c>
      <c r="N394" s="12" t="str">
        <f t="shared" si="80"/>
        <v>1</v>
      </c>
      <c r="O394" s="11" t="str">
        <f t="shared" si="81"/>
        <v>4</v>
      </c>
      <c r="P394" s="11" t="str">
        <f t="shared" si="82"/>
        <v>1</v>
      </c>
      <c r="Q394" s="11" t="str">
        <f t="shared" si="83"/>
        <v>2</v>
      </c>
      <c r="R394" s="11" t="str">
        <f t="shared" si="84"/>
        <v>0</v>
      </c>
      <c r="S394" s="11" t="str">
        <f t="shared" si="85"/>
        <v>9</v>
      </c>
      <c r="T394" s="11" t="str">
        <f t="shared" si="86"/>
        <v>2</v>
      </c>
      <c r="U394" s="11" t="str">
        <f t="shared" si="87"/>
        <v>2</v>
      </c>
      <c r="V394" s="11" t="str">
        <f t="shared" si="88"/>
        <v>0</v>
      </c>
      <c r="W394" s="11" t="str">
        <f t="shared" si="89"/>
        <v>2</v>
      </c>
      <c r="X394" s="11" t="str">
        <f t="shared" si="90"/>
        <v>2</v>
      </c>
    </row>
    <row r="395" spans="1:24" x14ac:dyDescent="0.35">
      <c r="A395" s="5">
        <v>14255</v>
      </c>
      <c r="B395" s="5">
        <v>14120922023</v>
      </c>
      <c r="C395" s="5">
        <v>724805</v>
      </c>
      <c r="D395" s="5">
        <v>3764444</v>
      </c>
      <c r="E395" s="6" t="s">
        <v>70</v>
      </c>
      <c r="F395" s="6" t="s">
        <v>71</v>
      </c>
      <c r="G395" s="6" t="s">
        <v>71</v>
      </c>
      <c r="H395" s="7"/>
      <c r="I395" s="34" t="str">
        <f t="shared" si="78"/>
        <v>120922</v>
      </c>
      <c r="J395" s="31" t="str">
        <f t="shared" si="79"/>
        <v>14</v>
      </c>
      <c r="N395" s="12" t="str">
        <f t="shared" si="80"/>
        <v>1</v>
      </c>
      <c r="O395" s="11" t="str">
        <f t="shared" si="81"/>
        <v>4</v>
      </c>
      <c r="P395" s="11" t="str">
        <f t="shared" si="82"/>
        <v>1</v>
      </c>
      <c r="Q395" s="11" t="str">
        <f t="shared" si="83"/>
        <v>2</v>
      </c>
      <c r="R395" s="11" t="str">
        <f t="shared" si="84"/>
        <v>0</v>
      </c>
      <c r="S395" s="11" t="str">
        <f t="shared" si="85"/>
        <v>9</v>
      </c>
      <c r="T395" s="11" t="str">
        <f t="shared" si="86"/>
        <v>2</v>
      </c>
      <c r="U395" s="11" t="str">
        <f t="shared" si="87"/>
        <v>2</v>
      </c>
      <c r="V395" s="11" t="str">
        <f t="shared" si="88"/>
        <v>0</v>
      </c>
      <c r="W395" s="11" t="str">
        <f t="shared" si="89"/>
        <v>2</v>
      </c>
      <c r="X395" s="11" t="str">
        <f t="shared" si="90"/>
        <v>3</v>
      </c>
    </row>
    <row r="396" spans="1:24" x14ac:dyDescent="0.35">
      <c r="A396" s="5">
        <v>14256</v>
      </c>
      <c r="B396" s="5">
        <v>14120922024</v>
      </c>
      <c r="C396" s="5">
        <v>724846</v>
      </c>
      <c r="D396" s="5">
        <v>3764471</v>
      </c>
      <c r="E396" s="6" t="s">
        <v>70</v>
      </c>
      <c r="F396" s="6" t="s">
        <v>71</v>
      </c>
      <c r="G396" s="6" t="s">
        <v>71</v>
      </c>
      <c r="H396" s="7"/>
      <c r="I396" s="34" t="str">
        <f t="shared" si="78"/>
        <v>120922</v>
      </c>
      <c r="J396" s="31" t="str">
        <f t="shared" si="79"/>
        <v>14</v>
      </c>
      <c r="N396" s="12" t="str">
        <f t="shared" si="80"/>
        <v>1</v>
      </c>
      <c r="O396" s="11" t="str">
        <f t="shared" si="81"/>
        <v>4</v>
      </c>
      <c r="P396" s="11" t="str">
        <f t="shared" si="82"/>
        <v>1</v>
      </c>
      <c r="Q396" s="11" t="str">
        <f t="shared" si="83"/>
        <v>2</v>
      </c>
      <c r="R396" s="11" t="str">
        <f t="shared" si="84"/>
        <v>0</v>
      </c>
      <c r="S396" s="11" t="str">
        <f t="shared" si="85"/>
        <v>9</v>
      </c>
      <c r="T396" s="11" t="str">
        <f t="shared" si="86"/>
        <v>2</v>
      </c>
      <c r="U396" s="11" t="str">
        <f t="shared" si="87"/>
        <v>2</v>
      </c>
      <c r="V396" s="11" t="str">
        <f t="shared" si="88"/>
        <v>0</v>
      </c>
      <c r="W396" s="11" t="str">
        <f t="shared" si="89"/>
        <v>2</v>
      </c>
      <c r="X396" s="11" t="str">
        <f t="shared" si="90"/>
        <v>4</v>
      </c>
    </row>
    <row r="397" spans="1:24" x14ac:dyDescent="0.35">
      <c r="A397" s="5">
        <v>14257</v>
      </c>
      <c r="B397" s="5">
        <v>14120922025</v>
      </c>
      <c r="C397" s="5">
        <v>724902</v>
      </c>
      <c r="D397" s="5">
        <v>3764485</v>
      </c>
      <c r="E397" s="6" t="s">
        <v>70</v>
      </c>
      <c r="F397" s="6" t="s">
        <v>70</v>
      </c>
      <c r="G397" s="6" t="s">
        <v>70</v>
      </c>
      <c r="H397" s="7"/>
      <c r="I397" s="34" t="str">
        <f t="shared" si="78"/>
        <v>120922</v>
      </c>
      <c r="J397" s="31" t="str">
        <f t="shared" si="79"/>
        <v>14</v>
      </c>
      <c r="N397" s="12" t="str">
        <f t="shared" si="80"/>
        <v>1</v>
      </c>
      <c r="O397" s="11" t="str">
        <f t="shared" si="81"/>
        <v>4</v>
      </c>
      <c r="P397" s="11" t="str">
        <f t="shared" si="82"/>
        <v>1</v>
      </c>
      <c r="Q397" s="11" t="str">
        <f t="shared" si="83"/>
        <v>2</v>
      </c>
      <c r="R397" s="11" t="str">
        <f t="shared" si="84"/>
        <v>0</v>
      </c>
      <c r="S397" s="11" t="str">
        <f t="shared" si="85"/>
        <v>9</v>
      </c>
      <c r="T397" s="11" t="str">
        <f t="shared" si="86"/>
        <v>2</v>
      </c>
      <c r="U397" s="11" t="str">
        <f t="shared" si="87"/>
        <v>2</v>
      </c>
      <c r="V397" s="11" t="str">
        <f t="shared" si="88"/>
        <v>0</v>
      </c>
      <c r="W397" s="11" t="str">
        <f t="shared" si="89"/>
        <v>2</v>
      </c>
      <c r="X397" s="11" t="str">
        <f t="shared" si="90"/>
        <v>5</v>
      </c>
    </row>
    <row r="398" spans="1:24" x14ac:dyDescent="0.35">
      <c r="A398" s="5">
        <v>14258</v>
      </c>
      <c r="B398" s="5">
        <v>14120922026</v>
      </c>
      <c r="C398" s="5">
        <v>724902</v>
      </c>
      <c r="D398" s="5">
        <v>3764485</v>
      </c>
      <c r="E398" s="6" t="s">
        <v>70</v>
      </c>
      <c r="F398" s="6" t="s">
        <v>71</v>
      </c>
      <c r="G398" s="6" t="s">
        <v>71</v>
      </c>
      <c r="H398" s="7"/>
      <c r="I398" s="34" t="str">
        <f t="shared" si="78"/>
        <v>120922</v>
      </c>
      <c r="J398" s="31" t="str">
        <f t="shared" si="79"/>
        <v>14</v>
      </c>
      <c r="N398" s="12" t="str">
        <f t="shared" si="80"/>
        <v>1</v>
      </c>
      <c r="O398" s="11" t="str">
        <f t="shared" si="81"/>
        <v>4</v>
      </c>
      <c r="P398" s="11" t="str">
        <f t="shared" si="82"/>
        <v>1</v>
      </c>
      <c r="Q398" s="11" t="str">
        <f t="shared" si="83"/>
        <v>2</v>
      </c>
      <c r="R398" s="11" t="str">
        <f t="shared" si="84"/>
        <v>0</v>
      </c>
      <c r="S398" s="11" t="str">
        <f t="shared" si="85"/>
        <v>9</v>
      </c>
      <c r="T398" s="11" t="str">
        <f t="shared" si="86"/>
        <v>2</v>
      </c>
      <c r="U398" s="11" t="str">
        <f t="shared" si="87"/>
        <v>2</v>
      </c>
      <c r="V398" s="11" t="str">
        <f t="shared" si="88"/>
        <v>0</v>
      </c>
      <c r="W398" s="11" t="str">
        <f t="shared" si="89"/>
        <v>2</v>
      </c>
      <c r="X398" s="11" t="str">
        <f t="shared" si="90"/>
        <v>6</v>
      </c>
    </row>
    <row r="399" spans="1:24" x14ac:dyDescent="0.35">
      <c r="A399" s="5">
        <v>14259</v>
      </c>
      <c r="B399" s="5">
        <v>14120922027</v>
      </c>
      <c r="C399" s="5">
        <v>724908</v>
      </c>
      <c r="D399" s="5">
        <v>3764518</v>
      </c>
      <c r="E399" s="6" t="s">
        <v>70</v>
      </c>
      <c r="F399" s="6" t="s">
        <v>71</v>
      </c>
      <c r="G399" s="6" t="s">
        <v>71</v>
      </c>
      <c r="H399" s="7"/>
      <c r="I399" s="34" t="str">
        <f t="shared" si="78"/>
        <v>120922</v>
      </c>
      <c r="J399" s="31" t="str">
        <f t="shared" si="79"/>
        <v>14</v>
      </c>
      <c r="N399" s="12" t="str">
        <f t="shared" si="80"/>
        <v>1</v>
      </c>
      <c r="O399" s="11" t="str">
        <f t="shared" si="81"/>
        <v>4</v>
      </c>
      <c r="P399" s="11" t="str">
        <f t="shared" si="82"/>
        <v>1</v>
      </c>
      <c r="Q399" s="11" t="str">
        <f t="shared" si="83"/>
        <v>2</v>
      </c>
      <c r="R399" s="11" t="str">
        <f t="shared" si="84"/>
        <v>0</v>
      </c>
      <c r="S399" s="11" t="str">
        <f t="shared" si="85"/>
        <v>9</v>
      </c>
      <c r="T399" s="11" t="str">
        <f t="shared" si="86"/>
        <v>2</v>
      </c>
      <c r="U399" s="11" t="str">
        <f t="shared" si="87"/>
        <v>2</v>
      </c>
      <c r="V399" s="11" t="str">
        <f t="shared" si="88"/>
        <v>0</v>
      </c>
      <c r="W399" s="11" t="str">
        <f t="shared" si="89"/>
        <v>2</v>
      </c>
      <c r="X399" s="11" t="str">
        <f t="shared" si="90"/>
        <v>7</v>
      </c>
    </row>
    <row r="400" spans="1:24" x14ac:dyDescent="0.35">
      <c r="A400" s="5">
        <v>14260</v>
      </c>
      <c r="B400" s="5">
        <v>14120922028</v>
      </c>
      <c r="C400" s="5">
        <v>724955</v>
      </c>
      <c r="D400" s="5">
        <v>3764504</v>
      </c>
      <c r="E400" s="6" t="s">
        <v>70</v>
      </c>
      <c r="F400" s="6" t="s">
        <v>71</v>
      </c>
      <c r="G400" s="6" t="s">
        <v>71</v>
      </c>
      <c r="H400" s="7"/>
      <c r="I400" s="34" t="str">
        <f t="shared" si="78"/>
        <v>120922</v>
      </c>
      <c r="J400" s="31" t="str">
        <f t="shared" si="79"/>
        <v>14</v>
      </c>
      <c r="N400" s="12" t="str">
        <f t="shared" si="80"/>
        <v>1</v>
      </c>
      <c r="O400" s="11" t="str">
        <f t="shared" si="81"/>
        <v>4</v>
      </c>
      <c r="P400" s="11" t="str">
        <f t="shared" si="82"/>
        <v>1</v>
      </c>
      <c r="Q400" s="11" t="str">
        <f t="shared" si="83"/>
        <v>2</v>
      </c>
      <c r="R400" s="11" t="str">
        <f t="shared" si="84"/>
        <v>0</v>
      </c>
      <c r="S400" s="11" t="str">
        <f t="shared" si="85"/>
        <v>9</v>
      </c>
      <c r="T400" s="11" t="str">
        <f t="shared" si="86"/>
        <v>2</v>
      </c>
      <c r="U400" s="11" t="str">
        <f t="shared" si="87"/>
        <v>2</v>
      </c>
      <c r="V400" s="11" t="str">
        <f t="shared" si="88"/>
        <v>0</v>
      </c>
      <c r="W400" s="11" t="str">
        <f t="shared" si="89"/>
        <v>2</v>
      </c>
      <c r="X400" s="11" t="str">
        <f t="shared" si="90"/>
        <v>8</v>
      </c>
    </row>
    <row r="401" spans="1:24" x14ac:dyDescent="0.35">
      <c r="A401" s="5">
        <v>14261</v>
      </c>
      <c r="B401" s="5">
        <v>14120922029</v>
      </c>
      <c r="C401" s="5">
        <v>724990</v>
      </c>
      <c r="D401" s="5">
        <v>3764503</v>
      </c>
      <c r="E401" s="6" t="s">
        <v>70</v>
      </c>
      <c r="F401" s="6" t="s">
        <v>70</v>
      </c>
      <c r="G401" s="6" t="s">
        <v>70</v>
      </c>
      <c r="H401" s="7"/>
      <c r="I401" s="34" t="str">
        <f t="shared" si="78"/>
        <v>120922</v>
      </c>
      <c r="J401" s="31" t="str">
        <f t="shared" si="79"/>
        <v>14</v>
      </c>
      <c r="N401" s="12" t="str">
        <f t="shared" si="80"/>
        <v>1</v>
      </c>
      <c r="O401" s="11" t="str">
        <f t="shared" si="81"/>
        <v>4</v>
      </c>
      <c r="P401" s="11" t="str">
        <f t="shared" si="82"/>
        <v>1</v>
      </c>
      <c r="Q401" s="11" t="str">
        <f t="shared" si="83"/>
        <v>2</v>
      </c>
      <c r="R401" s="11" t="str">
        <f t="shared" si="84"/>
        <v>0</v>
      </c>
      <c r="S401" s="11" t="str">
        <f t="shared" si="85"/>
        <v>9</v>
      </c>
      <c r="T401" s="11" t="str">
        <f t="shared" si="86"/>
        <v>2</v>
      </c>
      <c r="U401" s="11" t="str">
        <f t="shared" si="87"/>
        <v>2</v>
      </c>
      <c r="V401" s="11" t="str">
        <f t="shared" si="88"/>
        <v>0</v>
      </c>
      <c r="W401" s="11" t="str">
        <f t="shared" si="89"/>
        <v>2</v>
      </c>
      <c r="X401" s="11" t="str">
        <f t="shared" si="90"/>
        <v>9</v>
      </c>
    </row>
    <row r="402" spans="1:24" x14ac:dyDescent="0.35">
      <c r="A402" s="5">
        <v>14262</v>
      </c>
      <c r="B402" s="5">
        <v>14120922030</v>
      </c>
      <c r="C402" s="5">
        <v>725007</v>
      </c>
      <c r="D402" s="5">
        <v>3764501</v>
      </c>
      <c r="E402" s="6" t="s">
        <v>70</v>
      </c>
      <c r="F402" s="6" t="s">
        <v>71</v>
      </c>
      <c r="G402" s="6" t="s">
        <v>71</v>
      </c>
      <c r="H402" s="7"/>
      <c r="I402" s="34" t="str">
        <f t="shared" si="78"/>
        <v>120922</v>
      </c>
      <c r="J402" s="31" t="str">
        <f t="shared" si="79"/>
        <v>14</v>
      </c>
      <c r="N402" s="12" t="str">
        <f t="shared" si="80"/>
        <v>1</v>
      </c>
      <c r="O402" s="11" t="str">
        <f t="shared" si="81"/>
        <v>4</v>
      </c>
      <c r="P402" s="11" t="str">
        <f t="shared" si="82"/>
        <v>1</v>
      </c>
      <c r="Q402" s="11" t="str">
        <f t="shared" si="83"/>
        <v>2</v>
      </c>
      <c r="R402" s="11" t="str">
        <f t="shared" si="84"/>
        <v>0</v>
      </c>
      <c r="S402" s="11" t="str">
        <f t="shared" si="85"/>
        <v>9</v>
      </c>
      <c r="T402" s="11" t="str">
        <f t="shared" si="86"/>
        <v>2</v>
      </c>
      <c r="U402" s="11" t="str">
        <f t="shared" si="87"/>
        <v>2</v>
      </c>
      <c r="V402" s="11" t="str">
        <f t="shared" si="88"/>
        <v>0</v>
      </c>
      <c r="W402" s="11" t="str">
        <f t="shared" si="89"/>
        <v>3</v>
      </c>
      <c r="X402" s="11" t="str">
        <f t="shared" si="90"/>
        <v>0</v>
      </c>
    </row>
    <row r="403" spans="1:24" x14ac:dyDescent="0.35">
      <c r="A403" s="5">
        <v>14263</v>
      </c>
      <c r="B403" s="5">
        <v>14120922031</v>
      </c>
      <c r="C403" s="5">
        <v>725059</v>
      </c>
      <c r="D403" s="5">
        <v>3764499</v>
      </c>
      <c r="E403" s="6" t="s">
        <v>70</v>
      </c>
      <c r="F403" s="6" t="s">
        <v>70</v>
      </c>
      <c r="G403" s="6" t="s">
        <v>70</v>
      </c>
      <c r="H403" s="7"/>
      <c r="I403" s="34" t="str">
        <f t="shared" si="78"/>
        <v>120922</v>
      </c>
      <c r="J403" s="31" t="str">
        <f t="shared" si="79"/>
        <v>14</v>
      </c>
      <c r="N403" s="12" t="str">
        <f t="shared" si="80"/>
        <v>1</v>
      </c>
      <c r="O403" s="11" t="str">
        <f t="shared" si="81"/>
        <v>4</v>
      </c>
      <c r="P403" s="11" t="str">
        <f t="shared" si="82"/>
        <v>1</v>
      </c>
      <c r="Q403" s="11" t="str">
        <f t="shared" si="83"/>
        <v>2</v>
      </c>
      <c r="R403" s="11" t="str">
        <f t="shared" si="84"/>
        <v>0</v>
      </c>
      <c r="S403" s="11" t="str">
        <f t="shared" si="85"/>
        <v>9</v>
      </c>
      <c r="T403" s="11" t="str">
        <f t="shared" si="86"/>
        <v>2</v>
      </c>
      <c r="U403" s="11" t="str">
        <f t="shared" si="87"/>
        <v>2</v>
      </c>
      <c r="V403" s="11" t="str">
        <f t="shared" si="88"/>
        <v>0</v>
      </c>
      <c r="W403" s="11" t="str">
        <f t="shared" si="89"/>
        <v>3</v>
      </c>
      <c r="X403" s="11" t="str">
        <f t="shared" si="90"/>
        <v>1</v>
      </c>
    </row>
    <row r="404" spans="1:24" x14ac:dyDescent="0.35">
      <c r="A404" s="5">
        <v>14264</v>
      </c>
      <c r="B404" s="5">
        <v>14120922032</v>
      </c>
      <c r="C404" s="5">
        <v>725140</v>
      </c>
      <c r="D404" s="5">
        <v>3764496</v>
      </c>
      <c r="E404" s="6" t="s">
        <v>70</v>
      </c>
      <c r="F404" s="6" t="s">
        <v>71</v>
      </c>
      <c r="G404" s="6" t="s">
        <v>71</v>
      </c>
      <c r="H404" s="7"/>
      <c r="I404" s="34" t="str">
        <f t="shared" si="78"/>
        <v>120922</v>
      </c>
      <c r="J404" s="31" t="str">
        <f t="shared" si="79"/>
        <v>14</v>
      </c>
      <c r="N404" s="12" t="str">
        <f t="shared" si="80"/>
        <v>1</v>
      </c>
      <c r="O404" s="11" t="str">
        <f t="shared" si="81"/>
        <v>4</v>
      </c>
      <c r="P404" s="11" t="str">
        <f t="shared" si="82"/>
        <v>1</v>
      </c>
      <c r="Q404" s="11" t="str">
        <f t="shared" si="83"/>
        <v>2</v>
      </c>
      <c r="R404" s="11" t="str">
        <f t="shared" si="84"/>
        <v>0</v>
      </c>
      <c r="S404" s="11" t="str">
        <f t="shared" si="85"/>
        <v>9</v>
      </c>
      <c r="T404" s="11" t="str">
        <f t="shared" si="86"/>
        <v>2</v>
      </c>
      <c r="U404" s="11" t="str">
        <f t="shared" si="87"/>
        <v>2</v>
      </c>
      <c r="V404" s="11" t="str">
        <f t="shared" si="88"/>
        <v>0</v>
      </c>
      <c r="W404" s="11" t="str">
        <f t="shared" si="89"/>
        <v>3</v>
      </c>
      <c r="X404" s="11" t="str">
        <f t="shared" si="90"/>
        <v>2</v>
      </c>
    </row>
    <row r="405" spans="1:24" x14ac:dyDescent="0.35">
      <c r="A405" s="5">
        <v>14265</v>
      </c>
      <c r="B405" s="5">
        <v>14120922033</v>
      </c>
      <c r="C405" s="5">
        <v>725147</v>
      </c>
      <c r="D405" s="5">
        <v>3764495</v>
      </c>
      <c r="E405" s="6" t="s">
        <v>70</v>
      </c>
      <c r="F405" s="6" t="s">
        <v>70</v>
      </c>
      <c r="G405" s="6" t="s">
        <v>70</v>
      </c>
      <c r="H405" s="7"/>
      <c r="I405" s="34" t="str">
        <f t="shared" si="78"/>
        <v>120922</v>
      </c>
      <c r="J405" s="31" t="str">
        <f t="shared" si="79"/>
        <v>14</v>
      </c>
      <c r="N405" s="12" t="str">
        <f t="shared" si="80"/>
        <v>1</v>
      </c>
      <c r="O405" s="11" t="str">
        <f t="shared" si="81"/>
        <v>4</v>
      </c>
      <c r="P405" s="11" t="str">
        <f t="shared" si="82"/>
        <v>1</v>
      </c>
      <c r="Q405" s="11" t="str">
        <f t="shared" si="83"/>
        <v>2</v>
      </c>
      <c r="R405" s="11" t="str">
        <f t="shared" si="84"/>
        <v>0</v>
      </c>
      <c r="S405" s="11" t="str">
        <f t="shared" si="85"/>
        <v>9</v>
      </c>
      <c r="T405" s="11" t="str">
        <f t="shared" si="86"/>
        <v>2</v>
      </c>
      <c r="U405" s="11" t="str">
        <f t="shared" si="87"/>
        <v>2</v>
      </c>
      <c r="V405" s="11" t="str">
        <f t="shared" si="88"/>
        <v>0</v>
      </c>
      <c r="W405" s="11" t="str">
        <f t="shared" si="89"/>
        <v>3</v>
      </c>
      <c r="X405" s="11" t="str">
        <f t="shared" si="90"/>
        <v>3</v>
      </c>
    </row>
    <row r="406" spans="1:24" x14ac:dyDescent="0.35">
      <c r="A406" s="5">
        <v>14266</v>
      </c>
      <c r="B406" s="5">
        <v>14120922034</v>
      </c>
      <c r="C406" s="5">
        <v>725219</v>
      </c>
      <c r="D406" s="5">
        <v>3764492</v>
      </c>
      <c r="E406" s="6" t="s">
        <v>70</v>
      </c>
      <c r="F406" s="6" t="s">
        <v>71</v>
      </c>
      <c r="G406" s="6" t="s">
        <v>71</v>
      </c>
      <c r="H406" s="7"/>
      <c r="I406" s="34" t="str">
        <f t="shared" si="78"/>
        <v>120922</v>
      </c>
      <c r="J406" s="31" t="str">
        <f t="shared" si="79"/>
        <v>14</v>
      </c>
      <c r="N406" s="12" t="str">
        <f t="shared" si="80"/>
        <v>1</v>
      </c>
      <c r="O406" s="11" t="str">
        <f t="shared" si="81"/>
        <v>4</v>
      </c>
      <c r="P406" s="11" t="str">
        <f t="shared" si="82"/>
        <v>1</v>
      </c>
      <c r="Q406" s="11" t="str">
        <f t="shared" si="83"/>
        <v>2</v>
      </c>
      <c r="R406" s="11" t="str">
        <f t="shared" si="84"/>
        <v>0</v>
      </c>
      <c r="S406" s="11" t="str">
        <f t="shared" si="85"/>
        <v>9</v>
      </c>
      <c r="T406" s="11" t="str">
        <f t="shared" si="86"/>
        <v>2</v>
      </c>
      <c r="U406" s="11" t="str">
        <f t="shared" si="87"/>
        <v>2</v>
      </c>
      <c r="V406" s="11" t="str">
        <f t="shared" si="88"/>
        <v>0</v>
      </c>
      <c r="W406" s="11" t="str">
        <f t="shared" si="89"/>
        <v>3</v>
      </c>
      <c r="X406" s="11" t="str">
        <f t="shared" si="90"/>
        <v>4</v>
      </c>
    </row>
    <row r="407" spans="1:24" x14ac:dyDescent="0.35">
      <c r="A407" s="5">
        <v>14267</v>
      </c>
      <c r="B407" s="5">
        <v>14120922035</v>
      </c>
      <c r="C407" s="5">
        <v>725299</v>
      </c>
      <c r="D407" s="5">
        <v>3764493</v>
      </c>
      <c r="E407" s="6" t="s">
        <v>70</v>
      </c>
      <c r="F407" s="6" t="s">
        <v>71</v>
      </c>
      <c r="G407" s="6" t="s">
        <v>71</v>
      </c>
      <c r="H407" s="7"/>
      <c r="I407" s="34" t="str">
        <f t="shared" si="78"/>
        <v>120922</v>
      </c>
      <c r="J407" s="31" t="str">
        <f t="shared" si="79"/>
        <v>14</v>
      </c>
      <c r="N407" s="12" t="str">
        <f t="shared" si="80"/>
        <v>1</v>
      </c>
      <c r="O407" s="11" t="str">
        <f t="shared" si="81"/>
        <v>4</v>
      </c>
      <c r="P407" s="11" t="str">
        <f t="shared" si="82"/>
        <v>1</v>
      </c>
      <c r="Q407" s="11" t="str">
        <f t="shared" si="83"/>
        <v>2</v>
      </c>
      <c r="R407" s="11" t="str">
        <f t="shared" si="84"/>
        <v>0</v>
      </c>
      <c r="S407" s="11" t="str">
        <f t="shared" si="85"/>
        <v>9</v>
      </c>
      <c r="T407" s="11" t="str">
        <f t="shared" si="86"/>
        <v>2</v>
      </c>
      <c r="U407" s="11" t="str">
        <f t="shared" si="87"/>
        <v>2</v>
      </c>
      <c r="V407" s="11" t="str">
        <f t="shared" si="88"/>
        <v>0</v>
      </c>
      <c r="W407" s="11" t="str">
        <f t="shared" si="89"/>
        <v>3</v>
      </c>
      <c r="X407" s="11" t="str">
        <f t="shared" si="90"/>
        <v>5</v>
      </c>
    </row>
    <row r="408" spans="1:24" x14ac:dyDescent="0.35">
      <c r="A408" s="5">
        <v>14268</v>
      </c>
      <c r="B408" s="5">
        <v>14120922036</v>
      </c>
      <c r="C408" s="5">
        <v>725300</v>
      </c>
      <c r="D408" s="5">
        <v>3764494</v>
      </c>
      <c r="E408" s="6" t="s">
        <v>70</v>
      </c>
      <c r="F408" s="6" t="s">
        <v>71</v>
      </c>
      <c r="G408" s="6" t="s">
        <v>71</v>
      </c>
      <c r="H408" s="7"/>
      <c r="I408" s="34" t="str">
        <f t="shared" si="78"/>
        <v>120922</v>
      </c>
      <c r="J408" s="31" t="str">
        <f t="shared" si="79"/>
        <v>14</v>
      </c>
      <c r="N408" s="12" t="str">
        <f t="shared" si="80"/>
        <v>1</v>
      </c>
      <c r="O408" s="11" t="str">
        <f t="shared" si="81"/>
        <v>4</v>
      </c>
      <c r="P408" s="11" t="str">
        <f t="shared" si="82"/>
        <v>1</v>
      </c>
      <c r="Q408" s="11" t="str">
        <f t="shared" si="83"/>
        <v>2</v>
      </c>
      <c r="R408" s="11" t="str">
        <f t="shared" si="84"/>
        <v>0</v>
      </c>
      <c r="S408" s="11" t="str">
        <f t="shared" si="85"/>
        <v>9</v>
      </c>
      <c r="T408" s="11" t="str">
        <f t="shared" si="86"/>
        <v>2</v>
      </c>
      <c r="U408" s="11" t="str">
        <f t="shared" si="87"/>
        <v>2</v>
      </c>
      <c r="V408" s="11" t="str">
        <f t="shared" si="88"/>
        <v>0</v>
      </c>
      <c r="W408" s="11" t="str">
        <f t="shared" si="89"/>
        <v>3</v>
      </c>
      <c r="X408" s="11" t="str">
        <f t="shared" si="90"/>
        <v>6</v>
      </c>
    </row>
    <row r="409" spans="1:24" x14ac:dyDescent="0.35">
      <c r="A409" s="5">
        <v>14269</v>
      </c>
      <c r="B409" s="5">
        <v>14120922037</v>
      </c>
      <c r="C409" s="5">
        <v>725299</v>
      </c>
      <c r="D409" s="5">
        <v>3764494</v>
      </c>
      <c r="E409" s="6" t="s">
        <v>70</v>
      </c>
      <c r="F409" s="6" t="s">
        <v>71</v>
      </c>
      <c r="G409" s="6" t="s">
        <v>71</v>
      </c>
      <c r="H409" s="7"/>
      <c r="I409" s="34" t="str">
        <f t="shared" si="78"/>
        <v>120922</v>
      </c>
      <c r="J409" s="31" t="str">
        <f t="shared" si="79"/>
        <v>14</v>
      </c>
      <c r="N409" s="12" t="str">
        <f t="shared" si="80"/>
        <v>1</v>
      </c>
      <c r="O409" s="11" t="str">
        <f t="shared" si="81"/>
        <v>4</v>
      </c>
      <c r="P409" s="11" t="str">
        <f t="shared" si="82"/>
        <v>1</v>
      </c>
      <c r="Q409" s="11" t="str">
        <f t="shared" si="83"/>
        <v>2</v>
      </c>
      <c r="R409" s="11" t="str">
        <f t="shared" si="84"/>
        <v>0</v>
      </c>
      <c r="S409" s="11" t="str">
        <f t="shared" si="85"/>
        <v>9</v>
      </c>
      <c r="T409" s="11" t="str">
        <f t="shared" si="86"/>
        <v>2</v>
      </c>
      <c r="U409" s="11" t="str">
        <f t="shared" si="87"/>
        <v>2</v>
      </c>
      <c r="V409" s="11" t="str">
        <f t="shared" si="88"/>
        <v>0</v>
      </c>
      <c r="W409" s="11" t="str">
        <f t="shared" si="89"/>
        <v>3</v>
      </c>
      <c r="X409" s="11" t="str">
        <f t="shared" si="90"/>
        <v>7</v>
      </c>
    </row>
    <row r="410" spans="1:24" x14ac:dyDescent="0.35">
      <c r="A410" s="5">
        <v>14270</v>
      </c>
      <c r="B410" s="5">
        <v>14140922038</v>
      </c>
      <c r="C410" s="5">
        <v>728521</v>
      </c>
      <c r="D410" s="5">
        <v>3761547</v>
      </c>
      <c r="E410" s="6" t="s">
        <v>70</v>
      </c>
      <c r="F410" s="6" t="s">
        <v>70</v>
      </c>
      <c r="G410" s="6" t="s">
        <v>70</v>
      </c>
      <c r="H410" s="7"/>
      <c r="I410" s="34" t="str">
        <f t="shared" si="78"/>
        <v>140922</v>
      </c>
      <c r="J410" s="31" t="str">
        <f t="shared" si="79"/>
        <v>14</v>
      </c>
      <c r="N410" s="12" t="str">
        <f t="shared" si="80"/>
        <v>1</v>
      </c>
      <c r="O410" s="11" t="str">
        <f t="shared" ref="O410:O450" si="91">MID($B410,LEN($B410)-9,1)</f>
        <v>4</v>
      </c>
      <c r="P410" s="11" t="str">
        <f t="shared" si="82"/>
        <v>1</v>
      </c>
      <c r="Q410" s="11" t="str">
        <f t="shared" si="83"/>
        <v>4</v>
      </c>
      <c r="R410" s="11" t="str">
        <f t="shared" si="84"/>
        <v>0</v>
      </c>
      <c r="S410" s="11" t="str">
        <f t="shared" si="85"/>
        <v>9</v>
      </c>
      <c r="T410" s="11" t="str">
        <f t="shared" si="86"/>
        <v>2</v>
      </c>
      <c r="U410" s="11" t="str">
        <f t="shared" si="87"/>
        <v>2</v>
      </c>
      <c r="V410" s="11" t="str">
        <f t="shared" si="88"/>
        <v>0</v>
      </c>
      <c r="W410" s="11" t="str">
        <f t="shared" si="89"/>
        <v>3</v>
      </c>
      <c r="X410" s="11" t="str">
        <f t="shared" si="90"/>
        <v>8</v>
      </c>
    </row>
    <row r="411" spans="1:24" x14ac:dyDescent="0.35">
      <c r="A411" s="5">
        <v>14271</v>
      </c>
      <c r="B411" s="5">
        <v>14140922039</v>
      </c>
      <c r="C411" s="5">
        <v>728519</v>
      </c>
      <c r="D411" s="5">
        <v>3761542</v>
      </c>
      <c r="E411" s="6" t="s">
        <v>70</v>
      </c>
      <c r="F411" s="6" t="s">
        <v>70</v>
      </c>
      <c r="G411" s="6" t="s">
        <v>70</v>
      </c>
      <c r="H411" s="7"/>
      <c r="I411" s="34" t="str">
        <f t="shared" si="78"/>
        <v>140922</v>
      </c>
      <c r="J411" s="31" t="str">
        <f t="shared" si="79"/>
        <v>14</v>
      </c>
      <c r="N411" s="12" t="str">
        <f t="shared" si="80"/>
        <v>1</v>
      </c>
      <c r="O411" s="11" t="str">
        <f t="shared" si="91"/>
        <v>4</v>
      </c>
      <c r="P411" s="11" t="str">
        <f t="shared" si="82"/>
        <v>1</v>
      </c>
      <c r="Q411" s="11" t="str">
        <f t="shared" si="83"/>
        <v>4</v>
      </c>
      <c r="R411" s="11" t="str">
        <f t="shared" si="84"/>
        <v>0</v>
      </c>
      <c r="S411" s="11" t="str">
        <f t="shared" si="85"/>
        <v>9</v>
      </c>
      <c r="T411" s="11" t="str">
        <f t="shared" si="86"/>
        <v>2</v>
      </c>
      <c r="U411" s="11" t="str">
        <f t="shared" si="87"/>
        <v>2</v>
      </c>
      <c r="V411" s="11" t="str">
        <f t="shared" si="88"/>
        <v>0</v>
      </c>
      <c r="W411" s="11" t="str">
        <f t="shared" si="89"/>
        <v>3</v>
      </c>
      <c r="X411" s="11" t="str">
        <f t="shared" si="90"/>
        <v>9</v>
      </c>
    </row>
    <row r="412" spans="1:24" x14ac:dyDescent="0.35">
      <c r="A412" s="5">
        <v>14272</v>
      </c>
      <c r="B412" s="5">
        <v>14140922040</v>
      </c>
      <c r="C412" s="5">
        <v>728541</v>
      </c>
      <c r="D412" s="5">
        <v>3761554</v>
      </c>
      <c r="E412" s="6" t="s">
        <v>70</v>
      </c>
      <c r="F412" s="6" t="s">
        <v>70</v>
      </c>
      <c r="G412" s="6" t="s">
        <v>70</v>
      </c>
      <c r="H412" s="7"/>
      <c r="I412" s="34" t="str">
        <f t="shared" si="78"/>
        <v>140922</v>
      </c>
      <c r="J412" s="31" t="str">
        <f t="shared" si="79"/>
        <v>14</v>
      </c>
      <c r="N412" s="12" t="str">
        <f t="shared" si="80"/>
        <v>1</v>
      </c>
      <c r="O412" s="11" t="str">
        <f t="shared" si="91"/>
        <v>4</v>
      </c>
      <c r="P412" s="11" t="str">
        <f t="shared" si="82"/>
        <v>1</v>
      </c>
      <c r="Q412" s="11" t="str">
        <f t="shared" si="83"/>
        <v>4</v>
      </c>
      <c r="R412" s="11" t="str">
        <f t="shared" si="84"/>
        <v>0</v>
      </c>
      <c r="S412" s="11" t="str">
        <f t="shared" si="85"/>
        <v>9</v>
      </c>
      <c r="T412" s="11" t="str">
        <f t="shared" si="86"/>
        <v>2</v>
      </c>
      <c r="U412" s="11" t="str">
        <f t="shared" si="87"/>
        <v>2</v>
      </c>
      <c r="V412" s="11" t="str">
        <f t="shared" si="88"/>
        <v>0</v>
      </c>
      <c r="W412" s="11" t="str">
        <f t="shared" si="89"/>
        <v>4</v>
      </c>
      <c r="X412" s="11" t="str">
        <f t="shared" si="90"/>
        <v>0</v>
      </c>
    </row>
    <row r="413" spans="1:24" x14ac:dyDescent="0.35">
      <c r="A413" s="5">
        <v>14273</v>
      </c>
      <c r="B413" s="5">
        <v>14140922041</v>
      </c>
      <c r="C413" s="5">
        <v>728570</v>
      </c>
      <c r="D413" s="5">
        <v>3761540</v>
      </c>
      <c r="E413" s="6" t="s">
        <v>70</v>
      </c>
      <c r="F413" s="6" t="s">
        <v>70</v>
      </c>
      <c r="G413" s="6" t="s">
        <v>70</v>
      </c>
      <c r="H413" s="7"/>
      <c r="I413" s="34" t="str">
        <f t="shared" si="78"/>
        <v>140922</v>
      </c>
      <c r="J413" s="31" t="str">
        <f t="shared" si="79"/>
        <v>14</v>
      </c>
      <c r="N413" s="12" t="str">
        <f t="shared" si="80"/>
        <v>1</v>
      </c>
      <c r="O413" s="11" t="str">
        <f t="shared" si="91"/>
        <v>4</v>
      </c>
      <c r="P413" s="11" t="str">
        <f t="shared" si="82"/>
        <v>1</v>
      </c>
      <c r="Q413" s="11" t="str">
        <f t="shared" si="83"/>
        <v>4</v>
      </c>
      <c r="R413" s="11" t="str">
        <f t="shared" si="84"/>
        <v>0</v>
      </c>
      <c r="S413" s="11" t="str">
        <f t="shared" si="85"/>
        <v>9</v>
      </c>
      <c r="T413" s="11" t="str">
        <f t="shared" si="86"/>
        <v>2</v>
      </c>
      <c r="U413" s="11" t="str">
        <f t="shared" si="87"/>
        <v>2</v>
      </c>
      <c r="V413" s="11" t="str">
        <f t="shared" si="88"/>
        <v>0</v>
      </c>
      <c r="W413" s="11" t="str">
        <f t="shared" si="89"/>
        <v>4</v>
      </c>
      <c r="X413" s="11" t="str">
        <f t="shared" si="90"/>
        <v>1</v>
      </c>
    </row>
    <row r="414" spans="1:24" x14ac:dyDescent="0.35">
      <c r="A414" s="5">
        <v>14274</v>
      </c>
      <c r="B414" s="5">
        <v>14140922042</v>
      </c>
      <c r="C414" s="5">
        <v>728491</v>
      </c>
      <c r="D414" s="5">
        <v>3761528</v>
      </c>
      <c r="E414" s="6" t="s">
        <v>70</v>
      </c>
      <c r="F414" s="6" t="s">
        <v>70</v>
      </c>
      <c r="G414" s="6" t="s">
        <v>70</v>
      </c>
      <c r="H414" s="7"/>
      <c r="I414" s="34" t="str">
        <f t="shared" si="78"/>
        <v>140922</v>
      </c>
      <c r="J414" s="31" t="str">
        <f t="shared" si="79"/>
        <v>14</v>
      </c>
      <c r="N414" s="12" t="str">
        <f t="shared" si="80"/>
        <v>1</v>
      </c>
      <c r="O414" s="11" t="str">
        <f t="shared" si="91"/>
        <v>4</v>
      </c>
      <c r="P414" s="11" t="str">
        <f t="shared" si="82"/>
        <v>1</v>
      </c>
      <c r="Q414" s="11" t="str">
        <f t="shared" si="83"/>
        <v>4</v>
      </c>
      <c r="R414" s="11" t="str">
        <f t="shared" si="84"/>
        <v>0</v>
      </c>
      <c r="S414" s="11" t="str">
        <f t="shared" si="85"/>
        <v>9</v>
      </c>
      <c r="T414" s="11" t="str">
        <f t="shared" si="86"/>
        <v>2</v>
      </c>
      <c r="U414" s="11" t="str">
        <f t="shared" si="87"/>
        <v>2</v>
      </c>
      <c r="V414" s="11" t="str">
        <f t="shared" si="88"/>
        <v>0</v>
      </c>
      <c r="W414" s="11" t="str">
        <f t="shared" si="89"/>
        <v>4</v>
      </c>
      <c r="X414" s="11" t="str">
        <f t="shared" si="90"/>
        <v>2</v>
      </c>
    </row>
    <row r="415" spans="1:24" x14ac:dyDescent="0.35">
      <c r="A415" s="5">
        <v>14275</v>
      </c>
      <c r="B415" s="5">
        <v>14140922043</v>
      </c>
      <c r="C415" s="5">
        <v>728435</v>
      </c>
      <c r="D415" s="5">
        <v>3761524</v>
      </c>
      <c r="E415" s="6" t="s">
        <v>70</v>
      </c>
      <c r="F415" s="6" t="s">
        <v>70</v>
      </c>
      <c r="G415" s="6" t="s">
        <v>70</v>
      </c>
      <c r="H415" s="7"/>
      <c r="I415" s="34" t="str">
        <f t="shared" si="78"/>
        <v>140922</v>
      </c>
      <c r="J415" s="31" t="str">
        <f t="shared" si="79"/>
        <v>14</v>
      </c>
      <c r="N415" s="12" t="str">
        <f t="shared" si="80"/>
        <v>1</v>
      </c>
      <c r="O415" s="11" t="str">
        <f t="shared" si="91"/>
        <v>4</v>
      </c>
      <c r="P415" s="11" t="str">
        <f t="shared" si="82"/>
        <v>1</v>
      </c>
      <c r="Q415" s="11" t="str">
        <f t="shared" si="83"/>
        <v>4</v>
      </c>
      <c r="R415" s="11" t="str">
        <f t="shared" si="84"/>
        <v>0</v>
      </c>
      <c r="S415" s="11" t="str">
        <f t="shared" si="85"/>
        <v>9</v>
      </c>
      <c r="T415" s="11" t="str">
        <f t="shared" si="86"/>
        <v>2</v>
      </c>
      <c r="U415" s="11" t="str">
        <f t="shared" si="87"/>
        <v>2</v>
      </c>
      <c r="V415" s="11" t="str">
        <f t="shared" si="88"/>
        <v>0</v>
      </c>
      <c r="W415" s="11" t="str">
        <f t="shared" si="89"/>
        <v>4</v>
      </c>
      <c r="X415" s="11" t="str">
        <f t="shared" si="90"/>
        <v>3</v>
      </c>
    </row>
    <row r="416" spans="1:24" x14ac:dyDescent="0.35">
      <c r="A416" s="5">
        <v>14276</v>
      </c>
      <c r="B416" s="5">
        <v>14140922044</v>
      </c>
      <c r="C416" s="5">
        <v>728404</v>
      </c>
      <c r="D416" s="5">
        <v>3761517</v>
      </c>
      <c r="E416" s="6" t="s">
        <v>70</v>
      </c>
      <c r="F416" s="6" t="s">
        <v>70</v>
      </c>
      <c r="G416" s="6" t="s">
        <v>70</v>
      </c>
      <c r="H416" s="7"/>
      <c r="I416" s="34" t="str">
        <f t="shared" si="78"/>
        <v>140922</v>
      </c>
      <c r="J416" s="31" t="str">
        <f t="shared" si="79"/>
        <v>14</v>
      </c>
      <c r="N416" s="12" t="str">
        <f t="shared" si="80"/>
        <v>1</v>
      </c>
      <c r="O416" s="11" t="str">
        <f t="shared" si="91"/>
        <v>4</v>
      </c>
      <c r="P416" s="11" t="str">
        <f t="shared" si="82"/>
        <v>1</v>
      </c>
      <c r="Q416" s="11" t="str">
        <f t="shared" si="83"/>
        <v>4</v>
      </c>
      <c r="R416" s="11" t="str">
        <f t="shared" si="84"/>
        <v>0</v>
      </c>
      <c r="S416" s="11" t="str">
        <f t="shared" si="85"/>
        <v>9</v>
      </c>
      <c r="T416" s="11" t="str">
        <f t="shared" si="86"/>
        <v>2</v>
      </c>
      <c r="U416" s="11" t="str">
        <f t="shared" si="87"/>
        <v>2</v>
      </c>
      <c r="V416" s="11" t="str">
        <f t="shared" si="88"/>
        <v>0</v>
      </c>
      <c r="W416" s="11" t="str">
        <f t="shared" si="89"/>
        <v>4</v>
      </c>
      <c r="X416" s="11" t="str">
        <f t="shared" si="90"/>
        <v>4</v>
      </c>
    </row>
    <row r="417" spans="1:24" x14ac:dyDescent="0.35">
      <c r="A417" s="5">
        <v>14277</v>
      </c>
      <c r="B417" s="5">
        <v>14140922045</v>
      </c>
      <c r="C417" s="5">
        <v>728402</v>
      </c>
      <c r="D417" s="5">
        <v>3761517</v>
      </c>
      <c r="E417" s="6" t="s">
        <v>70</v>
      </c>
      <c r="F417" s="6" t="s">
        <v>70</v>
      </c>
      <c r="G417" s="6" t="s">
        <v>70</v>
      </c>
      <c r="H417" s="7"/>
      <c r="I417" s="34" t="str">
        <f t="shared" si="78"/>
        <v>140922</v>
      </c>
      <c r="J417" s="31" t="str">
        <f t="shared" si="79"/>
        <v>14</v>
      </c>
      <c r="N417" s="12" t="str">
        <f t="shared" si="80"/>
        <v>1</v>
      </c>
      <c r="O417" s="11" t="str">
        <f t="shared" si="91"/>
        <v>4</v>
      </c>
      <c r="P417" s="11" t="str">
        <f t="shared" si="82"/>
        <v>1</v>
      </c>
      <c r="Q417" s="11" t="str">
        <f t="shared" si="83"/>
        <v>4</v>
      </c>
      <c r="R417" s="11" t="str">
        <f t="shared" si="84"/>
        <v>0</v>
      </c>
      <c r="S417" s="11" t="str">
        <f t="shared" si="85"/>
        <v>9</v>
      </c>
      <c r="T417" s="11" t="str">
        <f t="shared" si="86"/>
        <v>2</v>
      </c>
      <c r="U417" s="11" t="str">
        <f t="shared" si="87"/>
        <v>2</v>
      </c>
      <c r="V417" s="11" t="str">
        <f t="shared" si="88"/>
        <v>0</v>
      </c>
      <c r="W417" s="11" t="str">
        <f t="shared" si="89"/>
        <v>4</v>
      </c>
      <c r="X417" s="11" t="str">
        <f t="shared" si="90"/>
        <v>5</v>
      </c>
    </row>
    <row r="418" spans="1:24" x14ac:dyDescent="0.35">
      <c r="A418" s="5">
        <v>14278</v>
      </c>
      <c r="B418" s="5">
        <v>14140922046</v>
      </c>
      <c r="C418" s="5">
        <v>728400</v>
      </c>
      <c r="D418" s="5">
        <v>3761518</v>
      </c>
      <c r="E418" s="6" t="s">
        <v>70</v>
      </c>
      <c r="F418" s="6" t="s">
        <v>70</v>
      </c>
      <c r="G418" s="6" t="s">
        <v>70</v>
      </c>
      <c r="H418" s="7"/>
      <c r="I418" s="34" t="str">
        <f t="shared" si="78"/>
        <v>140922</v>
      </c>
      <c r="J418" s="31" t="str">
        <f t="shared" si="79"/>
        <v>14</v>
      </c>
      <c r="N418" s="12" t="str">
        <f t="shared" si="80"/>
        <v>1</v>
      </c>
      <c r="O418" s="11" t="str">
        <f t="shared" si="91"/>
        <v>4</v>
      </c>
      <c r="P418" s="11" t="str">
        <f t="shared" si="82"/>
        <v>1</v>
      </c>
      <c r="Q418" s="11" t="str">
        <f t="shared" si="83"/>
        <v>4</v>
      </c>
      <c r="R418" s="11" t="str">
        <f t="shared" si="84"/>
        <v>0</v>
      </c>
      <c r="S418" s="11" t="str">
        <f t="shared" si="85"/>
        <v>9</v>
      </c>
      <c r="T418" s="11" t="str">
        <f t="shared" si="86"/>
        <v>2</v>
      </c>
      <c r="U418" s="11" t="str">
        <f t="shared" si="87"/>
        <v>2</v>
      </c>
      <c r="V418" s="11" t="str">
        <f t="shared" si="88"/>
        <v>0</v>
      </c>
      <c r="W418" s="11" t="str">
        <f t="shared" si="89"/>
        <v>4</v>
      </c>
      <c r="X418" s="11" t="str">
        <f t="shared" si="90"/>
        <v>6</v>
      </c>
    </row>
    <row r="419" spans="1:24" x14ac:dyDescent="0.35">
      <c r="A419" s="5">
        <v>14279</v>
      </c>
      <c r="B419" s="5">
        <v>14140922047</v>
      </c>
      <c r="C419" s="5">
        <v>728378</v>
      </c>
      <c r="D419" s="5">
        <v>3761517</v>
      </c>
      <c r="E419" s="6" t="s">
        <v>70</v>
      </c>
      <c r="F419" s="6" t="s">
        <v>70</v>
      </c>
      <c r="G419" s="6" t="s">
        <v>70</v>
      </c>
      <c r="H419" s="7"/>
      <c r="I419" s="34" t="str">
        <f t="shared" si="78"/>
        <v>140922</v>
      </c>
      <c r="J419" s="31" t="str">
        <f t="shared" si="79"/>
        <v>14</v>
      </c>
      <c r="N419" s="12" t="str">
        <f t="shared" si="80"/>
        <v>1</v>
      </c>
      <c r="O419" s="11" t="str">
        <f t="shared" si="91"/>
        <v>4</v>
      </c>
      <c r="P419" s="11" t="str">
        <f t="shared" si="82"/>
        <v>1</v>
      </c>
      <c r="Q419" s="11" t="str">
        <f t="shared" si="83"/>
        <v>4</v>
      </c>
      <c r="R419" s="11" t="str">
        <f t="shared" si="84"/>
        <v>0</v>
      </c>
      <c r="S419" s="11" t="str">
        <f t="shared" si="85"/>
        <v>9</v>
      </c>
      <c r="T419" s="11" t="str">
        <f t="shared" si="86"/>
        <v>2</v>
      </c>
      <c r="U419" s="11" t="str">
        <f t="shared" si="87"/>
        <v>2</v>
      </c>
      <c r="V419" s="11" t="str">
        <f t="shared" si="88"/>
        <v>0</v>
      </c>
      <c r="W419" s="11" t="str">
        <f t="shared" si="89"/>
        <v>4</v>
      </c>
      <c r="X419" s="11" t="str">
        <f t="shared" si="90"/>
        <v>7</v>
      </c>
    </row>
    <row r="420" spans="1:24" x14ac:dyDescent="0.35">
      <c r="A420" s="5">
        <v>14280</v>
      </c>
      <c r="B420" s="5">
        <v>14140922048</v>
      </c>
      <c r="C420" s="5">
        <v>728330</v>
      </c>
      <c r="D420" s="5">
        <v>3761486</v>
      </c>
      <c r="E420" s="6" t="s">
        <v>70</v>
      </c>
      <c r="F420" s="6" t="s">
        <v>70</v>
      </c>
      <c r="G420" s="6" t="s">
        <v>70</v>
      </c>
      <c r="H420" s="7"/>
      <c r="I420" s="34" t="str">
        <f t="shared" si="78"/>
        <v>140922</v>
      </c>
      <c r="J420" s="31" t="str">
        <f t="shared" si="79"/>
        <v>14</v>
      </c>
      <c r="N420" s="12" t="str">
        <f t="shared" si="80"/>
        <v>1</v>
      </c>
      <c r="O420" s="11" t="str">
        <f t="shared" si="91"/>
        <v>4</v>
      </c>
      <c r="P420" s="11" t="str">
        <f t="shared" si="82"/>
        <v>1</v>
      </c>
      <c r="Q420" s="11" t="str">
        <f t="shared" si="83"/>
        <v>4</v>
      </c>
      <c r="R420" s="11" t="str">
        <f t="shared" si="84"/>
        <v>0</v>
      </c>
      <c r="S420" s="11" t="str">
        <f t="shared" si="85"/>
        <v>9</v>
      </c>
      <c r="T420" s="11" t="str">
        <f t="shared" si="86"/>
        <v>2</v>
      </c>
      <c r="U420" s="11" t="str">
        <f t="shared" si="87"/>
        <v>2</v>
      </c>
      <c r="V420" s="11" t="str">
        <f t="shared" si="88"/>
        <v>0</v>
      </c>
      <c r="W420" s="11" t="str">
        <f t="shared" si="89"/>
        <v>4</v>
      </c>
      <c r="X420" s="11" t="str">
        <f t="shared" si="90"/>
        <v>8</v>
      </c>
    </row>
    <row r="421" spans="1:24" x14ac:dyDescent="0.35">
      <c r="A421" s="5">
        <v>14281</v>
      </c>
      <c r="B421" s="5">
        <v>14140922049</v>
      </c>
      <c r="C421" s="5">
        <v>728289</v>
      </c>
      <c r="D421" s="5">
        <v>3761453</v>
      </c>
      <c r="E421" s="6" t="s">
        <v>70</v>
      </c>
      <c r="F421" s="6" t="s">
        <v>70</v>
      </c>
      <c r="G421" s="6" t="s">
        <v>70</v>
      </c>
      <c r="H421" s="7"/>
      <c r="I421" s="34" t="str">
        <f t="shared" si="78"/>
        <v>140922</v>
      </c>
      <c r="J421" s="31" t="str">
        <f t="shared" si="79"/>
        <v>14</v>
      </c>
      <c r="N421" s="12" t="str">
        <f t="shared" si="80"/>
        <v>1</v>
      </c>
      <c r="O421" s="11" t="str">
        <f t="shared" si="91"/>
        <v>4</v>
      </c>
      <c r="P421" s="11" t="str">
        <f t="shared" si="82"/>
        <v>1</v>
      </c>
      <c r="Q421" s="11" t="str">
        <f t="shared" si="83"/>
        <v>4</v>
      </c>
      <c r="R421" s="11" t="str">
        <f t="shared" si="84"/>
        <v>0</v>
      </c>
      <c r="S421" s="11" t="str">
        <f t="shared" si="85"/>
        <v>9</v>
      </c>
      <c r="T421" s="11" t="str">
        <f t="shared" si="86"/>
        <v>2</v>
      </c>
      <c r="U421" s="11" t="str">
        <f t="shared" si="87"/>
        <v>2</v>
      </c>
      <c r="V421" s="11" t="str">
        <f t="shared" si="88"/>
        <v>0</v>
      </c>
      <c r="W421" s="11" t="str">
        <f t="shared" si="89"/>
        <v>4</v>
      </c>
      <c r="X421" s="11" t="str">
        <f t="shared" si="90"/>
        <v>9</v>
      </c>
    </row>
    <row r="422" spans="1:24" x14ac:dyDescent="0.35">
      <c r="A422" s="5">
        <v>14282</v>
      </c>
      <c r="B422" s="5">
        <v>14140922050</v>
      </c>
      <c r="C422" s="5">
        <v>728256</v>
      </c>
      <c r="D422" s="5">
        <v>3761427</v>
      </c>
      <c r="E422" s="6" t="s">
        <v>70</v>
      </c>
      <c r="F422" s="6" t="s">
        <v>70</v>
      </c>
      <c r="G422" s="6" t="s">
        <v>70</v>
      </c>
      <c r="H422" s="7"/>
      <c r="I422" s="34" t="str">
        <f t="shared" si="78"/>
        <v>140922</v>
      </c>
      <c r="J422" s="31" t="str">
        <f t="shared" si="79"/>
        <v>14</v>
      </c>
      <c r="N422" s="12" t="str">
        <f t="shared" si="80"/>
        <v>1</v>
      </c>
      <c r="O422" s="11" t="str">
        <f t="shared" si="91"/>
        <v>4</v>
      </c>
      <c r="P422" s="11" t="str">
        <f t="shared" si="82"/>
        <v>1</v>
      </c>
      <c r="Q422" s="11" t="str">
        <f t="shared" si="83"/>
        <v>4</v>
      </c>
      <c r="R422" s="11" t="str">
        <f t="shared" si="84"/>
        <v>0</v>
      </c>
      <c r="S422" s="11" t="str">
        <f t="shared" si="85"/>
        <v>9</v>
      </c>
      <c r="T422" s="11" t="str">
        <f t="shared" si="86"/>
        <v>2</v>
      </c>
      <c r="U422" s="11" t="str">
        <f t="shared" si="87"/>
        <v>2</v>
      </c>
      <c r="V422" s="11" t="str">
        <f t="shared" si="88"/>
        <v>0</v>
      </c>
      <c r="W422" s="11" t="str">
        <f t="shared" si="89"/>
        <v>5</v>
      </c>
      <c r="X422" s="11" t="str">
        <f t="shared" si="90"/>
        <v>0</v>
      </c>
    </row>
    <row r="423" spans="1:24" x14ac:dyDescent="0.35">
      <c r="A423" s="5">
        <v>14283</v>
      </c>
      <c r="B423" s="5">
        <v>14140922051</v>
      </c>
      <c r="C423" s="5">
        <v>728232</v>
      </c>
      <c r="D423" s="5">
        <v>3761424</v>
      </c>
      <c r="E423" s="6" t="s">
        <v>70</v>
      </c>
      <c r="F423" s="6" t="s">
        <v>70</v>
      </c>
      <c r="G423" s="6" t="s">
        <v>70</v>
      </c>
      <c r="H423" s="7"/>
      <c r="I423" s="34" t="str">
        <f t="shared" si="78"/>
        <v>140922</v>
      </c>
      <c r="J423" s="31" t="str">
        <f t="shared" si="79"/>
        <v>14</v>
      </c>
      <c r="N423" s="12" t="str">
        <f t="shared" si="80"/>
        <v>1</v>
      </c>
      <c r="O423" s="11" t="str">
        <f t="shared" si="91"/>
        <v>4</v>
      </c>
      <c r="P423" s="11" t="str">
        <f t="shared" si="82"/>
        <v>1</v>
      </c>
      <c r="Q423" s="11" t="str">
        <f t="shared" si="83"/>
        <v>4</v>
      </c>
      <c r="R423" s="11" t="str">
        <f t="shared" si="84"/>
        <v>0</v>
      </c>
      <c r="S423" s="11" t="str">
        <f t="shared" si="85"/>
        <v>9</v>
      </c>
      <c r="T423" s="11" t="str">
        <f t="shared" si="86"/>
        <v>2</v>
      </c>
      <c r="U423" s="11" t="str">
        <f t="shared" si="87"/>
        <v>2</v>
      </c>
      <c r="V423" s="11" t="str">
        <f t="shared" si="88"/>
        <v>0</v>
      </c>
      <c r="W423" s="11" t="str">
        <f t="shared" si="89"/>
        <v>5</v>
      </c>
      <c r="X423" s="11" t="str">
        <f t="shared" si="90"/>
        <v>1</v>
      </c>
    </row>
    <row r="424" spans="1:24" x14ac:dyDescent="0.35">
      <c r="A424" s="5">
        <v>14284</v>
      </c>
      <c r="B424" s="5">
        <v>14140922052</v>
      </c>
      <c r="C424" s="5">
        <v>728203</v>
      </c>
      <c r="D424" s="5">
        <v>3761393</v>
      </c>
      <c r="E424" s="6" t="s">
        <v>70</v>
      </c>
      <c r="F424" s="6" t="s">
        <v>70</v>
      </c>
      <c r="G424" s="6" t="s">
        <v>70</v>
      </c>
      <c r="H424" s="7"/>
      <c r="I424" s="34" t="str">
        <f t="shared" si="78"/>
        <v>140922</v>
      </c>
      <c r="J424" s="31" t="str">
        <f t="shared" si="79"/>
        <v>14</v>
      </c>
      <c r="N424" s="12" t="str">
        <f t="shared" si="80"/>
        <v>1</v>
      </c>
      <c r="O424" s="11" t="str">
        <f t="shared" si="91"/>
        <v>4</v>
      </c>
      <c r="P424" s="11" t="str">
        <f t="shared" si="82"/>
        <v>1</v>
      </c>
      <c r="Q424" s="11" t="str">
        <f t="shared" si="83"/>
        <v>4</v>
      </c>
      <c r="R424" s="11" t="str">
        <f t="shared" si="84"/>
        <v>0</v>
      </c>
      <c r="S424" s="11" t="str">
        <f t="shared" si="85"/>
        <v>9</v>
      </c>
      <c r="T424" s="11" t="str">
        <f t="shared" si="86"/>
        <v>2</v>
      </c>
      <c r="U424" s="11" t="str">
        <f t="shared" si="87"/>
        <v>2</v>
      </c>
      <c r="V424" s="11" t="str">
        <f t="shared" si="88"/>
        <v>0</v>
      </c>
      <c r="W424" s="11" t="str">
        <f t="shared" si="89"/>
        <v>5</v>
      </c>
      <c r="X424" s="11" t="str">
        <f t="shared" si="90"/>
        <v>2</v>
      </c>
    </row>
    <row r="425" spans="1:24" x14ac:dyDescent="0.35">
      <c r="A425" s="5">
        <v>14285</v>
      </c>
      <c r="B425" s="5">
        <v>14140922053</v>
      </c>
      <c r="C425" s="5">
        <v>727914</v>
      </c>
      <c r="D425" s="5">
        <v>3761203</v>
      </c>
      <c r="E425" s="6" t="s">
        <v>70</v>
      </c>
      <c r="F425" s="6" t="s">
        <v>70</v>
      </c>
      <c r="G425" s="6" t="s">
        <v>70</v>
      </c>
      <c r="H425" s="7"/>
      <c r="I425" s="34" t="str">
        <f t="shared" si="78"/>
        <v>140922</v>
      </c>
      <c r="J425" s="31" t="str">
        <f t="shared" si="79"/>
        <v>14</v>
      </c>
      <c r="N425" s="12" t="str">
        <f t="shared" si="80"/>
        <v>1</v>
      </c>
      <c r="O425" s="11" t="str">
        <f t="shared" si="91"/>
        <v>4</v>
      </c>
      <c r="P425" s="11" t="str">
        <f t="shared" si="82"/>
        <v>1</v>
      </c>
      <c r="Q425" s="11" t="str">
        <f t="shared" si="83"/>
        <v>4</v>
      </c>
      <c r="R425" s="11" t="str">
        <f t="shared" si="84"/>
        <v>0</v>
      </c>
      <c r="S425" s="11" t="str">
        <f t="shared" si="85"/>
        <v>9</v>
      </c>
      <c r="T425" s="11" t="str">
        <f t="shared" si="86"/>
        <v>2</v>
      </c>
      <c r="U425" s="11" t="str">
        <f t="shared" si="87"/>
        <v>2</v>
      </c>
      <c r="V425" s="11" t="str">
        <f t="shared" si="88"/>
        <v>0</v>
      </c>
      <c r="W425" s="11" t="str">
        <f t="shared" si="89"/>
        <v>5</v>
      </c>
      <c r="X425" s="11" t="str">
        <f t="shared" si="90"/>
        <v>3</v>
      </c>
    </row>
    <row r="426" spans="1:24" x14ac:dyDescent="0.35">
      <c r="A426" s="5">
        <v>14286</v>
      </c>
      <c r="B426" s="5">
        <v>14140922054</v>
      </c>
      <c r="C426" s="5">
        <v>727729</v>
      </c>
      <c r="D426" s="5">
        <v>3761439</v>
      </c>
      <c r="E426" s="6" t="s">
        <v>70</v>
      </c>
      <c r="F426" s="6" t="s">
        <v>70</v>
      </c>
      <c r="G426" s="6" t="s">
        <v>70</v>
      </c>
      <c r="H426" s="7"/>
      <c r="I426" s="34" t="str">
        <f t="shared" si="78"/>
        <v>140922</v>
      </c>
      <c r="J426" s="31" t="str">
        <f t="shared" si="79"/>
        <v>14</v>
      </c>
      <c r="N426" s="12" t="str">
        <f t="shared" si="80"/>
        <v>1</v>
      </c>
      <c r="O426" s="11" t="str">
        <f t="shared" si="91"/>
        <v>4</v>
      </c>
      <c r="P426" s="11" t="str">
        <f t="shared" si="82"/>
        <v>1</v>
      </c>
      <c r="Q426" s="11" t="str">
        <f t="shared" si="83"/>
        <v>4</v>
      </c>
      <c r="R426" s="11" t="str">
        <f t="shared" si="84"/>
        <v>0</v>
      </c>
      <c r="S426" s="11" t="str">
        <f t="shared" si="85"/>
        <v>9</v>
      </c>
      <c r="T426" s="11" t="str">
        <f t="shared" si="86"/>
        <v>2</v>
      </c>
      <c r="U426" s="11" t="str">
        <f t="shared" si="87"/>
        <v>2</v>
      </c>
      <c r="V426" s="11" t="str">
        <f t="shared" si="88"/>
        <v>0</v>
      </c>
      <c r="W426" s="11" t="str">
        <f t="shared" si="89"/>
        <v>5</v>
      </c>
      <c r="X426" s="11" t="str">
        <f t="shared" si="90"/>
        <v>4</v>
      </c>
    </row>
    <row r="427" spans="1:24" x14ac:dyDescent="0.35">
      <c r="A427" s="5">
        <v>14287</v>
      </c>
      <c r="B427" s="5">
        <v>14140922055</v>
      </c>
      <c r="C427" s="5">
        <v>727772</v>
      </c>
      <c r="D427" s="5">
        <v>3761444</v>
      </c>
      <c r="E427" s="6" t="s">
        <v>70</v>
      </c>
      <c r="F427" s="6" t="s">
        <v>70</v>
      </c>
      <c r="G427" s="6" t="s">
        <v>70</v>
      </c>
      <c r="H427" s="7"/>
      <c r="I427" s="34" t="str">
        <f t="shared" si="78"/>
        <v>140922</v>
      </c>
      <c r="J427" s="31" t="str">
        <f t="shared" si="79"/>
        <v>14</v>
      </c>
      <c r="N427" s="12" t="str">
        <f t="shared" si="80"/>
        <v>1</v>
      </c>
      <c r="O427" s="11" t="str">
        <f t="shared" si="91"/>
        <v>4</v>
      </c>
      <c r="P427" s="11" t="str">
        <f t="shared" si="82"/>
        <v>1</v>
      </c>
      <c r="Q427" s="11" t="str">
        <f t="shared" si="83"/>
        <v>4</v>
      </c>
      <c r="R427" s="11" t="str">
        <f t="shared" si="84"/>
        <v>0</v>
      </c>
      <c r="S427" s="11" t="str">
        <f t="shared" si="85"/>
        <v>9</v>
      </c>
      <c r="T427" s="11" t="str">
        <f t="shared" si="86"/>
        <v>2</v>
      </c>
      <c r="U427" s="11" t="str">
        <f t="shared" si="87"/>
        <v>2</v>
      </c>
      <c r="V427" s="11" t="str">
        <f t="shared" si="88"/>
        <v>0</v>
      </c>
      <c r="W427" s="11" t="str">
        <f t="shared" si="89"/>
        <v>5</v>
      </c>
      <c r="X427" s="11" t="str">
        <f t="shared" si="90"/>
        <v>5</v>
      </c>
    </row>
    <row r="428" spans="1:24" x14ac:dyDescent="0.35">
      <c r="A428" s="5">
        <v>14288</v>
      </c>
      <c r="B428" s="5">
        <v>14140922056</v>
      </c>
      <c r="C428" s="5">
        <v>727779</v>
      </c>
      <c r="D428" s="5">
        <v>3761443</v>
      </c>
      <c r="E428" s="6" t="s">
        <v>70</v>
      </c>
      <c r="F428" s="6" t="s">
        <v>70</v>
      </c>
      <c r="G428" s="6" t="s">
        <v>70</v>
      </c>
      <c r="H428" s="7"/>
      <c r="I428" s="34" t="str">
        <f t="shared" si="78"/>
        <v>140922</v>
      </c>
      <c r="J428" s="31" t="str">
        <f t="shared" si="79"/>
        <v>14</v>
      </c>
      <c r="N428" s="12" t="str">
        <f t="shared" si="80"/>
        <v>1</v>
      </c>
      <c r="O428" s="11" t="str">
        <f t="shared" si="91"/>
        <v>4</v>
      </c>
      <c r="P428" s="11" t="str">
        <f t="shared" si="82"/>
        <v>1</v>
      </c>
      <c r="Q428" s="11" t="str">
        <f t="shared" si="83"/>
        <v>4</v>
      </c>
      <c r="R428" s="11" t="str">
        <f t="shared" si="84"/>
        <v>0</v>
      </c>
      <c r="S428" s="11" t="str">
        <f t="shared" si="85"/>
        <v>9</v>
      </c>
      <c r="T428" s="11" t="str">
        <f t="shared" si="86"/>
        <v>2</v>
      </c>
      <c r="U428" s="11" t="str">
        <f t="shared" si="87"/>
        <v>2</v>
      </c>
      <c r="V428" s="11" t="str">
        <f t="shared" si="88"/>
        <v>0</v>
      </c>
      <c r="W428" s="11" t="str">
        <f t="shared" si="89"/>
        <v>5</v>
      </c>
      <c r="X428" s="11" t="str">
        <f t="shared" si="90"/>
        <v>6</v>
      </c>
    </row>
    <row r="429" spans="1:24" x14ac:dyDescent="0.35">
      <c r="A429" s="5">
        <v>14289</v>
      </c>
      <c r="B429" s="5">
        <v>14140922057</v>
      </c>
      <c r="C429" s="5">
        <v>727781</v>
      </c>
      <c r="D429" s="5">
        <v>3761441</v>
      </c>
      <c r="E429" s="6" t="s">
        <v>70</v>
      </c>
      <c r="F429" s="6" t="s">
        <v>70</v>
      </c>
      <c r="G429" s="6" t="s">
        <v>70</v>
      </c>
      <c r="H429" s="7"/>
      <c r="I429" s="34" t="str">
        <f t="shared" si="78"/>
        <v>140922</v>
      </c>
      <c r="J429" s="31" t="str">
        <f t="shared" si="79"/>
        <v>14</v>
      </c>
      <c r="N429" s="12" t="str">
        <f t="shared" si="80"/>
        <v>1</v>
      </c>
      <c r="O429" s="11" t="str">
        <f t="shared" si="91"/>
        <v>4</v>
      </c>
      <c r="P429" s="11" t="str">
        <f t="shared" si="82"/>
        <v>1</v>
      </c>
      <c r="Q429" s="11" t="str">
        <f t="shared" si="83"/>
        <v>4</v>
      </c>
      <c r="R429" s="11" t="str">
        <f t="shared" si="84"/>
        <v>0</v>
      </c>
      <c r="S429" s="11" t="str">
        <f t="shared" si="85"/>
        <v>9</v>
      </c>
      <c r="T429" s="11" t="str">
        <f t="shared" si="86"/>
        <v>2</v>
      </c>
      <c r="U429" s="11" t="str">
        <f t="shared" si="87"/>
        <v>2</v>
      </c>
      <c r="V429" s="11" t="str">
        <f t="shared" si="88"/>
        <v>0</v>
      </c>
      <c r="W429" s="11" t="str">
        <f t="shared" si="89"/>
        <v>5</v>
      </c>
      <c r="X429" s="11" t="str">
        <f t="shared" si="90"/>
        <v>7</v>
      </c>
    </row>
    <row r="430" spans="1:24" x14ac:dyDescent="0.35">
      <c r="A430" s="5">
        <v>14290</v>
      </c>
      <c r="B430" s="5">
        <v>14140922058</v>
      </c>
      <c r="C430" s="5">
        <v>727782</v>
      </c>
      <c r="D430" s="5">
        <v>3761440</v>
      </c>
      <c r="E430" s="6" t="s">
        <v>70</v>
      </c>
      <c r="F430" s="6" t="s">
        <v>70</v>
      </c>
      <c r="G430" s="6" t="s">
        <v>70</v>
      </c>
      <c r="H430" s="7"/>
      <c r="I430" s="34" t="str">
        <f t="shared" si="78"/>
        <v>140922</v>
      </c>
      <c r="J430" s="31" t="str">
        <f t="shared" si="79"/>
        <v>14</v>
      </c>
      <c r="N430" s="12" t="str">
        <f t="shared" si="80"/>
        <v>1</v>
      </c>
      <c r="O430" s="11" t="str">
        <f t="shared" si="91"/>
        <v>4</v>
      </c>
      <c r="P430" s="11" t="str">
        <f t="shared" si="82"/>
        <v>1</v>
      </c>
      <c r="Q430" s="11" t="str">
        <f t="shared" si="83"/>
        <v>4</v>
      </c>
      <c r="R430" s="11" t="str">
        <f t="shared" si="84"/>
        <v>0</v>
      </c>
      <c r="S430" s="11" t="str">
        <f t="shared" si="85"/>
        <v>9</v>
      </c>
      <c r="T430" s="11" t="str">
        <f t="shared" si="86"/>
        <v>2</v>
      </c>
      <c r="U430" s="11" t="str">
        <f t="shared" si="87"/>
        <v>2</v>
      </c>
      <c r="V430" s="11" t="str">
        <f t="shared" si="88"/>
        <v>0</v>
      </c>
      <c r="W430" s="11" t="str">
        <f t="shared" si="89"/>
        <v>5</v>
      </c>
      <c r="X430" s="11" t="str">
        <f t="shared" si="90"/>
        <v>8</v>
      </c>
    </row>
    <row r="431" spans="1:24" x14ac:dyDescent="0.35">
      <c r="A431" s="5">
        <v>14291</v>
      </c>
      <c r="B431" s="5">
        <v>14140922059</v>
      </c>
      <c r="C431" s="5">
        <v>727773</v>
      </c>
      <c r="D431" s="5">
        <v>3761478</v>
      </c>
      <c r="E431" s="6" t="s">
        <v>70</v>
      </c>
      <c r="F431" s="6" t="s">
        <v>70</v>
      </c>
      <c r="G431" s="6" t="s">
        <v>70</v>
      </c>
      <c r="H431" s="7"/>
      <c r="I431" s="34" t="str">
        <f t="shared" si="78"/>
        <v>140922</v>
      </c>
      <c r="J431" s="31" t="str">
        <f t="shared" si="79"/>
        <v>14</v>
      </c>
      <c r="N431" s="12" t="str">
        <f t="shared" si="80"/>
        <v>1</v>
      </c>
      <c r="O431" s="11" t="str">
        <f t="shared" si="91"/>
        <v>4</v>
      </c>
      <c r="P431" s="11" t="str">
        <f t="shared" si="82"/>
        <v>1</v>
      </c>
      <c r="Q431" s="11" t="str">
        <f t="shared" si="83"/>
        <v>4</v>
      </c>
      <c r="R431" s="11" t="str">
        <f t="shared" si="84"/>
        <v>0</v>
      </c>
      <c r="S431" s="11" t="str">
        <f t="shared" si="85"/>
        <v>9</v>
      </c>
      <c r="T431" s="11" t="str">
        <f t="shared" si="86"/>
        <v>2</v>
      </c>
      <c r="U431" s="11" t="str">
        <f t="shared" si="87"/>
        <v>2</v>
      </c>
      <c r="V431" s="11" t="str">
        <f t="shared" si="88"/>
        <v>0</v>
      </c>
      <c r="W431" s="11" t="str">
        <f t="shared" si="89"/>
        <v>5</v>
      </c>
      <c r="X431" s="11" t="str">
        <f t="shared" si="90"/>
        <v>9</v>
      </c>
    </row>
    <row r="432" spans="1:24" x14ac:dyDescent="0.35">
      <c r="A432" s="5">
        <v>14292</v>
      </c>
      <c r="B432" s="5">
        <v>14140922060</v>
      </c>
      <c r="C432" s="5">
        <v>727765</v>
      </c>
      <c r="D432" s="5">
        <v>3761498</v>
      </c>
      <c r="E432" s="6" t="s">
        <v>70</v>
      </c>
      <c r="F432" s="6" t="s">
        <v>70</v>
      </c>
      <c r="G432" s="6" t="s">
        <v>70</v>
      </c>
      <c r="H432" s="7"/>
      <c r="I432" s="34" t="str">
        <f t="shared" si="78"/>
        <v>140922</v>
      </c>
      <c r="J432" s="31" t="str">
        <f t="shared" si="79"/>
        <v>14</v>
      </c>
      <c r="N432" s="12" t="str">
        <f t="shared" si="80"/>
        <v>1</v>
      </c>
      <c r="O432" s="11" t="str">
        <f t="shared" si="91"/>
        <v>4</v>
      </c>
      <c r="P432" s="11" t="str">
        <f t="shared" si="82"/>
        <v>1</v>
      </c>
      <c r="Q432" s="11" t="str">
        <f t="shared" si="83"/>
        <v>4</v>
      </c>
      <c r="R432" s="11" t="str">
        <f t="shared" si="84"/>
        <v>0</v>
      </c>
      <c r="S432" s="11" t="str">
        <f t="shared" si="85"/>
        <v>9</v>
      </c>
      <c r="T432" s="11" t="str">
        <f t="shared" si="86"/>
        <v>2</v>
      </c>
      <c r="U432" s="11" t="str">
        <f t="shared" si="87"/>
        <v>2</v>
      </c>
      <c r="V432" s="11" t="str">
        <f t="shared" si="88"/>
        <v>0</v>
      </c>
      <c r="W432" s="11" t="str">
        <f t="shared" si="89"/>
        <v>6</v>
      </c>
      <c r="X432" s="11" t="str">
        <f t="shared" si="90"/>
        <v>0</v>
      </c>
    </row>
    <row r="433" spans="1:24" x14ac:dyDescent="0.35">
      <c r="A433" s="5">
        <v>14293</v>
      </c>
      <c r="B433" s="5">
        <v>14140922061</v>
      </c>
      <c r="C433" s="5">
        <v>727805</v>
      </c>
      <c r="D433" s="5">
        <v>3761506</v>
      </c>
      <c r="E433" s="6" t="s">
        <v>70</v>
      </c>
      <c r="F433" s="6" t="s">
        <v>70</v>
      </c>
      <c r="G433" s="6" t="s">
        <v>70</v>
      </c>
      <c r="H433" s="7"/>
      <c r="I433" s="34" t="str">
        <f t="shared" si="78"/>
        <v>140922</v>
      </c>
      <c r="J433" s="31" t="str">
        <f t="shared" si="79"/>
        <v>14</v>
      </c>
      <c r="N433" s="12" t="str">
        <f t="shared" si="80"/>
        <v>1</v>
      </c>
      <c r="O433" s="11" t="str">
        <f t="shared" si="91"/>
        <v>4</v>
      </c>
      <c r="P433" s="11" t="str">
        <f t="shared" si="82"/>
        <v>1</v>
      </c>
      <c r="Q433" s="11" t="str">
        <f t="shared" si="83"/>
        <v>4</v>
      </c>
      <c r="R433" s="11" t="str">
        <f t="shared" si="84"/>
        <v>0</v>
      </c>
      <c r="S433" s="11" t="str">
        <f t="shared" si="85"/>
        <v>9</v>
      </c>
      <c r="T433" s="11" t="str">
        <f t="shared" si="86"/>
        <v>2</v>
      </c>
      <c r="U433" s="11" t="str">
        <f t="shared" si="87"/>
        <v>2</v>
      </c>
      <c r="V433" s="11" t="str">
        <f t="shared" si="88"/>
        <v>0</v>
      </c>
      <c r="W433" s="11" t="str">
        <f t="shared" si="89"/>
        <v>6</v>
      </c>
      <c r="X433" s="11" t="str">
        <f t="shared" si="90"/>
        <v>1</v>
      </c>
    </row>
    <row r="434" spans="1:24" x14ac:dyDescent="0.35">
      <c r="A434" s="5">
        <v>14294</v>
      </c>
      <c r="B434" s="5">
        <v>14140922062</v>
      </c>
      <c r="C434" s="5">
        <v>727804</v>
      </c>
      <c r="D434" s="5">
        <v>3761537</v>
      </c>
      <c r="E434" s="6" t="s">
        <v>70</v>
      </c>
      <c r="F434" s="6" t="s">
        <v>70</v>
      </c>
      <c r="G434" s="6" t="s">
        <v>70</v>
      </c>
      <c r="H434" s="7"/>
      <c r="I434" s="34" t="str">
        <f t="shared" si="78"/>
        <v>140922</v>
      </c>
      <c r="J434" s="31" t="str">
        <f t="shared" si="79"/>
        <v>14</v>
      </c>
      <c r="N434" s="12" t="str">
        <f t="shared" si="80"/>
        <v>1</v>
      </c>
      <c r="O434" s="11" t="str">
        <f t="shared" si="91"/>
        <v>4</v>
      </c>
      <c r="P434" s="11" t="str">
        <f t="shared" si="82"/>
        <v>1</v>
      </c>
      <c r="Q434" s="11" t="str">
        <f t="shared" si="83"/>
        <v>4</v>
      </c>
      <c r="R434" s="11" t="str">
        <f t="shared" si="84"/>
        <v>0</v>
      </c>
      <c r="S434" s="11" t="str">
        <f t="shared" si="85"/>
        <v>9</v>
      </c>
      <c r="T434" s="11" t="str">
        <f t="shared" si="86"/>
        <v>2</v>
      </c>
      <c r="U434" s="11" t="str">
        <f t="shared" si="87"/>
        <v>2</v>
      </c>
      <c r="V434" s="11" t="str">
        <f t="shared" si="88"/>
        <v>0</v>
      </c>
      <c r="W434" s="11" t="str">
        <f t="shared" si="89"/>
        <v>6</v>
      </c>
      <c r="X434" s="11" t="str">
        <f t="shared" si="90"/>
        <v>2</v>
      </c>
    </row>
    <row r="435" spans="1:24" x14ac:dyDescent="0.35">
      <c r="A435" s="5">
        <v>14295</v>
      </c>
      <c r="B435" s="5">
        <v>14140922063</v>
      </c>
      <c r="C435" s="5">
        <v>727789</v>
      </c>
      <c r="D435" s="5">
        <v>3761543</v>
      </c>
      <c r="E435" s="6" t="s">
        <v>70</v>
      </c>
      <c r="F435" s="6" t="s">
        <v>70</v>
      </c>
      <c r="G435" s="6" t="s">
        <v>70</v>
      </c>
      <c r="H435" s="7"/>
      <c r="I435" s="34" t="str">
        <f t="shared" si="78"/>
        <v>140922</v>
      </c>
      <c r="J435" s="31" t="str">
        <f t="shared" si="79"/>
        <v>14</v>
      </c>
      <c r="N435" s="12" t="str">
        <f t="shared" si="80"/>
        <v>1</v>
      </c>
      <c r="O435" s="11" t="str">
        <f t="shared" si="91"/>
        <v>4</v>
      </c>
      <c r="P435" s="11" t="str">
        <f t="shared" si="82"/>
        <v>1</v>
      </c>
      <c r="Q435" s="11" t="str">
        <f t="shared" si="83"/>
        <v>4</v>
      </c>
      <c r="R435" s="11" t="str">
        <f t="shared" si="84"/>
        <v>0</v>
      </c>
      <c r="S435" s="11" t="str">
        <f t="shared" si="85"/>
        <v>9</v>
      </c>
      <c r="T435" s="11" t="str">
        <f t="shared" si="86"/>
        <v>2</v>
      </c>
      <c r="U435" s="11" t="str">
        <f t="shared" si="87"/>
        <v>2</v>
      </c>
      <c r="V435" s="11" t="str">
        <f t="shared" si="88"/>
        <v>0</v>
      </c>
      <c r="W435" s="11" t="str">
        <f t="shared" si="89"/>
        <v>6</v>
      </c>
      <c r="X435" s="11" t="str">
        <f t="shared" si="90"/>
        <v>3</v>
      </c>
    </row>
    <row r="436" spans="1:24" x14ac:dyDescent="0.35">
      <c r="A436" s="5">
        <v>14296</v>
      </c>
      <c r="B436" s="5">
        <v>14140922064</v>
      </c>
      <c r="C436" s="5">
        <v>727787</v>
      </c>
      <c r="D436" s="5">
        <v>3761555</v>
      </c>
      <c r="E436" s="6" t="s">
        <v>70</v>
      </c>
      <c r="F436" s="6" t="s">
        <v>70</v>
      </c>
      <c r="G436" s="6" t="s">
        <v>70</v>
      </c>
      <c r="H436" s="7"/>
      <c r="I436" s="34" t="str">
        <f t="shared" si="78"/>
        <v>140922</v>
      </c>
      <c r="J436" s="31" t="str">
        <f t="shared" si="79"/>
        <v>14</v>
      </c>
      <c r="N436" s="12" t="str">
        <f t="shared" si="80"/>
        <v>1</v>
      </c>
      <c r="O436" s="11" t="str">
        <f t="shared" si="91"/>
        <v>4</v>
      </c>
      <c r="P436" s="11" t="str">
        <f t="shared" si="82"/>
        <v>1</v>
      </c>
      <c r="Q436" s="11" t="str">
        <f t="shared" si="83"/>
        <v>4</v>
      </c>
      <c r="R436" s="11" t="str">
        <f t="shared" si="84"/>
        <v>0</v>
      </c>
      <c r="S436" s="11" t="str">
        <f t="shared" si="85"/>
        <v>9</v>
      </c>
      <c r="T436" s="11" t="str">
        <f t="shared" si="86"/>
        <v>2</v>
      </c>
      <c r="U436" s="11" t="str">
        <f t="shared" si="87"/>
        <v>2</v>
      </c>
      <c r="V436" s="11" t="str">
        <f t="shared" si="88"/>
        <v>0</v>
      </c>
      <c r="W436" s="11" t="str">
        <f t="shared" si="89"/>
        <v>6</v>
      </c>
      <c r="X436" s="11" t="str">
        <f t="shared" si="90"/>
        <v>4</v>
      </c>
    </row>
    <row r="437" spans="1:24" x14ac:dyDescent="0.35">
      <c r="A437" s="5">
        <v>14297</v>
      </c>
      <c r="B437" s="5">
        <v>14140922065</v>
      </c>
      <c r="C437" s="5">
        <v>727775</v>
      </c>
      <c r="D437" s="5">
        <v>3761591</v>
      </c>
      <c r="E437" s="6" t="s">
        <v>70</v>
      </c>
      <c r="F437" s="6" t="s">
        <v>70</v>
      </c>
      <c r="G437" s="6" t="s">
        <v>70</v>
      </c>
      <c r="H437" s="7"/>
      <c r="I437" s="34" t="str">
        <f t="shared" si="78"/>
        <v>140922</v>
      </c>
      <c r="J437" s="31" t="str">
        <f t="shared" si="79"/>
        <v>14</v>
      </c>
      <c r="N437" s="12" t="str">
        <f t="shared" si="80"/>
        <v>1</v>
      </c>
      <c r="O437" s="11" t="str">
        <f t="shared" si="91"/>
        <v>4</v>
      </c>
      <c r="P437" s="11" t="str">
        <f t="shared" si="82"/>
        <v>1</v>
      </c>
      <c r="Q437" s="11" t="str">
        <f t="shared" si="83"/>
        <v>4</v>
      </c>
      <c r="R437" s="11" t="str">
        <f t="shared" si="84"/>
        <v>0</v>
      </c>
      <c r="S437" s="11" t="str">
        <f t="shared" si="85"/>
        <v>9</v>
      </c>
      <c r="T437" s="11" t="str">
        <f t="shared" si="86"/>
        <v>2</v>
      </c>
      <c r="U437" s="11" t="str">
        <f t="shared" si="87"/>
        <v>2</v>
      </c>
      <c r="V437" s="11" t="str">
        <f t="shared" si="88"/>
        <v>0</v>
      </c>
      <c r="W437" s="11" t="str">
        <f t="shared" si="89"/>
        <v>6</v>
      </c>
      <c r="X437" s="11" t="str">
        <f t="shared" si="90"/>
        <v>5</v>
      </c>
    </row>
    <row r="438" spans="1:24" x14ac:dyDescent="0.35">
      <c r="A438" s="5">
        <v>14298</v>
      </c>
      <c r="B438" s="5">
        <v>14140922066</v>
      </c>
      <c r="C438" s="5">
        <v>727771</v>
      </c>
      <c r="D438" s="5">
        <v>3761615</v>
      </c>
      <c r="E438" s="6" t="s">
        <v>70</v>
      </c>
      <c r="F438" s="6" t="s">
        <v>70</v>
      </c>
      <c r="G438" s="6" t="s">
        <v>70</v>
      </c>
      <c r="H438" s="7"/>
      <c r="I438" s="34" t="str">
        <f t="shared" si="78"/>
        <v>140922</v>
      </c>
      <c r="J438" s="31" t="str">
        <f t="shared" si="79"/>
        <v>14</v>
      </c>
      <c r="N438" s="12" t="str">
        <f t="shared" si="80"/>
        <v>1</v>
      </c>
      <c r="O438" s="11" t="str">
        <f t="shared" si="91"/>
        <v>4</v>
      </c>
      <c r="P438" s="11" t="str">
        <f t="shared" si="82"/>
        <v>1</v>
      </c>
      <c r="Q438" s="11" t="str">
        <f t="shared" si="83"/>
        <v>4</v>
      </c>
      <c r="R438" s="11" t="str">
        <f t="shared" si="84"/>
        <v>0</v>
      </c>
      <c r="S438" s="11" t="str">
        <f t="shared" si="85"/>
        <v>9</v>
      </c>
      <c r="T438" s="11" t="str">
        <f t="shared" si="86"/>
        <v>2</v>
      </c>
      <c r="U438" s="11" t="str">
        <f t="shared" si="87"/>
        <v>2</v>
      </c>
      <c r="V438" s="11" t="str">
        <f t="shared" si="88"/>
        <v>0</v>
      </c>
      <c r="W438" s="11" t="str">
        <f t="shared" si="89"/>
        <v>6</v>
      </c>
      <c r="X438" s="11" t="str">
        <f t="shared" si="90"/>
        <v>6</v>
      </c>
    </row>
    <row r="439" spans="1:24" x14ac:dyDescent="0.35">
      <c r="A439" s="5">
        <v>14299</v>
      </c>
      <c r="B439" s="5">
        <v>14140922067</v>
      </c>
      <c r="C439" s="5">
        <v>727760</v>
      </c>
      <c r="D439" s="5">
        <v>3761633</v>
      </c>
      <c r="E439" s="6" t="s">
        <v>70</v>
      </c>
      <c r="F439" s="6" t="s">
        <v>70</v>
      </c>
      <c r="G439" s="6" t="s">
        <v>70</v>
      </c>
      <c r="H439" s="7"/>
      <c r="I439" s="34" t="str">
        <f t="shared" si="78"/>
        <v>140922</v>
      </c>
      <c r="J439" s="31" t="str">
        <f t="shared" si="79"/>
        <v>14</v>
      </c>
      <c r="N439" s="12" t="str">
        <f t="shared" si="80"/>
        <v>1</v>
      </c>
      <c r="O439" s="11" t="str">
        <f t="shared" si="91"/>
        <v>4</v>
      </c>
      <c r="P439" s="11" t="str">
        <f t="shared" si="82"/>
        <v>1</v>
      </c>
      <c r="Q439" s="11" t="str">
        <f t="shared" si="83"/>
        <v>4</v>
      </c>
      <c r="R439" s="11" t="str">
        <f t="shared" si="84"/>
        <v>0</v>
      </c>
      <c r="S439" s="11" t="str">
        <f t="shared" si="85"/>
        <v>9</v>
      </c>
      <c r="T439" s="11" t="str">
        <f t="shared" si="86"/>
        <v>2</v>
      </c>
      <c r="U439" s="11" t="str">
        <f t="shared" si="87"/>
        <v>2</v>
      </c>
      <c r="V439" s="11" t="str">
        <f t="shared" si="88"/>
        <v>0</v>
      </c>
      <c r="W439" s="11" t="str">
        <f t="shared" si="89"/>
        <v>6</v>
      </c>
      <c r="X439" s="11" t="str">
        <f t="shared" si="90"/>
        <v>7</v>
      </c>
    </row>
    <row r="440" spans="1:24" x14ac:dyDescent="0.35">
      <c r="A440" s="5">
        <v>14300</v>
      </c>
      <c r="B440" s="5">
        <v>14140922068</v>
      </c>
      <c r="C440" s="5">
        <v>727740</v>
      </c>
      <c r="D440" s="5">
        <v>3761486</v>
      </c>
      <c r="E440" s="6" t="s">
        <v>70</v>
      </c>
      <c r="F440" s="6" t="s">
        <v>70</v>
      </c>
      <c r="G440" s="6" t="s">
        <v>70</v>
      </c>
      <c r="H440" s="7"/>
      <c r="I440" s="34" t="str">
        <f t="shared" si="78"/>
        <v>140922</v>
      </c>
      <c r="J440" s="31" t="str">
        <f t="shared" si="79"/>
        <v>14</v>
      </c>
      <c r="N440" s="12" t="str">
        <f t="shared" si="80"/>
        <v>1</v>
      </c>
      <c r="O440" s="11" t="str">
        <f t="shared" si="91"/>
        <v>4</v>
      </c>
      <c r="P440" s="11" t="str">
        <f t="shared" si="82"/>
        <v>1</v>
      </c>
      <c r="Q440" s="11" t="str">
        <f t="shared" si="83"/>
        <v>4</v>
      </c>
      <c r="R440" s="11" t="str">
        <f t="shared" si="84"/>
        <v>0</v>
      </c>
      <c r="S440" s="11" t="str">
        <f t="shared" si="85"/>
        <v>9</v>
      </c>
      <c r="T440" s="11" t="str">
        <f t="shared" si="86"/>
        <v>2</v>
      </c>
      <c r="U440" s="11" t="str">
        <f t="shared" si="87"/>
        <v>2</v>
      </c>
      <c r="V440" s="11" t="str">
        <f t="shared" si="88"/>
        <v>0</v>
      </c>
      <c r="W440" s="11" t="str">
        <f t="shared" si="89"/>
        <v>6</v>
      </c>
      <c r="X440" s="11" t="str">
        <f t="shared" si="90"/>
        <v>8</v>
      </c>
    </row>
    <row r="441" spans="1:24" x14ac:dyDescent="0.35">
      <c r="A441" s="5">
        <v>14301</v>
      </c>
      <c r="B441" s="5">
        <v>14140922069</v>
      </c>
      <c r="C441" s="5">
        <v>727729</v>
      </c>
      <c r="D441" s="5">
        <v>3761507</v>
      </c>
      <c r="E441" s="6" t="s">
        <v>70</v>
      </c>
      <c r="F441" s="6" t="s">
        <v>70</v>
      </c>
      <c r="G441" s="6" t="s">
        <v>70</v>
      </c>
      <c r="H441" s="7"/>
      <c r="I441" s="34" t="str">
        <f t="shared" si="78"/>
        <v>140922</v>
      </c>
      <c r="J441" s="31" t="str">
        <f t="shared" si="79"/>
        <v>14</v>
      </c>
      <c r="N441" s="12" t="str">
        <f t="shared" si="80"/>
        <v>1</v>
      </c>
      <c r="O441" s="11" t="str">
        <f t="shared" si="91"/>
        <v>4</v>
      </c>
      <c r="P441" s="11" t="str">
        <f t="shared" si="82"/>
        <v>1</v>
      </c>
      <c r="Q441" s="11" t="str">
        <f t="shared" si="83"/>
        <v>4</v>
      </c>
      <c r="R441" s="11" t="str">
        <f t="shared" si="84"/>
        <v>0</v>
      </c>
      <c r="S441" s="11" t="str">
        <f t="shared" si="85"/>
        <v>9</v>
      </c>
      <c r="T441" s="11" t="str">
        <f t="shared" si="86"/>
        <v>2</v>
      </c>
      <c r="U441" s="11" t="str">
        <f t="shared" si="87"/>
        <v>2</v>
      </c>
      <c r="V441" s="11" t="str">
        <f t="shared" si="88"/>
        <v>0</v>
      </c>
      <c r="W441" s="11" t="str">
        <f t="shared" si="89"/>
        <v>6</v>
      </c>
      <c r="X441" s="11" t="str">
        <f t="shared" si="90"/>
        <v>9</v>
      </c>
    </row>
    <row r="442" spans="1:24" x14ac:dyDescent="0.35">
      <c r="A442" s="5">
        <v>14302</v>
      </c>
      <c r="B442" s="5">
        <v>14140922070</v>
      </c>
      <c r="C442" s="5">
        <v>727697</v>
      </c>
      <c r="D442" s="5">
        <v>3761496</v>
      </c>
      <c r="E442" s="6" t="s">
        <v>70</v>
      </c>
      <c r="F442" s="6" t="s">
        <v>70</v>
      </c>
      <c r="G442" s="6" t="s">
        <v>70</v>
      </c>
      <c r="H442" s="7"/>
      <c r="I442" s="34" t="str">
        <f t="shared" si="78"/>
        <v>140922</v>
      </c>
      <c r="J442" s="31" t="str">
        <f t="shared" si="79"/>
        <v>14</v>
      </c>
      <c r="N442" s="12" t="str">
        <f t="shared" si="80"/>
        <v>1</v>
      </c>
      <c r="O442" s="11" t="str">
        <f t="shared" si="91"/>
        <v>4</v>
      </c>
      <c r="P442" s="11" t="str">
        <f t="shared" si="82"/>
        <v>1</v>
      </c>
      <c r="Q442" s="11" t="str">
        <f t="shared" si="83"/>
        <v>4</v>
      </c>
      <c r="R442" s="11" t="str">
        <f t="shared" si="84"/>
        <v>0</v>
      </c>
      <c r="S442" s="11" t="str">
        <f t="shared" si="85"/>
        <v>9</v>
      </c>
      <c r="T442" s="11" t="str">
        <f t="shared" si="86"/>
        <v>2</v>
      </c>
      <c r="U442" s="11" t="str">
        <f t="shared" si="87"/>
        <v>2</v>
      </c>
      <c r="V442" s="11" t="str">
        <f t="shared" si="88"/>
        <v>0</v>
      </c>
      <c r="W442" s="11" t="str">
        <f t="shared" si="89"/>
        <v>7</v>
      </c>
      <c r="X442" s="11" t="str">
        <f t="shared" si="90"/>
        <v>0</v>
      </c>
    </row>
    <row r="443" spans="1:24" x14ac:dyDescent="0.35">
      <c r="A443" s="5">
        <v>14303</v>
      </c>
      <c r="B443" s="5">
        <v>14140922071</v>
      </c>
      <c r="C443" s="5">
        <v>727725</v>
      </c>
      <c r="D443" s="5">
        <v>3761557</v>
      </c>
      <c r="E443" s="6" t="s">
        <v>70</v>
      </c>
      <c r="F443" s="6" t="s">
        <v>70</v>
      </c>
      <c r="G443" s="6" t="s">
        <v>70</v>
      </c>
      <c r="H443" s="7"/>
      <c r="I443" s="34" t="str">
        <f t="shared" si="78"/>
        <v>140922</v>
      </c>
      <c r="J443" s="31" t="str">
        <f t="shared" si="79"/>
        <v>14</v>
      </c>
      <c r="N443" s="12" t="str">
        <f t="shared" si="80"/>
        <v>1</v>
      </c>
      <c r="O443" s="11" t="str">
        <f t="shared" si="91"/>
        <v>4</v>
      </c>
      <c r="P443" s="11" t="str">
        <f t="shared" si="82"/>
        <v>1</v>
      </c>
      <c r="Q443" s="11" t="str">
        <f t="shared" si="83"/>
        <v>4</v>
      </c>
      <c r="R443" s="11" t="str">
        <f t="shared" si="84"/>
        <v>0</v>
      </c>
      <c r="S443" s="11" t="str">
        <f t="shared" si="85"/>
        <v>9</v>
      </c>
      <c r="T443" s="11" t="str">
        <f t="shared" si="86"/>
        <v>2</v>
      </c>
      <c r="U443" s="11" t="str">
        <f t="shared" si="87"/>
        <v>2</v>
      </c>
      <c r="V443" s="11" t="str">
        <f t="shared" si="88"/>
        <v>0</v>
      </c>
      <c r="W443" s="11" t="str">
        <f t="shared" si="89"/>
        <v>7</v>
      </c>
      <c r="X443" s="11" t="str">
        <f t="shared" si="90"/>
        <v>1</v>
      </c>
    </row>
    <row r="444" spans="1:24" x14ac:dyDescent="0.35">
      <c r="A444" s="5">
        <v>14304</v>
      </c>
      <c r="B444" s="5">
        <v>14140922072</v>
      </c>
      <c r="C444" s="5">
        <v>727709</v>
      </c>
      <c r="D444" s="5">
        <v>3761601</v>
      </c>
      <c r="E444" s="6" t="s">
        <v>70</v>
      </c>
      <c r="F444" s="6" t="s">
        <v>70</v>
      </c>
      <c r="G444" s="6" t="s">
        <v>70</v>
      </c>
      <c r="H444" s="7"/>
      <c r="I444" s="34" t="str">
        <f t="shared" si="78"/>
        <v>140922</v>
      </c>
      <c r="J444" s="31" t="str">
        <f t="shared" si="79"/>
        <v>14</v>
      </c>
      <c r="N444" s="12" t="str">
        <f t="shared" si="80"/>
        <v>1</v>
      </c>
      <c r="O444" s="11" t="str">
        <f t="shared" si="91"/>
        <v>4</v>
      </c>
      <c r="P444" s="11" t="str">
        <f t="shared" si="82"/>
        <v>1</v>
      </c>
      <c r="Q444" s="11" t="str">
        <f t="shared" si="83"/>
        <v>4</v>
      </c>
      <c r="R444" s="11" t="str">
        <f t="shared" si="84"/>
        <v>0</v>
      </c>
      <c r="S444" s="11" t="str">
        <f t="shared" si="85"/>
        <v>9</v>
      </c>
      <c r="T444" s="11" t="str">
        <f t="shared" si="86"/>
        <v>2</v>
      </c>
      <c r="U444" s="11" t="str">
        <f t="shared" si="87"/>
        <v>2</v>
      </c>
      <c r="V444" s="11" t="str">
        <f t="shared" si="88"/>
        <v>0</v>
      </c>
      <c r="W444" s="11" t="str">
        <f t="shared" si="89"/>
        <v>7</v>
      </c>
      <c r="X444" s="11" t="str">
        <f t="shared" si="90"/>
        <v>2</v>
      </c>
    </row>
    <row r="445" spans="1:24" x14ac:dyDescent="0.35">
      <c r="A445" s="5">
        <v>14305</v>
      </c>
      <c r="B445" s="5">
        <v>14140922073</v>
      </c>
      <c r="C445" s="5">
        <v>727700</v>
      </c>
      <c r="D445" s="5">
        <v>3761637</v>
      </c>
      <c r="E445" s="6" t="s">
        <v>70</v>
      </c>
      <c r="F445" s="6" t="s">
        <v>70</v>
      </c>
      <c r="G445" s="6" t="s">
        <v>70</v>
      </c>
      <c r="H445" s="7"/>
      <c r="I445" s="34" t="str">
        <f t="shared" si="78"/>
        <v>140922</v>
      </c>
      <c r="J445" s="31" t="str">
        <f t="shared" si="79"/>
        <v>14</v>
      </c>
      <c r="N445" s="12" t="str">
        <f t="shared" si="80"/>
        <v>1</v>
      </c>
      <c r="O445" s="11" t="str">
        <f t="shared" si="91"/>
        <v>4</v>
      </c>
      <c r="P445" s="11" t="str">
        <f t="shared" si="82"/>
        <v>1</v>
      </c>
      <c r="Q445" s="11" t="str">
        <f t="shared" si="83"/>
        <v>4</v>
      </c>
      <c r="R445" s="11" t="str">
        <f t="shared" si="84"/>
        <v>0</v>
      </c>
      <c r="S445" s="11" t="str">
        <f t="shared" si="85"/>
        <v>9</v>
      </c>
      <c r="T445" s="11" t="str">
        <f t="shared" si="86"/>
        <v>2</v>
      </c>
      <c r="U445" s="11" t="str">
        <f t="shared" si="87"/>
        <v>2</v>
      </c>
      <c r="V445" s="11" t="str">
        <f t="shared" si="88"/>
        <v>0</v>
      </c>
      <c r="W445" s="11" t="str">
        <f t="shared" si="89"/>
        <v>7</v>
      </c>
      <c r="X445" s="11" t="str">
        <f t="shared" si="90"/>
        <v>3</v>
      </c>
    </row>
    <row r="446" spans="1:24" s="19" customFormat="1" x14ac:dyDescent="0.35">
      <c r="A446" s="8">
        <v>14306</v>
      </c>
      <c r="B446" s="8">
        <v>12120922001</v>
      </c>
      <c r="C446" s="8">
        <v>725374</v>
      </c>
      <c r="D446" s="8">
        <v>3764486</v>
      </c>
      <c r="E446" s="22" t="s">
        <v>70</v>
      </c>
      <c r="F446" s="22" t="s">
        <v>71</v>
      </c>
      <c r="G446" s="22" t="s">
        <v>71</v>
      </c>
      <c r="H446" s="23"/>
      <c r="I446" s="35" t="str">
        <f t="shared" si="78"/>
        <v>120922</v>
      </c>
      <c r="J446" s="31" t="str">
        <f t="shared" si="79"/>
        <v>12</v>
      </c>
      <c r="N446" s="24" t="str">
        <f t="shared" si="80"/>
        <v>1</v>
      </c>
      <c r="O446" s="25" t="str">
        <f t="shared" si="91"/>
        <v>2</v>
      </c>
      <c r="P446" s="25" t="str">
        <f t="shared" si="82"/>
        <v>1</v>
      </c>
      <c r="Q446" s="25" t="str">
        <f t="shared" si="83"/>
        <v>2</v>
      </c>
      <c r="R446" s="25" t="str">
        <f t="shared" si="84"/>
        <v>0</v>
      </c>
      <c r="S446" s="25" t="str">
        <f t="shared" si="85"/>
        <v>9</v>
      </c>
      <c r="T446" s="25" t="str">
        <f t="shared" si="86"/>
        <v>2</v>
      </c>
      <c r="U446" s="25" t="str">
        <f t="shared" si="87"/>
        <v>2</v>
      </c>
      <c r="V446" s="25" t="str">
        <f t="shared" si="88"/>
        <v>0</v>
      </c>
      <c r="W446" s="25" t="str">
        <f t="shared" si="89"/>
        <v>0</v>
      </c>
      <c r="X446" s="25" t="str">
        <f t="shared" si="90"/>
        <v>1</v>
      </c>
    </row>
    <row r="447" spans="1:24" x14ac:dyDescent="0.35">
      <c r="A447" s="5">
        <v>14307</v>
      </c>
      <c r="B447" s="5">
        <v>12120922002</v>
      </c>
      <c r="C447" s="5">
        <v>725443</v>
      </c>
      <c r="D447" s="5">
        <v>3764482</v>
      </c>
      <c r="E447" s="6" t="s">
        <v>70</v>
      </c>
      <c r="F447" s="6" t="s">
        <v>71</v>
      </c>
      <c r="G447" s="6" t="s">
        <v>71</v>
      </c>
      <c r="H447" s="7"/>
      <c r="I447" s="35" t="str">
        <f t="shared" si="78"/>
        <v>120922</v>
      </c>
      <c r="J447" s="31" t="str">
        <f t="shared" si="79"/>
        <v>12</v>
      </c>
      <c r="N447" s="12" t="str">
        <f t="shared" si="80"/>
        <v>1</v>
      </c>
      <c r="O447" s="11" t="str">
        <f t="shared" si="91"/>
        <v>2</v>
      </c>
      <c r="P447" s="11" t="str">
        <f t="shared" si="82"/>
        <v>1</v>
      </c>
      <c r="Q447" s="11" t="str">
        <f t="shared" si="83"/>
        <v>2</v>
      </c>
      <c r="R447" s="11" t="str">
        <f t="shared" si="84"/>
        <v>0</v>
      </c>
      <c r="S447" s="11" t="str">
        <f t="shared" si="85"/>
        <v>9</v>
      </c>
      <c r="T447" s="11" t="str">
        <f t="shared" si="86"/>
        <v>2</v>
      </c>
      <c r="U447" s="11" t="str">
        <f t="shared" si="87"/>
        <v>2</v>
      </c>
      <c r="V447" s="11" t="str">
        <f t="shared" si="88"/>
        <v>0</v>
      </c>
      <c r="W447" s="11" t="str">
        <f t="shared" si="89"/>
        <v>0</v>
      </c>
      <c r="X447" s="11" t="str">
        <f t="shared" si="90"/>
        <v>2</v>
      </c>
    </row>
    <row r="448" spans="1:24" x14ac:dyDescent="0.35">
      <c r="A448" s="5">
        <v>14308</v>
      </c>
      <c r="B448" s="5">
        <v>12120922003</v>
      </c>
      <c r="C448" s="5">
        <v>725514</v>
      </c>
      <c r="D448" s="5">
        <v>3764478</v>
      </c>
      <c r="E448" s="6" t="s">
        <v>70</v>
      </c>
      <c r="F448" s="6" t="s">
        <v>71</v>
      </c>
      <c r="G448" s="6" t="s">
        <v>71</v>
      </c>
      <c r="H448" s="7"/>
      <c r="I448" s="35" t="str">
        <f t="shared" si="78"/>
        <v>120922</v>
      </c>
      <c r="J448" s="31" t="str">
        <f t="shared" si="79"/>
        <v>12</v>
      </c>
      <c r="N448" s="12" t="str">
        <f t="shared" si="80"/>
        <v>1</v>
      </c>
      <c r="O448" s="11" t="str">
        <f t="shared" si="91"/>
        <v>2</v>
      </c>
      <c r="P448" s="11" t="str">
        <f t="shared" si="82"/>
        <v>1</v>
      </c>
      <c r="Q448" s="11" t="str">
        <f t="shared" si="83"/>
        <v>2</v>
      </c>
      <c r="R448" s="11" t="str">
        <f t="shared" si="84"/>
        <v>0</v>
      </c>
      <c r="S448" s="11" t="str">
        <f t="shared" si="85"/>
        <v>9</v>
      </c>
      <c r="T448" s="11" t="str">
        <f t="shared" si="86"/>
        <v>2</v>
      </c>
      <c r="U448" s="11" t="str">
        <f t="shared" si="87"/>
        <v>2</v>
      </c>
      <c r="V448" s="11" t="str">
        <f t="shared" si="88"/>
        <v>0</v>
      </c>
      <c r="W448" s="11" t="str">
        <f t="shared" si="89"/>
        <v>0</v>
      </c>
      <c r="X448" s="11" t="str">
        <f t="shared" si="90"/>
        <v>3</v>
      </c>
    </row>
    <row r="449" spans="1:24" x14ac:dyDescent="0.35">
      <c r="A449" s="5">
        <v>14309</v>
      </c>
      <c r="B449" s="5">
        <v>12120922004</v>
      </c>
      <c r="C449" s="5">
        <v>725596</v>
      </c>
      <c r="D449" s="5">
        <v>3764474</v>
      </c>
      <c r="E449" s="6" t="s">
        <v>70</v>
      </c>
      <c r="F449" s="6" t="s">
        <v>71</v>
      </c>
      <c r="G449" s="6" t="s">
        <v>71</v>
      </c>
      <c r="H449" s="7"/>
      <c r="I449" s="35" t="str">
        <f t="shared" si="78"/>
        <v>120922</v>
      </c>
      <c r="J449" s="31" t="str">
        <f t="shared" si="79"/>
        <v>12</v>
      </c>
      <c r="N449" s="12" t="str">
        <f t="shared" si="80"/>
        <v>1</v>
      </c>
      <c r="O449" s="11" t="str">
        <f t="shared" si="91"/>
        <v>2</v>
      </c>
      <c r="P449" s="11" t="str">
        <f t="shared" si="82"/>
        <v>1</v>
      </c>
      <c r="Q449" s="11" t="str">
        <f t="shared" si="83"/>
        <v>2</v>
      </c>
      <c r="R449" s="11" t="str">
        <f t="shared" si="84"/>
        <v>0</v>
      </c>
      <c r="S449" s="11" t="str">
        <f t="shared" si="85"/>
        <v>9</v>
      </c>
      <c r="T449" s="11" t="str">
        <f t="shared" si="86"/>
        <v>2</v>
      </c>
      <c r="U449" s="11" t="str">
        <f t="shared" si="87"/>
        <v>2</v>
      </c>
      <c r="V449" s="11" t="str">
        <f t="shared" si="88"/>
        <v>0</v>
      </c>
      <c r="W449" s="11" t="str">
        <f t="shared" si="89"/>
        <v>0</v>
      </c>
      <c r="X449" s="11" t="str">
        <f t="shared" si="90"/>
        <v>4</v>
      </c>
    </row>
    <row r="450" spans="1:24" x14ac:dyDescent="0.35">
      <c r="A450" s="5">
        <v>14310</v>
      </c>
      <c r="B450" s="5">
        <v>12120922005</v>
      </c>
      <c r="C450" s="5">
        <v>725633</v>
      </c>
      <c r="D450" s="5">
        <v>3764473</v>
      </c>
      <c r="E450" s="6" t="s">
        <v>70</v>
      </c>
      <c r="F450" s="6" t="s">
        <v>71</v>
      </c>
      <c r="G450" s="6" t="s">
        <v>71</v>
      </c>
      <c r="H450" s="7"/>
      <c r="I450" s="35" t="str">
        <f t="shared" si="78"/>
        <v>120922</v>
      </c>
      <c r="J450" s="31" t="str">
        <f t="shared" si="79"/>
        <v>12</v>
      </c>
      <c r="N450" s="12" t="str">
        <f t="shared" si="80"/>
        <v>1</v>
      </c>
      <c r="O450" s="11" t="str">
        <f t="shared" si="91"/>
        <v>2</v>
      </c>
      <c r="P450" s="11" t="str">
        <f t="shared" si="82"/>
        <v>1</v>
      </c>
      <c r="Q450" s="11" t="str">
        <f t="shared" si="83"/>
        <v>2</v>
      </c>
      <c r="R450" s="11" t="str">
        <f t="shared" si="84"/>
        <v>0</v>
      </c>
      <c r="S450" s="11" t="str">
        <f t="shared" si="85"/>
        <v>9</v>
      </c>
      <c r="T450" s="11" t="str">
        <f t="shared" si="86"/>
        <v>2</v>
      </c>
      <c r="U450" s="11" t="str">
        <f t="shared" si="87"/>
        <v>2</v>
      </c>
      <c r="V450" s="11" t="str">
        <f t="shared" si="88"/>
        <v>0</v>
      </c>
      <c r="W450" s="11" t="str">
        <f t="shared" si="89"/>
        <v>0</v>
      </c>
      <c r="X450" s="11" t="str">
        <f t="shared" si="90"/>
        <v>5</v>
      </c>
    </row>
    <row r="451" spans="1:24" x14ac:dyDescent="0.35">
      <c r="A451" s="5">
        <v>14311</v>
      </c>
      <c r="B451" s="5">
        <v>12120922006</v>
      </c>
      <c r="C451" s="5">
        <v>725669</v>
      </c>
      <c r="D451" s="5">
        <v>3764471</v>
      </c>
      <c r="E451" s="6" t="s">
        <v>70</v>
      </c>
      <c r="F451" s="6" t="s">
        <v>71</v>
      </c>
      <c r="G451" s="6" t="s">
        <v>71</v>
      </c>
      <c r="H451" s="7"/>
      <c r="I451" s="35" t="str">
        <f t="shared" ref="I451:I514" si="92">MID(B451,IF(LEN(B451)=10,2,3),6)</f>
        <v>120922</v>
      </c>
      <c r="J451" s="31" t="str">
        <f t="shared" ref="J451:J514" si="93">TEXT(MID(B451,1,IF(LEN(B451)=10,1,2)),"00")</f>
        <v>12</v>
      </c>
      <c r="N451" s="12" t="str">
        <f t="shared" ref="N451:N514" si="94">IFERROR(MID($B451,LEN($B451)-10,1),0)</f>
        <v>1</v>
      </c>
      <c r="O451" s="11" t="str">
        <f t="shared" ref="O451:O492" si="95">MID($B451,LEN($B451)-9,1)</f>
        <v>2</v>
      </c>
      <c r="P451" s="11" t="str">
        <f t="shared" ref="P451:P514" si="96">MID($B451,LEN($B451)-8,1)</f>
        <v>1</v>
      </c>
      <c r="Q451" s="11" t="str">
        <f t="shared" ref="Q451:Q514" si="97">MID($B451,LEN($B451)-7,1)</f>
        <v>2</v>
      </c>
      <c r="R451" s="11" t="str">
        <f t="shared" ref="R451:R514" si="98">MID($B451,LEN($B451)-6,1)</f>
        <v>0</v>
      </c>
      <c r="S451" s="11" t="str">
        <f t="shared" ref="S451:S514" si="99">MID($B451,LEN($B451)-5,1)</f>
        <v>9</v>
      </c>
      <c r="T451" s="11" t="str">
        <f t="shared" ref="T451:T514" si="100">MID($B451,LEN($B451)-4,1)</f>
        <v>2</v>
      </c>
      <c r="U451" s="11" t="str">
        <f t="shared" ref="U451:U514" si="101">MID($B451,LEN($B451)-3,1)</f>
        <v>2</v>
      </c>
      <c r="V451" s="11" t="str">
        <f t="shared" ref="V451:V514" si="102">MID($B451,LEN($B451)-2,1)</f>
        <v>0</v>
      </c>
      <c r="W451" s="11" t="str">
        <f t="shared" ref="W451:W514" si="103">MID($B451,LEN($B451)-1,1)</f>
        <v>0</v>
      </c>
      <c r="X451" s="11" t="str">
        <f t="shared" ref="X451:X514" si="104">MID($B451,LEN($B451)-0,1)</f>
        <v>6</v>
      </c>
    </row>
    <row r="452" spans="1:24" x14ac:dyDescent="0.35">
      <c r="A452" s="5">
        <v>14312</v>
      </c>
      <c r="B452" s="5">
        <v>12120922007</v>
      </c>
      <c r="C452" s="5">
        <v>725678</v>
      </c>
      <c r="D452" s="5">
        <v>3764424</v>
      </c>
      <c r="E452" s="6" t="s">
        <v>70</v>
      </c>
      <c r="F452" s="6" t="s">
        <v>71</v>
      </c>
      <c r="G452" s="6" t="s">
        <v>71</v>
      </c>
      <c r="H452" s="7"/>
      <c r="I452" s="35" t="str">
        <f t="shared" si="92"/>
        <v>120922</v>
      </c>
      <c r="J452" s="31" t="str">
        <f t="shared" si="93"/>
        <v>12</v>
      </c>
      <c r="N452" s="12" t="str">
        <f t="shared" si="94"/>
        <v>1</v>
      </c>
      <c r="O452" s="11" t="str">
        <f t="shared" si="95"/>
        <v>2</v>
      </c>
      <c r="P452" s="11" t="str">
        <f t="shared" si="96"/>
        <v>1</v>
      </c>
      <c r="Q452" s="11" t="str">
        <f t="shared" si="97"/>
        <v>2</v>
      </c>
      <c r="R452" s="11" t="str">
        <f t="shared" si="98"/>
        <v>0</v>
      </c>
      <c r="S452" s="11" t="str">
        <f t="shared" si="99"/>
        <v>9</v>
      </c>
      <c r="T452" s="11" t="str">
        <f t="shared" si="100"/>
        <v>2</v>
      </c>
      <c r="U452" s="11" t="str">
        <f t="shared" si="101"/>
        <v>2</v>
      </c>
      <c r="V452" s="11" t="str">
        <f t="shared" si="102"/>
        <v>0</v>
      </c>
      <c r="W452" s="11" t="str">
        <f t="shared" si="103"/>
        <v>0</v>
      </c>
      <c r="X452" s="11" t="str">
        <f t="shared" si="104"/>
        <v>7</v>
      </c>
    </row>
    <row r="453" spans="1:24" x14ac:dyDescent="0.35">
      <c r="A453" s="5">
        <v>14313</v>
      </c>
      <c r="B453" s="5">
        <v>12120922008</v>
      </c>
      <c r="C453" s="5">
        <v>725676</v>
      </c>
      <c r="D453" s="5">
        <v>3764366</v>
      </c>
      <c r="E453" s="6" t="s">
        <v>70</v>
      </c>
      <c r="F453" s="6" t="s">
        <v>71</v>
      </c>
      <c r="G453" s="6" t="s">
        <v>71</v>
      </c>
      <c r="H453" s="7"/>
      <c r="I453" s="35" t="str">
        <f t="shared" si="92"/>
        <v>120922</v>
      </c>
      <c r="J453" s="31" t="str">
        <f t="shared" si="93"/>
        <v>12</v>
      </c>
      <c r="N453" s="12" t="str">
        <f t="shared" si="94"/>
        <v>1</v>
      </c>
      <c r="O453" s="11" t="str">
        <f t="shared" si="95"/>
        <v>2</v>
      </c>
      <c r="P453" s="11" t="str">
        <f t="shared" si="96"/>
        <v>1</v>
      </c>
      <c r="Q453" s="11" t="str">
        <f t="shared" si="97"/>
        <v>2</v>
      </c>
      <c r="R453" s="11" t="str">
        <f t="shared" si="98"/>
        <v>0</v>
      </c>
      <c r="S453" s="11" t="str">
        <f t="shared" si="99"/>
        <v>9</v>
      </c>
      <c r="T453" s="11" t="str">
        <f t="shared" si="100"/>
        <v>2</v>
      </c>
      <c r="U453" s="11" t="str">
        <f t="shared" si="101"/>
        <v>2</v>
      </c>
      <c r="V453" s="11" t="str">
        <f t="shared" si="102"/>
        <v>0</v>
      </c>
      <c r="W453" s="11" t="str">
        <f t="shared" si="103"/>
        <v>0</v>
      </c>
      <c r="X453" s="11" t="str">
        <f t="shared" si="104"/>
        <v>8</v>
      </c>
    </row>
    <row r="454" spans="1:24" x14ac:dyDescent="0.35">
      <c r="A454" s="5">
        <v>14314</v>
      </c>
      <c r="B454" s="5">
        <v>12120922009</v>
      </c>
      <c r="C454" s="5">
        <v>725678</v>
      </c>
      <c r="D454" s="5">
        <v>3764366</v>
      </c>
      <c r="E454" s="6" t="s">
        <v>70</v>
      </c>
      <c r="F454" s="6" t="s">
        <v>71</v>
      </c>
      <c r="G454" s="6" t="s">
        <v>71</v>
      </c>
      <c r="H454" s="7"/>
      <c r="I454" s="35" t="str">
        <f t="shared" si="92"/>
        <v>120922</v>
      </c>
      <c r="J454" s="31" t="str">
        <f t="shared" si="93"/>
        <v>12</v>
      </c>
      <c r="N454" s="12" t="str">
        <f t="shared" si="94"/>
        <v>1</v>
      </c>
      <c r="O454" s="11" t="str">
        <f t="shared" si="95"/>
        <v>2</v>
      </c>
      <c r="P454" s="11" t="str">
        <f t="shared" si="96"/>
        <v>1</v>
      </c>
      <c r="Q454" s="11" t="str">
        <f t="shared" si="97"/>
        <v>2</v>
      </c>
      <c r="R454" s="11" t="str">
        <f t="shared" si="98"/>
        <v>0</v>
      </c>
      <c r="S454" s="11" t="str">
        <f t="shared" si="99"/>
        <v>9</v>
      </c>
      <c r="T454" s="11" t="str">
        <f t="shared" si="100"/>
        <v>2</v>
      </c>
      <c r="U454" s="11" t="str">
        <f t="shared" si="101"/>
        <v>2</v>
      </c>
      <c r="V454" s="11" t="str">
        <f t="shared" si="102"/>
        <v>0</v>
      </c>
      <c r="W454" s="11" t="str">
        <f t="shared" si="103"/>
        <v>0</v>
      </c>
      <c r="X454" s="11" t="str">
        <f t="shared" si="104"/>
        <v>9</v>
      </c>
    </row>
    <row r="455" spans="1:24" x14ac:dyDescent="0.35">
      <c r="A455" s="5">
        <v>14315</v>
      </c>
      <c r="B455" s="5">
        <v>12120922010</v>
      </c>
      <c r="C455" s="5">
        <v>725676</v>
      </c>
      <c r="D455" s="5">
        <v>3764367</v>
      </c>
      <c r="E455" s="6" t="s">
        <v>70</v>
      </c>
      <c r="F455" s="6" t="s">
        <v>71</v>
      </c>
      <c r="G455" s="6" t="s">
        <v>71</v>
      </c>
      <c r="H455" s="7"/>
      <c r="I455" s="35" t="str">
        <f t="shared" si="92"/>
        <v>120922</v>
      </c>
      <c r="J455" s="31" t="str">
        <f t="shared" si="93"/>
        <v>12</v>
      </c>
      <c r="N455" s="12" t="str">
        <f t="shared" si="94"/>
        <v>1</v>
      </c>
      <c r="O455" s="11" t="str">
        <f t="shared" si="95"/>
        <v>2</v>
      </c>
      <c r="P455" s="11" t="str">
        <f t="shared" si="96"/>
        <v>1</v>
      </c>
      <c r="Q455" s="11" t="str">
        <f t="shared" si="97"/>
        <v>2</v>
      </c>
      <c r="R455" s="11" t="str">
        <f t="shared" si="98"/>
        <v>0</v>
      </c>
      <c r="S455" s="11" t="str">
        <f t="shared" si="99"/>
        <v>9</v>
      </c>
      <c r="T455" s="11" t="str">
        <f t="shared" si="100"/>
        <v>2</v>
      </c>
      <c r="U455" s="11" t="str">
        <f t="shared" si="101"/>
        <v>2</v>
      </c>
      <c r="V455" s="11" t="str">
        <f t="shared" si="102"/>
        <v>0</v>
      </c>
      <c r="W455" s="11" t="str">
        <f t="shared" si="103"/>
        <v>1</v>
      </c>
      <c r="X455" s="11" t="str">
        <f t="shared" si="104"/>
        <v>0</v>
      </c>
    </row>
    <row r="456" spans="1:24" x14ac:dyDescent="0.35">
      <c r="A456" s="5">
        <v>14316</v>
      </c>
      <c r="B456" s="5">
        <v>12120922011</v>
      </c>
      <c r="C456" s="5">
        <v>725675</v>
      </c>
      <c r="D456" s="5">
        <v>3764332</v>
      </c>
      <c r="E456" s="6" t="s">
        <v>70</v>
      </c>
      <c r="F456" s="6" t="s">
        <v>71</v>
      </c>
      <c r="G456" s="6" t="s">
        <v>71</v>
      </c>
      <c r="H456" s="7"/>
      <c r="I456" s="35" t="str">
        <f t="shared" si="92"/>
        <v>120922</v>
      </c>
      <c r="J456" s="31" t="str">
        <f t="shared" si="93"/>
        <v>12</v>
      </c>
      <c r="N456" s="12" t="str">
        <f t="shared" si="94"/>
        <v>1</v>
      </c>
      <c r="O456" s="11" t="str">
        <f t="shared" si="95"/>
        <v>2</v>
      </c>
      <c r="P456" s="11" t="str">
        <f t="shared" si="96"/>
        <v>1</v>
      </c>
      <c r="Q456" s="11" t="str">
        <f t="shared" si="97"/>
        <v>2</v>
      </c>
      <c r="R456" s="11" t="str">
        <f t="shared" si="98"/>
        <v>0</v>
      </c>
      <c r="S456" s="11" t="str">
        <f t="shared" si="99"/>
        <v>9</v>
      </c>
      <c r="T456" s="11" t="str">
        <f t="shared" si="100"/>
        <v>2</v>
      </c>
      <c r="U456" s="11" t="str">
        <f t="shared" si="101"/>
        <v>2</v>
      </c>
      <c r="V456" s="11" t="str">
        <f t="shared" si="102"/>
        <v>0</v>
      </c>
      <c r="W456" s="11" t="str">
        <f t="shared" si="103"/>
        <v>1</v>
      </c>
      <c r="X456" s="11" t="str">
        <f t="shared" si="104"/>
        <v>1</v>
      </c>
    </row>
    <row r="457" spans="1:24" x14ac:dyDescent="0.35">
      <c r="A457" s="5">
        <v>14317</v>
      </c>
      <c r="B457" s="5">
        <v>12120922012</v>
      </c>
      <c r="C457" s="5">
        <v>725725</v>
      </c>
      <c r="D457" s="5">
        <v>3764340</v>
      </c>
      <c r="E457" s="6" t="s">
        <v>70</v>
      </c>
      <c r="F457" s="6" t="s">
        <v>71</v>
      </c>
      <c r="G457" s="6" t="s">
        <v>71</v>
      </c>
      <c r="H457" s="7"/>
      <c r="I457" s="35" t="str">
        <f t="shared" si="92"/>
        <v>120922</v>
      </c>
      <c r="J457" s="31" t="str">
        <f t="shared" si="93"/>
        <v>12</v>
      </c>
      <c r="N457" s="12" t="str">
        <f t="shared" si="94"/>
        <v>1</v>
      </c>
      <c r="O457" s="11" t="str">
        <f t="shared" si="95"/>
        <v>2</v>
      </c>
      <c r="P457" s="11" t="str">
        <f t="shared" si="96"/>
        <v>1</v>
      </c>
      <c r="Q457" s="11" t="str">
        <f t="shared" si="97"/>
        <v>2</v>
      </c>
      <c r="R457" s="11" t="str">
        <f t="shared" si="98"/>
        <v>0</v>
      </c>
      <c r="S457" s="11" t="str">
        <f t="shared" si="99"/>
        <v>9</v>
      </c>
      <c r="T457" s="11" t="str">
        <f t="shared" si="100"/>
        <v>2</v>
      </c>
      <c r="U457" s="11" t="str">
        <f t="shared" si="101"/>
        <v>2</v>
      </c>
      <c r="V457" s="11" t="str">
        <f t="shared" si="102"/>
        <v>0</v>
      </c>
      <c r="W457" s="11" t="str">
        <f t="shared" si="103"/>
        <v>1</v>
      </c>
      <c r="X457" s="11" t="str">
        <f t="shared" si="104"/>
        <v>2</v>
      </c>
    </row>
    <row r="458" spans="1:24" x14ac:dyDescent="0.35">
      <c r="A458" s="5">
        <v>14318</v>
      </c>
      <c r="B458" s="5">
        <v>12120922013</v>
      </c>
      <c r="C458" s="5">
        <v>725741</v>
      </c>
      <c r="D458" s="5">
        <v>3764380</v>
      </c>
      <c r="E458" s="6" t="s">
        <v>70</v>
      </c>
      <c r="F458" s="6" t="s">
        <v>71</v>
      </c>
      <c r="G458" s="6" t="s">
        <v>71</v>
      </c>
      <c r="H458" s="7"/>
      <c r="I458" s="35" t="str">
        <f t="shared" si="92"/>
        <v>120922</v>
      </c>
      <c r="J458" s="31" t="str">
        <f t="shared" si="93"/>
        <v>12</v>
      </c>
      <c r="N458" s="12" t="str">
        <f t="shared" si="94"/>
        <v>1</v>
      </c>
      <c r="O458" s="11" t="str">
        <f t="shared" si="95"/>
        <v>2</v>
      </c>
      <c r="P458" s="11" t="str">
        <f t="shared" si="96"/>
        <v>1</v>
      </c>
      <c r="Q458" s="11" t="str">
        <f t="shared" si="97"/>
        <v>2</v>
      </c>
      <c r="R458" s="11" t="str">
        <f t="shared" si="98"/>
        <v>0</v>
      </c>
      <c r="S458" s="11" t="str">
        <f t="shared" si="99"/>
        <v>9</v>
      </c>
      <c r="T458" s="11" t="str">
        <f t="shared" si="100"/>
        <v>2</v>
      </c>
      <c r="U458" s="11" t="str">
        <f t="shared" si="101"/>
        <v>2</v>
      </c>
      <c r="V458" s="11" t="str">
        <f t="shared" si="102"/>
        <v>0</v>
      </c>
      <c r="W458" s="11" t="str">
        <f t="shared" si="103"/>
        <v>1</v>
      </c>
      <c r="X458" s="11" t="str">
        <f t="shared" si="104"/>
        <v>3</v>
      </c>
    </row>
    <row r="459" spans="1:24" x14ac:dyDescent="0.35">
      <c r="A459" s="5">
        <v>14319</v>
      </c>
      <c r="B459" s="5">
        <v>12120922014</v>
      </c>
      <c r="C459" s="5">
        <v>725741</v>
      </c>
      <c r="D459" s="5">
        <v>3764421</v>
      </c>
      <c r="E459" s="6" t="s">
        <v>70</v>
      </c>
      <c r="F459" s="6" t="s">
        <v>71</v>
      </c>
      <c r="G459" s="6" t="s">
        <v>71</v>
      </c>
      <c r="H459" s="7"/>
      <c r="I459" s="35" t="str">
        <f t="shared" si="92"/>
        <v>120922</v>
      </c>
      <c r="J459" s="31" t="str">
        <f t="shared" si="93"/>
        <v>12</v>
      </c>
      <c r="N459" s="12" t="str">
        <f t="shared" si="94"/>
        <v>1</v>
      </c>
      <c r="O459" s="11" t="str">
        <f t="shared" si="95"/>
        <v>2</v>
      </c>
      <c r="P459" s="11" t="str">
        <f t="shared" si="96"/>
        <v>1</v>
      </c>
      <c r="Q459" s="11" t="str">
        <f t="shared" si="97"/>
        <v>2</v>
      </c>
      <c r="R459" s="11" t="str">
        <f t="shared" si="98"/>
        <v>0</v>
      </c>
      <c r="S459" s="11" t="str">
        <f t="shared" si="99"/>
        <v>9</v>
      </c>
      <c r="T459" s="11" t="str">
        <f t="shared" si="100"/>
        <v>2</v>
      </c>
      <c r="U459" s="11" t="str">
        <f t="shared" si="101"/>
        <v>2</v>
      </c>
      <c r="V459" s="11" t="str">
        <f t="shared" si="102"/>
        <v>0</v>
      </c>
      <c r="W459" s="11" t="str">
        <f t="shared" si="103"/>
        <v>1</v>
      </c>
      <c r="X459" s="11" t="str">
        <f t="shared" si="104"/>
        <v>4</v>
      </c>
    </row>
    <row r="460" spans="1:24" x14ac:dyDescent="0.35">
      <c r="A460" s="5">
        <v>14320</v>
      </c>
      <c r="B460" s="5">
        <v>12120922015</v>
      </c>
      <c r="C460" s="5">
        <v>725743</v>
      </c>
      <c r="D460" s="5">
        <v>3764456</v>
      </c>
      <c r="E460" s="6" t="s">
        <v>70</v>
      </c>
      <c r="F460" s="6" t="s">
        <v>71</v>
      </c>
      <c r="G460" s="6" t="s">
        <v>71</v>
      </c>
      <c r="H460" s="7"/>
      <c r="I460" s="35" t="str">
        <f t="shared" si="92"/>
        <v>120922</v>
      </c>
      <c r="J460" s="31" t="str">
        <f t="shared" si="93"/>
        <v>12</v>
      </c>
      <c r="N460" s="12" t="str">
        <f t="shared" si="94"/>
        <v>1</v>
      </c>
      <c r="O460" s="11" t="str">
        <f t="shared" si="95"/>
        <v>2</v>
      </c>
      <c r="P460" s="11" t="str">
        <f t="shared" si="96"/>
        <v>1</v>
      </c>
      <c r="Q460" s="11" t="str">
        <f t="shared" si="97"/>
        <v>2</v>
      </c>
      <c r="R460" s="11" t="str">
        <f t="shared" si="98"/>
        <v>0</v>
      </c>
      <c r="S460" s="11" t="str">
        <f t="shared" si="99"/>
        <v>9</v>
      </c>
      <c r="T460" s="11" t="str">
        <f t="shared" si="100"/>
        <v>2</v>
      </c>
      <c r="U460" s="11" t="str">
        <f t="shared" si="101"/>
        <v>2</v>
      </c>
      <c r="V460" s="11" t="str">
        <f t="shared" si="102"/>
        <v>0</v>
      </c>
      <c r="W460" s="11" t="str">
        <f t="shared" si="103"/>
        <v>1</v>
      </c>
      <c r="X460" s="11" t="str">
        <f t="shared" si="104"/>
        <v>5</v>
      </c>
    </row>
    <row r="461" spans="1:24" x14ac:dyDescent="0.35">
      <c r="A461" s="5">
        <v>14321</v>
      </c>
      <c r="B461" s="5">
        <v>12120922016</v>
      </c>
      <c r="C461" s="5">
        <v>725770</v>
      </c>
      <c r="D461" s="5">
        <v>3764466</v>
      </c>
      <c r="E461" s="6" t="s">
        <v>70</v>
      </c>
      <c r="F461" s="6" t="s">
        <v>71</v>
      </c>
      <c r="G461" s="6" t="s">
        <v>71</v>
      </c>
      <c r="H461" s="7"/>
      <c r="I461" s="35" t="str">
        <f t="shared" si="92"/>
        <v>120922</v>
      </c>
      <c r="J461" s="31" t="str">
        <f t="shared" si="93"/>
        <v>12</v>
      </c>
      <c r="N461" s="12" t="str">
        <f t="shared" si="94"/>
        <v>1</v>
      </c>
      <c r="O461" s="11" t="str">
        <f t="shared" si="95"/>
        <v>2</v>
      </c>
      <c r="P461" s="11" t="str">
        <f t="shared" si="96"/>
        <v>1</v>
      </c>
      <c r="Q461" s="11" t="str">
        <f t="shared" si="97"/>
        <v>2</v>
      </c>
      <c r="R461" s="11" t="str">
        <f t="shared" si="98"/>
        <v>0</v>
      </c>
      <c r="S461" s="11" t="str">
        <f t="shared" si="99"/>
        <v>9</v>
      </c>
      <c r="T461" s="11" t="str">
        <f t="shared" si="100"/>
        <v>2</v>
      </c>
      <c r="U461" s="11" t="str">
        <f t="shared" si="101"/>
        <v>2</v>
      </c>
      <c r="V461" s="11" t="str">
        <f t="shared" si="102"/>
        <v>0</v>
      </c>
      <c r="W461" s="11" t="str">
        <f t="shared" si="103"/>
        <v>1</v>
      </c>
      <c r="X461" s="11" t="str">
        <f t="shared" si="104"/>
        <v>6</v>
      </c>
    </row>
    <row r="462" spans="1:24" x14ac:dyDescent="0.35">
      <c r="A462" s="5">
        <v>14322</v>
      </c>
      <c r="B462" s="5">
        <v>12120922017</v>
      </c>
      <c r="C462" s="5">
        <v>725830</v>
      </c>
      <c r="D462" s="5">
        <v>3764468</v>
      </c>
      <c r="E462" s="6" t="s">
        <v>70</v>
      </c>
      <c r="F462" s="6" t="s">
        <v>71</v>
      </c>
      <c r="G462" s="6" t="s">
        <v>71</v>
      </c>
      <c r="H462" s="7"/>
      <c r="I462" s="35" t="str">
        <f t="shared" si="92"/>
        <v>120922</v>
      </c>
      <c r="J462" s="31" t="str">
        <f t="shared" si="93"/>
        <v>12</v>
      </c>
      <c r="N462" s="12" t="str">
        <f t="shared" si="94"/>
        <v>1</v>
      </c>
      <c r="O462" s="11" t="str">
        <f t="shared" si="95"/>
        <v>2</v>
      </c>
      <c r="P462" s="11" t="str">
        <f t="shared" si="96"/>
        <v>1</v>
      </c>
      <c r="Q462" s="11" t="str">
        <f t="shared" si="97"/>
        <v>2</v>
      </c>
      <c r="R462" s="11" t="str">
        <f t="shared" si="98"/>
        <v>0</v>
      </c>
      <c r="S462" s="11" t="str">
        <f t="shared" si="99"/>
        <v>9</v>
      </c>
      <c r="T462" s="11" t="str">
        <f t="shared" si="100"/>
        <v>2</v>
      </c>
      <c r="U462" s="11" t="str">
        <f t="shared" si="101"/>
        <v>2</v>
      </c>
      <c r="V462" s="11" t="str">
        <f t="shared" si="102"/>
        <v>0</v>
      </c>
      <c r="W462" s="11" t="str">
        <f t="shared" si="103"/>
        <v>1</v>
      </c>
      <c r="X462" s="11" t="str">
        <f t="shared" si="104"/>
        <v>7</v>
      </c>
    </row>
    <row r="463" spans="1:24" x14ac:dyDescent="0.35">
      <c r="A463" s="5">
        <v>14323</v>
      </c>
      <c r="B463" s="5">
        <v>12120922018</v>
      </c>
      <c r="C463" s="5">
        <v>725906</v>
      </c>
      <c r="D463" s="5">
        <v>3764466</v>
      </c>
      <c r="E463" s="6" t="s">
        <v>70</v>
      </c>
      <c r="F463" s="6" t="s">
        <v>71</v>
      </c>
      <c r="G463" s="6" t="s">
        <v>71</v>
      </c>
      <c r="H463" s="7"/>
      <c r="I463" s="35" t="str">
        <f t="shared" si="92"/>
        <v>120922</v>
      </c>
      <c r="J463" s="31" t="str">
        <f t="shared" si="93"/>
        <v>12</v>
      </c>
      <c r="N463" s="12" t="str">
        <f t="shared" si="94"/>
        <v>1</v>
      </c>
      <c r="O463" s="11" t="str">
        <f t="shared" si="95"/>
        <v>2</v>
      </c>
      <c r="P463" s="11" t="str">
        <f t="shared" si="96"/>
        <v>1</v>
      </c>
      <c r="Q463" s="11" t="str">
        <f t="shared" si="97"/>
        <v>2</v>
      </c>
      <c r="R463" s="11" t="str">
        <f t="shared" si="98"/>
        <v>0</v>
      </c>
      <c r="S463" s="11" t="str">
        <f t="shared" si="99"/>
        <v>9</v>
      </c>
      <c r="T463" s="11" t="str">
        <f t="shared" si="100"/>
        <v>2</v>
      </c>
      <c r="U463" s="11" t="str">
        <f t="shared" si="101"/>
        <v>2</v>
      </c>
      <c r="V463" s="11" t="str">
        <f t="shared" si="102"/>
        <v>0</v>
      </c>
      <c r="W463" s="11" t="str">
        <f t="shared" si="103"/>
        <v>1</v>
      </c>
      <c r="X463" s="11" t="str">
        <f t="shared" si="104"/>
        <v>8</v>
      </c>
    </row>
    <row r="464" spans="1:24" x14ac:dyDescent="0.35">
      <c r="A464" s="5">
        <v>14324</v>
      </c>
      <c r="B464" s="5">
        <v>12120922019</v>
      </c>
      <c r="C464" s="5">
        <v>725983</v>
      </c>
      <c r="D464" s="5">
        <v>3764466</v>
      </c>
      <c r="E464" s="6" t="s">
        <v>70</v>
      </c>
      <c r="F464" s="6" t="s">
        <v>71</v>
      </c>
      <c r="G464" s="6" t="s">
        <v>71</v>
      </c>
      <c r="H464" s="7"/>
      <c r="I464" s="35" t="str">
        <f t="shared" si="92"/>
        <v>120922</v>
      </c>
      <c r="J464" s="31" t="str">
        <f t="shared" si="93"/>
        <v>12</v>
      </c>
      <c r="N464" s="12" t="str">
        <f t="shared" si="94"/>
        <v>1</v>
      </c>
      <c r="O464" s="11" t="str">
        <f t="shared" si="95"/>
        <v>2</v>
      </c>
      <c r="P464" s="11" t="str">
        <f t="shared" si="96"/>
        <v>1</v>
      </c>
      <c r="Q464" s="11" t="str">
        <f t="shared" si="97"/>
        <v>2</v>
      </c>
      <c r="R464" s="11" t="str">
        <f t="shared" si="98"/>
        <v>0</v>
      </c>
      <c r="S464" s="11" t="str">
        <f t="shared" si="99"/>
        <v>9</v>
      </c>
      <c r="T464" s="11" t="str">
        <f t="shared" si="100"/>
        <v>2</v>
      </c>
      <c r="U464" s="11" t="str">
        <f t="shared" si="101"/>
        <v>2</v>
      </c>
      <c r="V464" s="11" t="str">
        <f t="shared" si="102"/>
        <v>0</v>
      </c>
      <c r="W464" s="11" t="str">
        <f t="shared" si="103"/>
        <v>1</v>
      </c>
      <c r="X464" s="11" t="str">
        <f t="shared" si="104"/>
        <v>9</v>
      </c>
    </row>
    <row r="465" spans="1:24" x14ac:dyDescent="0.35">
      <c r="A465" s="5">
        <v>14325</v>
      </c>
      <c r="B465" s="5">
        <v>12120922020</v>
      </c>
      <c r="C465" s="5">
        <v>726062</v>
      </c>
      <c r="D465" s="5">
        <v>3764459</v>
      </c>
      <c r="E465" s="6" t="s">
        <v>70</v>
      </c>
      <c r="F465" s="6" t="s">
        <v>71</v>
      </c>
      <c r="G465" s="6" t="s">
        <v>71</v>
      </c>
      <c r="H465" s="7"/>
      <c r="I465" s="35" t="str">
        <f t="shared" si="92"/>
        <v>120922</v>
      </c>
      <c r="J465" s="31" t="str">
        <f t="shared" si="93"/>
        <v>12</v>
      </c>
      <c r="N465" s="12" t="str">
        <f t="shared" si="94"/>
        <v>1</v>
      </c>
      <c r="O465" s="11" t="str">
        <f t="shared" si="95"/>
        <v>2</v>
      </c>
      <c r="P465" s="11" t="str">
        <f t="shared" si="96"/>
        <v>1</v>
      </c>
      <c r="Q465" s="11" t="str">
        <f t="shared" si="97"/>
        <v>2</v>
      </c>
      <c r="R465" s="11" t="str">
        <f t="shared" si="98"/>
        <v>0</v>
      </c>
      <c r="S465" s="11" t="str">
        <f t="shared" si="99"/>
        <v>9</v>
      </c>
      <c r="T465" s="11" t="str">
        <f t="shared" si="100"/>
        <v>2</v>
      </c>
      <c r="U465" s="11" t="str">
        <f t="shared" si="101"/>
        <v>2</v>
      </c>
      <c r="V465" s="11" t="str">
        <f t="shared" si="102"/>
        <v>0</v>
      </c>
      <c r="W465" s="11" t="str">
        <f t="shared" si="103"/>
        <v>2</v>
      </c>
      <c r="X465" s="11" t="str">
        <f t="shared" si="104"/>
        <v>0</v>
      </c>
    </row>
    <row r="466" spans="1:24" x14ac:dyDescent="0.35">
      <c r="A466" s="5">
        <v>14326</v>
      </c>
      <c r="B466" s="5">
        <v>12120922021</v>
      </c>
      <c r="C466" s="5">
        <v>726139</v>
      </c>
      <c r="D466" s="5">
        <v>3764459</v>
      </c>
      <c r="E466" s="6" t="s">
        <v>70</v>
      </c>
      <c r="F466" s="6" t="s">
        <v>71</v>
      </c>
      <c r="G466" s="6" t="s">
        <v>71</v>
      </c>
      <c r="H466" s="7"/>
      <c r="I466" s="35" t="str">
        <f t="shared" si="92"/>
        <v>120922</v>
      </c>
      <c r="J466" s="31" t="str">
        <f t="shared" si="93"/>
        <v>12</v>
      </c>
      <c r="N466" s="12" t="str">
        <f t="shared" si="94"/>
        <v>1</v>
      </c>
      <c r="O466" s="11" t="str">
        <f t="shared" si="95"/>
        <v>2</v>
      </c>
      <c r="P466" s="11" t="str">
        <f t="shared" si="96"/>
        <v>1</v>
      </c>
      <c r="Q466" s="11" t="str">
        <f t="shared" si="97"/>
        <v>2</v>
      </c>
      <c r="R466" s="11" t="str">
        <f t="shared" si="98"/>
        <v>0</v>
      </c>
      <c r="S466" s="11" t="str">
        <f t="shared" si="99"/>
        <v>9</v>
      </c>
      <c r="T466" s="11" t="str">
        <f t="shared" si="100"/>
        <v>2</v>
      </c>
      <c r="U466" s="11" t="str">
        <f t="shared" si="101"/>
        <v>2</v>
      </c>
      <c r="V466" s="11" t="str">
        <f t="shared" si="102"/>
        <v>0</v>
      </c>
      <c r="W466" s="11" t="str">
        <f t="shared" si="103"/>
        <v>2</v>
      </c>
      <c r="X466" s="11" t="str">
        <f t="shared" si="104"/>
        <v>1</v>
      </c>
    </row>
    <row r="467" spans="1:24" x14ac:dyDescent="0.35">
      <c r="A467" s="5">
        <v>14327</v>
      </c>
      <c r="B467" s="5">
        <v>12120922022</v>
      </c>
      <c r="C467" s="5">
        <v>726220</v>
      </c>
      <c r="D467" s="5">
        <v>3764456</v>
      </c>
      <c r="E467" s="6" t="s">
        <v>70</v>
      </c>
      <c r="F467" s="6" t="s">
        <v>71</v>
      </c>
      <c r="G467" s="6" t="s">
        <v>71</v>
      </c>
      <c r="H467" s="7"/>
      <c r="I467" s="35" t="str">
        <f t="shared" si="92"/>
        <v>120922</v>
      </c>
      <c r="J467" s="31" t="str">
        <f t="shared" si="93"/>
        <v>12</v>
      </c>
      <c r="N467" s="12" t="str">
        <f t="shared" si="94"/>
        <v>1</v>
      </c>
      <c r="O467" s="11" t="str">
        <f t="shared" si="95"/>
        <v>2</v>
      </c>
      <c r="P467" s="11" t="str">
        <f t="shared" si="96"/>
        <v>1</v>
      </c>
      <c r="Q467" s="11" t="str">
        <f t="shared" si="97"/>
        <v>2</v>
      </c>
      <c r="R467" s="11" t="str">
        <f t="shared" si="98"/>
        <v>0</v>
      </c>
      <c r="S467" s="11" t="str">
        <f t="shared" si="99"/>
        <v>9</v>
      </c>
      <c r="T467" s="11" t="str">
        <f t="shared" si="100"/>
        <v>2</v>
      </c>
      <c r="U467" s="11" t="str">
        <f t="shared" si="101"/>
        <v>2</v>
      </c>
      <c r="V467" s="11" t="str">
        <f t="shared" si="102"/>
        <v>0</v>
      </c>
      <c r="W467" s="11" t="str">
        <f t="shared" si="103"/>
        <v>2</v>
      </c>
      <c r="X467" s="11" t="str">
        <f t="shared" si="104"/>
        <v>2</v>
      </c>
    </row>
    <row r="468" spans="1:24" x14ac:dyDescent="0.35">
      <c r="A468" s="5">
        <v>14328</v>
      </c>
      <c r="B468" s="5">
        <v>12120922023</v>
      </c>
      <c r="C468" s="5">
        <v>726302</v>
      </c>
      <c r="D468" s="5">
        <v>3764450</v>
      </c>
      <c r="E468" s="6" t="s">
        <v>70</v>
      </c>
      <c r="F468" s="6" t="s">
        <v>71</v>
      </c>
      <c r="G468" s="6" t="s">
        <v>71</v>
      </c>
      <c r="H468" s="7"/>
      <c r="I468" s="35" t="str">
        <f t="shared" si="92"/>
        <v>120922</v>
      </c>
      <c r="J468" s="31" t="str">
        <f t="shared" si="93"/>
        <v>12</v>
      </c>
      <c r="N468" s="12" t="str">
        <f t="shared" si="94"/>
        <v>1</v>
      </c>
      <c r="O468" s="11" t="str">
        <f t="shared" si="95"/>
        <v>2</v>
      </c>
      <c r="P468" s="11" t="str">
        <f t="shared" si="96"/>
        <v>1</v>
      </c>
      <c r="Q468" s="11" t="str">
        <f t="shared" si="97"/>
        <v>2</v>
      </c>
      <c r="R468" s="11" t="str">
        <f t="shared" si="98"/>
        <v>0</v>
      </c>
      <c r="S468" s="11" t="str">
        <f t="shared" si="99"/>
        <v>9</v>
      </c>
      <c r="T468" s="11" t="str">
        <f t="shared" si="100"/>
        <v>2</v>
      </c>
      <c r="U468" s="11" t="str">
        <f t="shared" si="101"/>
        <v>2</v>
      </c>
      <c r="V468" s="11" t="str">
        <f t="shared" si="102"/>
        <v>0</v>
      </c>
      <c r="W468" s="11" t="str">
        <f t="shared" si="103"/>
        <v>2</v>
      </c>
      <c r="X468" s="11" t="str">
        <f t="shared" si="104"/>
        <v>3</v>
      </c>
    </row>
    <row r="469" spans="1:24" x14ac:dyDescent="0.35">
      <c r="A469" s="5">
        <v>14329</v>
      </c>
      <c r="B469" s="5">
        <v>12120922024</v>
      </c>
      <c r="C469" s="5">
        <v>726302.1</v>
      </c>
      <c r="D469" s="5">
        <v>3764450.3</v>
      </c>
      <c r="E469" s="6" t="s">
        <v>70</v>
      </c>
      <c r="F469" s="6" t="s">
        <v>71</v>
      </c>
      <c r="G469" s="6" t="s">
        <v>71</v>
      </c>
      <c r="H469" s="7"/>
      <c r="I469" s="35" t="str">
        <f t="shared" si="92"/>
        <v>120922</v>
      </c>
      <c r="J469" s="31" t="str">
        <f t="shared" si="93"/>
        <v>12</v>
      </c>
      <c r="N469" s="12" t="str">
        <f t="shared" si="94"/>
        <v>1</v>
      </c>
      <c r="O469" s="11" t="str">
        <f t="shared" si="95"/>
        <v>2</v>
      </c>
      <c r="P469" s="11" t="str">
        <f t="shared" si="96"/>
        <v>1</v>
      </c>
      <c r="Q469" s="11" t="str">
        <f t="shared" si="97"/>
        <v>2</v>
      </c>
      <c r="R469" s="11" t="str">
        <f t="shared" si="98"/>
        <v>0</v>
      </c>
      <c r="S469" s="11" t="str">
        <f t="shared" si="99"/>
        <v>9</v>
      </c>
      <c r="T469" s="11" t="str">
        <f t="shared" si="100"/>
        <v>2</v>
      </c>
      <c r="U469" s="11" t="str">
        <f t="shared" si="101"/>
        <v>2</v>
      </c>
      <c r="V469" s="11" t="str">
        <f t="shared" si="102"/>
        <v>0</v>
      </c>
      <c r="W469" s="11" t="str">
        <f t="shared" si="103"/>
        <v>2</v>
      </c>
      <c r="X469" s="11" t="str">
        <f t="shared" si="104"/>
        <v>4</v>
      </c>
    </row>
    <row r="470" spans="1:24" x14ac:dyDescent="0.35">
      <c r="A470" s="5">
        <v>14330</v>
      </c>
      <c r="B470" s="5">
        <v>12120922025</v>
      </c>
      <c r="C470" s="5">
        <v>726302.2</v>
      </c>
      <c r="D470" s="5">
        <v>3764450.4</v>
      </c>
      <c r="E470" s="6" t="s">
        <v>70</v>
      </c>
      <c r="F470" s="6" t="s">
        <v>71</v>
      </c>
      <c r="G470" s="6" t="s">
        <v>71</v>
      </c>
      <c r="H470" s="7"/>
      <c r="I470" s="35" t="str">
        <f t="shared" si="92"/>
        <v>120922</v>
      </c>
      <c r="J470" s="31" t="str">
        <f t="shared" si="93"/>
        <v>12</v>
      </c>
      <c r="N470" s="12" t="str">
        <f t="shared" si="94"/>
        <v>1</v>
      </c>
      <c r="O470" s="11" t="str">
        <f t="shared" si="95"/>
        <v>2</v>
      </c>
      <c r="P470" s="11" t="str">
        <f t="shared" si="96"/>
        <v>1</v>
      </c>
      <c r="Q470" s="11" t="str">
        <f t="shared" si="97"/>
        <v>2</v>
      </c>
      <c r="R470" s="11" t="str">
        <f t="shared" si="98"/>
        <v>0</v>
      </c>
      <c r="S470" s="11" t="str">
        <f t="shared" si="99"/>
        <v>9</v>
      </c>
      <c r="T470" s="11" t="str">
        <f t="shared" si="100"/>
        <v>2</v>
      </c>
      <c r="U470" s="11" t="str">
        <f t="shared" si="101"/>
        <v>2</v>
      </c>
      <c r="V470" s="11" t="str">
        <f t="shared" si="102"/>
        <v>0</v>
      </c>
      <c r="W470" s="11" t="str">
        <f t="shared" si="103"/>
        <v>2</v>
      </c>
      <c r="X470" s="11" t="str">
        <f t="shared" si="104"/>
        <v>5</v>
      </c>
    </row>
    <row r="471" spans="1:24" x14ac:dyDescent="0.35">
      <c r="A471" s="5">
        <v>14331</v>
      </c>
      <c r="B471" s="5">
        <v>12120922026</v>
      </c>
      <c r="C471" s="5">
        <v>726381</v>
      </c>
      <c r="D471" s="5">
        <v>3764444</v>
      </c>
      <c r="E471" s="6" t="s">
        <v>70</v>
      </c>
      <c r="F471" s="6" t="s">
        <v>71</v>
      </c>
      <c r="G471" s="6" t="s">
        <v>71</v>
      </c>
      <c r="H471" s="7"/>
      <c r="I471" s="35" t="str">
        <f t="shared" si="92"/>
        <v>120922</v>
      </c>
      <c r="J471" s="31" t="str">
        <f t="shared" si="93"/>
        <v>12</v>
      </c>
      <c r="N471" s="12" t="str">
        <f t="shared" si="94"/>
        <v>1</v>
      </c>
      <c r="O471" s="11" t="str">
        <f t="shared" si="95"/>
        <v>2</v>
      </c>
      <c r="P471" s="11" t="str">
        <f t="shared" si="96"/>
        <v>1</v>
      </c>
      <c r="Q471" s="11" t="str">
        <f t="shared" si="97"/>
        <v>2</v>
      </c>
      <c r="R471" s="11" t="str">
        <f t="shared" si="98"/>
        <v>0</v>
      </c>
      <c r="S471" s="11" t="str">
        <f t="shared" si="99"/>
        <v>9</v>
      </c>
      <c r="T471" s="11" t="str">
        <f t="shared" si="100"/>
        <v>2</v>
      </c>
      <c r="U471" s="11" t="str">
        <f t="shared" si="101"/>
        <v>2</v>
      </c>
      <c r="V471" s="11" t="str">
        <f t="shared" si="102"/>
        <v>0</v>
      </c>
      <c r="W471" s="11" t="str">
        <f t="shared" si="103"/>
        <v>2</v>
      </c>
      <c r="X471" s="11" t="str">
        <f t="shared" si="104"/>
        <v>6</v>
      </c>
    </row>
    <row r="472" spans="1:24" x14ac:dyDescent="0.35">
      <c r="A472" s="5">
        <v>14332</v>
      </c>
      <c r="B472" s="5">
        <v>12120922027</v>
      </c>
      <c r="C472" s="5">
        <v>726441</v>
      </c>
      <c r="D472" s="5">
        <v>3764436</v>
      </c>
      <c r="E472" s="6" t="s">
        <v>70</v>
      </c>
      <c r="F472" s="6" t="s">
        <v>70</v>
      </c>
      <c r="G472" s="6" t="s">
        <v>70</v>
      </c>
      <c r="H472" s="7"/>
      <c r="I472" s="35" t="str">
        <f t="shared" si="92"/>
        <v>120922</v>
      </c>
      <c r="J472" s="31" t="str">
        <f t="shared" si="93"/>
        <v>12</v>
      </c>
      <c r="N472" s="12" t="str">
        <f t="shared" si="94"/>
        <v>1</v>
      </c>
      <c r="O472" s="11" t="str">
        <f t="shared" si="95"/>
        <v>2</v>
      </c>
      <c r="P472" s="11" t="str">
        <f t="shared" si="96"/>
        <v>1</v>
      </c>
      <c r="Q472" s="11" t="str">
        <f t="shared" si="97"/>
        <v>2</v>
      </c>
      <c r="R472" s="11" t="str">
        <f t="shared" si="98"/>
        <v>0</v>
      </c>
      <c r="S472" s="11" t="str">
        <f t="shared" si="99"/>
        <v>9</v>
      </c>
      <c r="T472" s="11" t="str">
        <f t="shared" si="100"/>
        <v>2</v>
      </c>
      <c r="U472" s="11" t="str">
        <f t="shared" si="101"/>
        <v>2</v>
      </c>
      <c r="V472" s="11" t="str">
        <f t="shared" si="102"/>
        <v>0</v>
      </c>
      <c r="W472" s="11" t="str">
        <f t="shared" si="103"/>
        <v>2</v>
      </c>
      <c r="X472" s="11" t="str">
        <f t="shared" si="104"/>
        <v>7</v>
      </c>
    </row>
    <row r="473" spans="1:24" x14ac:dyDescent="0.35">
      <c r="A473" s="5">
        <v>14333</v>
      </c>
      <c r="B473" s="5">
        <v>12120922028</v>
      </c>
      <c r="C473" s="5">
        <v>726505</v>
      </c>
      <c r="D473" s="5">
        <v>3764439</v>
      </c>
      <c r="E473" s="6" t="s">
        <v>70</v>
      </c>
      <c r="F473" s="6" t="s">
        <v>71</v>
      </c>
      <c r="G473" s="6" t="s">
        <v>71</v>
      </c>
      <c r="H473" s="7"/>
      <c r="I473" s="35" t="str">
        <f t="shared" si="92"/>
        <v>120922</v>
      </c>
      <c r="J473" s="31" t="str">
        <f t="shared" si="93"/>
        <v>12</v>
      </c>
      <c r="N473" s="12" t="str">
        <f t="shared" si="94"/>
        <v>1</v>
      </c>
      <c r="O473" s="11" t="str">
        <f t="shared" si="95"/>
        <v>2</v>
      </c>
      <c r="P473" s="11" t="str">
        <f t="shared" si="96"/>
        <v>1</v>
      </c>
      <c r="Q473" s="11" t="str">
        <f t="shared" si="97"/>
        <v>2</v>
      </c>
      <c r="R473" s="11" t="str">
        <f t="shared" si="98"/>
        <v>0</v>
      </c>
      <c r="S473" s="11" t="str">
        <f t="shared" si="99"/>
        <v>9</v>
      </c>
      <c r="T473" s="11" t="str">
        <f t="shared" si="100"/>
        <v>2</v>
      </c>
      <c r="U473" s="11" t="str">
        <f t="shared" si="101"/>
        <v>2</v>
      </c>
      <c r="V473" s="11" t="str">
        <f t="shared" si="102"/>
        <v>0</v>
      </c>
      <c r="W473" s="11" t="str">
        <f t="shared" si="103"/>
        <v>2</v>
      </c>
      <c r="X473" s="11" t="str">
        <f t="shared" si="104"/>
        <v>8</v>
      </c>
    </row>
    <row r="474" spans="1:24" x14ac:dyDescent="0.35">
      <c r="A474" s="5">
        <v>14334</v>
      </c>
      <c r="B474" s="5">
        <v>12120922029</v>
      </c>
      <c r="C474" s="5">
        <v>726545</v>
      </c>
      <c r="D474" s="5">
        <v>3764438</v>
      </c>
      <c r="E474" s="6" t="s">
        <v>70</v>
      </c>
      <c r="F474" s="6" t="s">
        <v>71</v>
      </c>
      <c r="G474" s="6" t="s">
        <v>71</v>
      </c>
      <c r="H474" s="7"/>
      <c r="I474" s="35" t="str">
        <f t="shared" si="92"/>
        <v>120922</v>
      </c>
      <c r="J474" s="31" t="str">
        <f t="shared" si="93"/>
        <v>12</v>
      </c>
      <c r="N474" s="12" t="str">
        <f t="shared" si="94"/>
        <v>1</v>
      </c>
      <c r="O474" s="11" t="str">
        <f t="shared" si="95"/>
        <v>2</v>
      </c>
      <c r="P474" s="11" t="str">
        <f t="shared" si="96"/>
        <v>1</v>
      </c>
      <c r="Q474" s="11" t="str">
        <f t="shared" si="97"/>
        <v>2</v>
      </c>
      <c r="R474" s="11" t="str">
        <f t="shared" si="98"/>
        <v>0</v>
      </c>
      <c r="S474" s="11" t="str">
        <f t="shared" si="99"/>
        <v>9</v>
      </c>
      <c r="T474" s="11" t="str">
        <f t="shared" si="100"/>
        <v>2</v>
      </c>
      <c r="U474" s="11" t="str">
        <f t="shared" si="101"/>
        <v>2</v>
      </c>
      <c r="V474" s="11" t="str">
        <f t="shared" si="102"/>
        <v>0</v>
      </c>
      <c r="W474" s="11" t="str">
        <f t="shared" si="103"/>
        <v>2</v>
      </c>
      <c r="X474" s="11" t="str">
        <f t="shared" si="104"/>
        <v>9</v>
      </c>
    </row>
    <row r="475" spans="1:24" x14ac:dyDescent="0.35">
      <c r="A475" s="5">
        <v>14335</v>
      </c>
      <c r="B475" s="5">
        <v>12120922030</v>
      </c>
      <c r="C475" s="5">
        <v>726614</v>
      </c>
      <c r="D475" s="5">
        <v>3764431</v>
      </c>
      <c r="E475" s="6" t="s">
        <v>70</v>
      </c>
      <c r="F475" s="6" t="s">
        <v>71</v>
      </c>
      <c r="G475" s="6" t="s">
        <v>71</v>
      </c>
      <c r="H475" s="7"/>
      <c r="I475" s="35" t="str">
        <f t="shared" si="92"/>
        <v>120922</v>
      </c>
      <c r="J475" s="31" t="str">
        <f t="shared" si="93"/>
        <v>12</v>
      </c>
      <c r="N475" s="12" t="str">
        <f t="shared" si="94"/>
        <v>1</v>
      </c>
      <c r="O475" s="11" t="str">
        <f t="shared" si="95"/>
        <v>2</v>
      </c>
      <c r="P475" s="11" t="str">
        <f t="shared" si="96"/>
        <v>1</v>
      </c>
      <c r="Q475" s="11" t="str">
        <f t="shared" si="97"/>
        <v>2</v>
      </c>
      <c r="R475" s="11" t="str">
        <f t="shared" si="98"/>
        <v>0</v>
      </c>
      <c r="S475" s="11" t="str">
        <f t="shared" si="99"/>
        <v>9</v>
      </c>
      <c r="T475" s="11" t="str">
        <f t="shared" si="100"/>
        <v>2</v>
      </c>
      <c r="U475" s="11" t="str">
        <f t="shared" si="101"/>
        <v>2</v>
      </c>
      <c r="V475" s="11" t="str">
        <f t="shared" si="102"/>
        <v>0</v>
      </c>
      <c r="W475" s="11" t="str">
        <f t="shared" si="103"/>
        <v>3</v>
      </c>
      <c r="X475" s="11" t="str">
        <f t="shared" si="104"/>
        <v>0</v>
      </c>
    </row>
    <row r="476" spans="1:24" x14ac:dyDescent="0.35">
      <c r="A476" s="5">
        <v>14336</v>
      </c>
      <c r="B476" s="5">
        <v>12120922031</v>
      </c>
      <c r="C476" s="5">
        <v>726700</v>
      </c>
      <c r="D476" s="5">
        <v>3764434</v>
      </c>
      <c r="E476" s="6" t="s">
        <v>70</v>
      </c>
      <c r="F476" s="6" t="s">
        <v>71</v>
      </c>
      <c r="G476" s="6" t="s">
        <v>71</v>
      </c>
      <c r="H476" s="7"/>
      <c r="I476" s="35" t="str">
        <f t="shared" si="92"/>
        <v>120922</v>
      </c>
      <c r="J476" s="31" t="str">
        <f t="shared" si="93"/>
        <v>12</v>
      </c>
      <c r="N476" s="12" t="str">
        <f t="shared" si="94"/>
        <v>1</v>
      </c>
      <c r="O476" s="11" t="str">
        <f t="shared" si="95"/>
        <v>2</v>
      </c>
      <c r="P476" s="11" t="str">
        <f t="shared" si="96"/>
        <v>1</v>
      </c>
      <c r="Q476" s="11" t="str">
        <f t="shared" si="97"/>
        <v>2</v>
      </c>
      <c r="R476" s="11" t="str">
        <f t="shared" si="98"/>
        <v>0</v>
      </c>
      <c r="S476" s="11" t="str">
        <f t="shared" si="99"/>
        <v>9</v>
      </c>
      <c r="T476" s="11" t="str">
        <f t="shared" si="100"/>
        <v>2</v>
      </c>
      <c r="U476" s="11" t="str">
        <f t="shared" si="101"/>
        <v>2</v>
      </c>
      <c r="V476" s="11" t="str">
        <f t="shared" si="102"/>
        <v>0</v>
      </c>
      <c r="W476" s="11" t="str">
        <f t="shared" si="103"/>
        <v>3</v>
      </c>
      <c r="X476" s="11" t="str">
        <f t="shared" si="104"/>
        <v>1</v>
      </c>
    </row>
    <row r="477" spans="1:24" x14ac:dyDescent="0.35">
      <c r="A477" s="5">
        <v>14337</v>
      </c>
      <c r="B477" s="5">
        <v>12120922032</v>
      </c>
      <c r="C477" s="5">
        <v>726781</v>
      </c>
      <c r="D477" s="5">
        <v>3764429</v>
      </c>
      <c r="E477" s="6" t="s">
        <v>70</v>
      </c>
      <c r="F477" s="6" t="s">
        <v>71</v>
      </c>
      <c r="G477" s="6" t="s">
        <v>71</v>
      </c>
      <c r="H477" s="7"/>
      <c r="I477" s="35" t="str">
        <f t="shared" si="92"/>
        <v>120922</v>
      </c>
      <c r="J477" s="31" t="str">
        <f t="shared" si="93"/>
        <v>12</v>
      </c>
      <c r="N477" s="12" t="str">
        <f t="shared" si="94"/>
        <v>1</v>
      </c>
      <c r="O477" s="11" t="str">
        <f t="shared" si="95"/>
        <v>2</v>
      </c>
      <c r="P477" s="11" t="str">
        <f t="shared" si="96"/>
        <v>1</v>
      </c>
      <c r="Q477" s="11" t="str">
        <f t="shared" si="97"/>
        <v>2</v>
      </c>
      <c r="R477" s="11" t="str">
        <f t="shared" si="98"/>
        <v>0</v>
      </c>
      <c r="S477" s="11" t="str">
        <f t="shared" si="99"/>
        <v>9</v>
      </c>
      <c r="T477" s="11" t="str">
        <f t="shared" si="100"/>
        <v>2</v>
      </c>
      <c r="U477" s="11" t="str">
        <f t="shared" si="101"/>
        <v>2</v>
      </c>
      <c r="V477" s="11" t="str">
        <f t="shared" si="102"/>
        <v>0</v>
      </c>
      <c r="W477" s="11" t="str">
        <f t="shared" si="103"/>
        <v>3</v>
      </c>
      <c r="X477" s="11" t="str">
        <f t="shared" si="104"/>
        <v>2</v>
      </c>
    </row>
    <row r="478" spans="1:24" x14ac:dyDescent="0.35">
      <c r="A478" s="5">
        <v>14338</v>
      </c>
      <c r="B478" s="5">
        <v>12120922033</v>
      </c>
      <c r="C478" s="5">
        <v>726857</v>
      </c>
      <c r="D478" s="5">
        <v>3764422</v>
      </c>
      <c r="E478" s="6" t="s">
        <v>70</v>
      </c>
      <c r="F478" s="6" t="s">
        <v>71</v>
      </c>
      <c r="G478" s="6" t="s">
        <v>71</v>
      </c>
      <c r="H478" s="7"/>
      <c r="I478" s="35" t="str">
        <f t="shared" si="92"/>
        <v>120922</v>
      </c>
      <c r="J478" s="31" t="str">
        <f t="shared" si="93"/>
        <v>12</v>
      </c>
      <c r="N478" s="12" t="str">
        <f t="shared" si="94"/>
        <v>1</v>
      </c>
      <c r="O478" s="11" t="str">
        <f t="shared" si="95"/>
        <v>2</v>
      </c>
      <c r="P478" s="11" t="str">
        <f t="shared" si="96"/>
        <v>1</v>
      </c>
      <c r="Q478" s="11" t="str">
        <f t="shared" si="97"/>
        <v>2</v>
      </c>
      <c r="R478" s="11" t="str">
        <f t="shared" si="98"/>
        <v>0</v>
      </c>
      <c r="S478" s="11" t="str">
        <f t="shared" si="99"/>
        <v>9</v>
      </c>
      <c r="T478" s="11" t="str">
        <f t="shared" si="100"/>
        <v>2</v>
      </c>
      <c r="U478" s="11" t="str">
        <f t="shared" si="101"/>
        <v>2</v>
      </c>
      <c r="V478" s="11" t="str">
        <f t="shared" si="102"/>
        <v>0</v>
      </c>
      <c r="W478" s="11" t="str">
        <f t="shared" si="103"/>
        <v>3</v>
      </c>
      <c r="X478" s="11" t="str">
        <f t="shared" si="104"/>
        <v>3</v>
      </c>
    </row>
    <row r="479" spans="1:24" x14ac:dyDescent="0.35">
      <c r="A479" s="5">
        <v>14339</v>
      </c>
      <c r="B479" s="5">
        <v>12120922034</v>
      </c>
      <c r="C479" s="5">
        <v>726914</v>
      </c>
      <c r="D479" s="5">
        <v>3764409</v>
      </c>
      <c r="E479" s="6" t="s">
        <v>70</v>
      </c>
      <c r="F479" s="6" t="s">
        <v>71</v>
      </c>
      <c r="G479" s="6" t="s">
        <v>71</v>
      </c>
      <c r="H479" s="7"/>
      <c r="I479" s="35" t="str">
        <f t="shared" si="92"/>
        <v>120922</v>
      </c>
      <c r="J479" s="31" t="str">
        <f t="shared" si="93"/>
        <v>12</v>
      </c>
      <c r="N479" s="12" t="str">
        <f t="shared" si="94"/>
        <v>1</v>
      </c>
      <c r="O479" s="11" t="str">
        <f t="shared" si="95"/>
        <v>2</v>
      </c>
      <c r="P479" s="11" t="str">
        <f t="shared" si="96"/>
        <v>1</v>
      </c>
      <c r="Q479" s="11" t="str">
        <f t="shared" si="97"/>
        <v>2</v>
      </c>
      <c r="R479" s="11" t="str">
        <f t="shared" si="98"/>
        <v>0</v>
      </c>
      <c r="S479" s="11" t="str">
        <f t="shared" si="99"/>
        <v>9</v>
      </c>
      <c r="T479" s="11" t="str">
        <f t="shared" si="100"/>
        <v>2</v>
      </c>
      <c r="U479" s="11" t="str">
        <f t="shared" si="101"/>
        <v>2</v>
      </c>
      <c r="V479" s="11" t="str">
        <f t="shared" si="102"/>
        <v>0</v>
      </c>
      <c r="W479" s="11" t="str">
        <f t="shared" si="103"/>
        <v>3</v>
      </c>
      <c r="X479" s="11" t="str">
        <f t="shared" si="104"/>
        <v>4</v>
      </c>
    </row>
    <row r="480" spans="1:24" x14ac:dyDescent="0.35">
      <c r="A480" s="5">
        <v>14340</v>
      </c>
      <c r="B480" s="5">
        <v>12120922035</v>
      </c>
      <c r="C480" s="5">
        <v>726960</v>
      </c>
      <c r="D480" s="5">
        <v>3764409</v>
      </c>
      <c r="E480" s="6" t="s">
        <v>70</v>
      </c>
      <c r="F480" s="6" t="s">
        <v>71</v>
      </c>
      <c r="G480" s="6" t="s">
        <v>71</v>
      </c>
      <c r="H480" s="7"/>
      <c r="I480" s="35" t="str">
        <f t="shared" si="92"/>
        <v>120922</v>
      </c>
      <c r="J480" s="31" t="str">
        <f t="shared" si="93"/>
        <v>12</v>
      </c>
      <c r="N480" s="12" t="str">
        <f t="shared" si="94"/>
        <v>1</v>
      </c>
      <c r="O480" s="11" t="str">
        <f t="shared" si="95"/>
        <v>2</v>
      </c>
      <c r="P480" s="11" t="str">
        <f t="shared" si="96"/>
        <v>1</v>
      </c>
      <c r="Q480" s="11" t="str">
        <f t="shared" si="97"/>
        <v>2</v>
      </c>
      <c r="R480" s="11" t="str">
        <f t="shared" si="98"/>
        <v>0</v>
      </c>
      <c r="S480" s="11" t="str">
        <f t="shared" si="99"/>
        <v>9</v>
      </c>
      <c r="T480" s="11" t="str">
        <f t="shared" si="100"/>
        <v>2</v>
      </c>
      <c r="U480" s="11" t="str">
        <f t="shared" si="101"/>
        <v>2</v>
      </c>
      <c r="V480" s="11" t="str">
        <f t="shared" si="102"/>
        <v>0</v>
      </c>
      <c r="W480" s="11" t="str">
        <f t="shared" si="103"/>
        <v>3</v>
      </c>
      <c r="X480" s="11" t="str">
        <f t="shared" si="104"/>
        <v>5</v>
      </c>
    </row>
    <row r="481" spans="1:24" x14ac:dyDescent="0.35">
      <c r="A481" s="5">
        <v>14341</v>
      </c>
      <c r="B481" s="5">
        <v>12120922036</v>
      </c>
      <c r="C481" s="5">
        <v>727048</v>
      </c>
      <c r="D481" s="5">
        <v>3764370</v>
      </c>
      <c r="E481" s="6" t="s">
        <v>70</v>
      </c>
      <c r="F481" s="6" t="s">
        <v>71</v>
      </c>
      <c r="G481" s="6" t="s">
        <v>71</v>
      </c>
      <c r="H481" s="7"/>
      <c r="I481" s="35" t="str">
        <f t="shared" si="92"/>
        <v>120922</v>
      </c>
      <c r="J481" s="31" t="str">
        <f t="shared" si="93"/>
        <v>12</v>
      </c>
      <c r="N481" s="12" t="str">
        <f t="shared" si="94"/>
        <v>1</v>
      </c>
      <c r="O481" s="11" t="str">
        <f t="shared" si="95"/>
        <v>2</v>
      </c>
      <c r="P481" s="11" t="str">
        <f t="shared" si="96"/>
        <v>1</v>
      </c>
      <c r="Q481" s="11" t="str">
        <f t="shared" si="97"/>
        <v>2</v>
      </c>
      <c r="R481" s="11" t="str">
        <f t="shared" si="98"/>
        <v>0</v>
      </c>
      <c r="S481" s="11" t="str">
        <f t="shared" si="99"/>
        <v>9</v>
      </c>
      <c r="T481" s="11" t="str">
        <f t="shared" si="100"/>
        <v>2</v>
      </c>
      <c r="U481" s="11" t="str">
        <f t="shared" si="101"/>
        <v>2</v>
      </c>
      <c r="V481" s="11" t="str">
        <f t="shared" si="102"/>
        <v>0</v>
      </c>
      <c r="W481" s="11" t="str">
        <f t="shared" si="103"/>
        <v>3</v>
      </c>
      <c r="X481" s="11" t="str">
        <f t="shared" si="104"/>
        <v>6</v>
      </c>
    </row>
    <row r="482" spans="1:24" x14ac:dyDescent="0.35">
      <c r="A482" s="5">
        <v>14342</v>
      </c>
      <c r="B482" s="5">
        <v>12120922037</v>
      </c>
      <c r="C482" s="5">
        <v>727018</v>
      </c>
      <c r="D482" s="5">
        <v>3764314</v>
      </c>
      <c r="E482" s="6" t="s">
        <v>70</v>
      </c>
      <c r="F482" s="6" t="s">
        <v>71</v>
      </c>
      <c r="G482" s="6" t="s">
        <v>71</v>
      </c>
      <c r="H482" s="7"/>
      <c r="I482" s="35" t="str">
        <f t="shared" si="92"/>
        <v>120922</v>
      </c>
      <c r="J482" s="31" t="str">
        <f t="shared" si="93"/>
        <v>12</v>
      </c>
      <c r="N482" s="12" t="str">
        <f t="shared" si="94"/>
        <v>1</v>
      </c>
      <c r="O482" s="11" t="str">
        <f t="shared" si="95"/>
        <v>2</v>
      </c>
      <c r="P482" s="11" t="str">
        <f t="shared" si="96"/>
        <v>1</v>
      </c>
      <c r="Q482" s="11" t="str">
        <f t="shared" si="97"/>
        <v>2</v>
      </c>
      <c r="R482" s="11" t="str">
        <f t="shared" si="98"/>
        <v>0</v>
      </c>
      <c r="S482" s="11" t="str">
        <f t="shared" si="99"/>
        <v>9</v>
      </c>
      <c r="T482" s="11" t="str">
        <f t="shared" si="100"/>
        <v>2</v>
      </c>
      <c r="U482" s="11" t="str">
        <f t="shared" si="101"/>
        <v>2</v>
      </c>
      <c r="V482" s="11" t="str">
        <f t="shared" si="102"/>
        <v>0</v>
      </c>
      <c r="W482" s="11" t="str">
        <f t="shared" si="103"/>
        <v>3</v>
      </c>
      <c r="X482" s="11" t="str">
        <f t="shared" si="104"/>
        <v>7</v>
      </c>
    </row>
    <row r="483" spans="1:24" x14ac:dyDescent="0.35">
      <c r="A483" s="5">
        <v>14343</v>
      </c>
      <c r="B483" s="5">
        <v>12120922038</v>
      </c>
      <c r="C483" s="5">
        <v>726991</v>
      </c>
      <c r="D483" s="5">
        <v>3764269</v>
      </c>
      <c r="E483" s="6" t="s">
        <v>70</v>
      </c>
      <c r="F483" s="6" t="s">
        <v>71</v>
      </c>
      <c r="G483" s="6" t="s">
        <v>71</v>
      </c>
      <c r="H483" s="7"/>
      <c r="I483" s="35" t="str">
        <f t="shared" si="92"/>
        <v>120922</v>
      </c>
      <c r="J483" s="31" t="str">
        <f t="shared" si="93"/>
        <v>12</v>
      </c>
      <c r="N483" s="12" t="str">
        <f t="shared" si="94"/>
        <v>1</v>
      </c>
      <c r="O483" s="11" t="str">
        <f t="shared" si="95"/>
        <v>2</v>
      </c>
      <c r="P483" s="11" t="str">
        <f t="shared" si="96"/>
        <v>1</v>
      </c>
      <c r="Q483" s="11" t="str">
        <f t="shared" si="97"/>
        <v>2</v>
      </c>
      <c r="R483" s="11" t="str">
        <f t="shared" si="98"/>
        <v>0</v>
      </c>
      <c r="S483" s="11" t="str">
        <f t="shared" si="99"/>
        <v>9</v>
      </c>
      <c r="T483" s="11" t="str">
        <f t="shared" si="100"/>
        <v>2</v>
      </c>
      <c r="U483" s="11" t="str">
        <f t="shared" si="101"/>
        <v>2</v>
      </c>
      <c r="V483" s="11" t="str">
        <f t="shared" si="102"/>
        <v>0</v>
      </c>
      <c r="W483" s="11" t="str">
        <f t="shared" si="103"/>
        <v>3</v>
      </c>
      <c r="X483" s="11" t="str">
        <f t="shared" si="104"/>
        <v>8</v>
      </c>
    </row>
    <row r="484" spans="1:24" x14ac:dyDescent="0.35">
      <c r="A484" s="5">
        <v>14344</v>
      </c>
      <c r="B484" s="5">
        <v>12120922039</v>
      </c>
      <c r="C484" s="5">
        <v>726968</v>
      </c>
      <c r="D484" s="5">
        <v>3764218</v>
      </c>
      <c r="E484" s="6" t="s">
        <v>70</v>
      </c>
      <c r="F484" s="6" t="s">
        <v>71</v>
      </c>
      <c r="G484" s="6" t="s">
        <v>71</v>
      </c>
      <c r="H484" s="7"/>
      <c r="I484" s="35" t="str">
        <f t="shared" si="92"/>
        <v>120922</v>
      </c>
      <c r="J484" s="31" t="str">
        <f t="shared" si="93"/>
        <v>12</v>
      </c>
      <c r="N484" s="12" t="str">
        <f t="shared" si="94"/>
        <v>1</v>
      </c>
      <c r="O484" s="11" t="str">
        <f t="shared" si="95"/>
        <v>2</v>
      </c>
      <c r="P484" s="11" t="str">
        <f t="shared" si="96"/>
        <v>1</v>
      </c>
      <c r="Q484" s="11" t="str">
        <f t="shared" si="97"/>
        <v>2</v>
      </c>
      <c r="R484" s="11" t="str">
        <f t="shared" si="98"/>
        <v>0</v>
      </c>
      <c r="S484" s="11" t="str">
        <f t="shared" si="99"/>
        <v>9</v>
      </c>
      <c r="T484" s="11" t="str">
        <f t="shared" si="100"/>
        <v>2</v>
      </c>
      <c r="U484" s="11" t="str">
        <f t="shared" si="101"/>
        <v>2</v>
      </c>
      <c r="V484" s="11" t="str">
        <f t="shared" si="102"/>
        <v>0</v>
      </c>
      <c r="W484" s="11" t="str">
        <f t="shared" si="103"/>
        <v>3</v>
      </c>
      <c r="X484" s="11" t="str">
        <f t="shared" si="104"/>
        <v>9</v>
      </c>
    </row>
    <row r="485" spans="1:24" x14ac:dyDescent="0.35">
      <c r="A485" s="5">
        <v>14345</v>
      </c>
      <c r="B485" s="5">
        <v>12120922040</v>
      </c>
      <c r="C485" s="5">
        <v>726942</v>
      </c>
      <c r="D485" s="5">
        <v>3764167</v>
      </c>
      <c r="E485" s="6" t="s">
        <v>70</v>
      </c>
      <c r="F485" s="6" t="s">
        <v>71</v>
      </c>
      <c r="G485" s="6" t="s">
        <v>71</v>
      </c>
      <c r="H485" s="7"/>
      <c r="I485" s="35" t="str">
        <f t="shared" si="92"/>
        <v>120922</v>
      </c>
      <c r="J485" s="31" t="str">
        <f t="shared" si="93"/>
        <v>12</v>
      </c>
      <c r="N485" s="12" t="str">
        <f t="shared" si="94"/>
        <v>1</v>
      </c>
      <c r="O485" s="11" t="str">
        <f t="shared" si="95"/>
        <v>2</v>
      </c>
      <c r="P485" s="11" t="str">
        <f t="shared" si="96"/>
        <v>1</v>
      </c>
      <c r="Q485" s="11" t="str">
        <f t="shared" si="97"/>
        <v>2</v>
      </c>
      <c r="R485" s="11" t="str">
        <f t="shared" si="98"/>
        <v>0</v>
      </c>
      <c r="S485" s="11" t="str">
        <f t="shared" si="99"/>
        <v>9</v>
      </c>
      <c r="T485" s="11" t="str">
        <f t="shared" si="100"/>
        <v>2</v>
      </c>
      <c r="U485" s="11" t="str">
        <f t="shared" si="101"/>
        <v>2</v>
      </c>
      <c r="V485" s="11" t="str">
        <f t="shared" si="102"/>
        <v>0</v>
      </c>
      <c r="W485" s="11" t="str">
        <f t="shared" si="103"/>
        <v>4</v>
      </c>
      <c r="X485" s="11" t="str">
        <f t="shared" si="104"/>
        <v>0</v>
      </c>
    </row>
    <row r="486" spans="1:24" x14ac:dyDescent="0.35">
      <c r="A486" s="5">
        <v>14346</v>
      </c>
      <c r="B486" s="5">
        <v>12120922041</v>
      </c>
      <c r="C486" s="5">
        <v>726916</v>
      </c>
      <c r="D486" s="5">
        <v>3764112</v>
      </c>
      <c r="E486" s="6" t="s">
        <v>70</v>
      </c>
      <c r="F486" s="6" t="s">
        <v>71</v>
      </c>
      <c r="G486" s="6" t="s">
        <v>71</v>
      </c>
      <c r="H486" s="7"/>
      <c r="I486" s="35" t="str">
        <f t="shared" si="92"/>
        <v>120922</v>
      </c>
      <c r="J486" s="31" t="str">
        <f t="shared" si="93"/>
        <v>12</v>
      </c>
      <c r="N486" s="12" t="str">
        <f t="shared" si="94"/>
        <v>1</v>
      </c>
      <c r="O486" s="11" t="str">
        <f t="shared" si="95"/>
        <v>2</v>
      </c>
      <c r="P486" s="11" t="str">
        <f t="shared" si="96"/>
        <v>1</v>
      </c>
      <c r="Q486" s="11" t="str">
        <f t="shared" si="97"/>
        <v>2</v>
      </c>
      <c r="R486" s="11" t="str">
        <f t="shared" si="98"/>
        <v>0</v>
      </c>
      <c r="S486" s="11" t="str">
        <f t="shared" si="99"/>
        <v>9</v>
      </c>
      <c r="T486" s="11" t="str">
        <f t="shared" si="100"/>
        <v>2</v>
      </c>
      <c r="U486" s="11" t="str">
        <f t="shared" si="101"/>
        <v>2</v>
      </c>
      <c r="V486" s="11" t="str">
        <f t="shared" si="102"/>
        <v>0</v>
      </c>
      <c r="W486" s="11" t="str">
        <f t="shared" si="103"/>
        <v>4</v>
      </c>
      <c r="X486" s="11" t="str">
        <f t="shared" si="104"/>
        <v>1</v>
      </c>
    </row>
    <row r="487" spans="1:24" x14ac:dyDescent="0.35">
      <c r="A487" s="5">
        <v>14347</v>
      </c>
      <c r="B487" s="5">
        <v>12120922042</v>
      </c>
      <c r="C487" s="5">
        <v>726895</v>
      </c>
      <c r="D487" s="5">
        <v>3764062</v>
      </c>
      <c r="E487" s="6" t="s">
        <v>70</v>
      </c>
      <c r="F487" s="6" t="s">
        <v>71</v>
      </c>
      <c r="G487" s="6" t="s">
        <v>71</v>
      </c>
      <c r="H487" s="7"/>
      <c r="I487" s="35" t="str">
        <f t="shared" si="92"/>
        <v>120922</v>
      </c>
      <c r="J487" s="31" t="str">
        <f t="shared" si="93"/>
        <v>12</v>
      </c>
      <c r="N487" s="12" t="str">
        <f t="shared" si="94"/>
        <v>1</v>
      </c>
      <c r="O487" s="11" t="str">
        <f t="shared" si="95"/>
        <v>2</v>
      </c>
      <c r="P487" s="11" t="str">
        <f t="shared" si="96"/>
        <v>1</v>
      </c>
      <c r="Q487" s="11" t="str">
        <f t="shared" si="97"/>
        <v>2</v>
      </c>
      <c r="R487" s="11" t="str">
        <f t="shared" si="98"/>
        <v>0</v>
      </c>
      <c r="S487" s="11" t="str">
        <f t="shared" si="99"/>
        <v>9</v>
      </c>
      <c r="T487" s="11" t="str">
        <f t="shared" si="100"/>
        <v>2</v>
      </c>
      <c r="U487" s="11" t="str">
        <f t="shared" si="101"/>
        <v>2</v>
      </c>
      <c r="V487" s="11" t="str">
        <f t="shared" si="102"/>
        <v>0</v>
      </c>
      <c r="W487" s="11" t="str">
        <f t="shared" si="103"/>
        <v>4</v>
      </c>
      <c r="X487" s="11" t="str">
        <f t="shared" si="104"/>
        <v>2</v>
      </c>
    </row>
    <row r="488" spans="1:24" x14ac:dyDescent="0.35">
      <c r="A488" s="5">
        <v>14348</v>
      </c>
      <c r="B488" s="5">
        <v>12120922043</v>
      </c>
      <c r="C488" s="5">
        <v>726877</v>
      </c>
      <c r="D488" s="5">
        <v>3764021</v>
      </c>
      <c r="E488" s="6" t="s">
        <v>70</v>
      </c>
      <c r="F488" s="6" t="s">
        <v>71</v>
      </c>
      <c r="G488" s="6" t="s">
        <v>71</v>
      </c>
      <c r="H488" s="7"/>
      <c r="I488" s="35" t="str">
        <f t="shared" si="92"/>
        <v>120922</v>
      </c>
      <c r="J488" s="31" t="str">
        <f t="shared" si="93"/>
        <v>12</v>
      </c>
      <c r="N488" s="12" t="str">
        <f t="shared" si="94"/>
        <v>1</v>
      </c>
      <c r="O488" s="11" t="str">
        <f t="shared" si="95"/>
        <v>2</v>
      </c>
      <c r="P488" s="11" t="str">
        <f t="shared" si="96"/>
        <v>1</v>
      </c>
      <c r="Q488" s="11" t="str">
        <f t="shared" si="97"/>
        <v>2</v>
      </c>
      <c r="R488" s="11" t="str">
        <f t="shared" si="98"/>
        <v>0</v>
      </c>
      <c r="S488" s="11" t="str">
        <f t="shared" si="99"/>
        <v>9</v>
      </c>
      <c r="T488" s="11" t="str">
        <f t="shared" si="100"/>
        <v>2</v>
      </c>
      <c r="U488" s="11" t="str">
        <f t="shared" si="101"/>
        <v>2</v>
      </c>
      <c r="V488" s="11" t="str">
        <f t="shared" si="102"/>
        <v>0</v>
      </c>
      <c r="W488" s="11" t="str">
        <f t="shared" si="103"/>
        <v>4</v>
      </c>
      <c r="X488" s="11" t="str">
        <f t="shared" si="104"/>
        <v>3</v>
      </c>
    </row>
    <row r="489" spans="1:24" x14ac:dyDescent="0.35">
      <c r="A489" s="5">
        <v>14349</v>
      </c>
      <c r="B489" s="5">
        <v>12120922044</v>
      </c>
      <c r="C489" s="5">
        <v>726855</v>
      </c>
      <c r="D489" s="5">
        <v>3763980</v>
      </c>
      <c r="E489" s="6" t="s">
        <v>70</v>
      </c>
      <c r="F489" s="6" t="s">
        <v>71</v>
      </c>
      <c r="G489" s="6" t="s">
        <v>71</v>
      </c>
      <c r="H489" s="7"/>
      <c r="I489" s="35" t="str">
        <f t="shared" si="92"/>
        <v>120922</v>
      </c>
      <c r="J489" s="31" t="str">
        <f t="shared" si="93"/>
        <v>12</v>
      </c>
      <c r="N489" s="12" t="str">
        <f t="shared" si="94"/>
        <v>1</v>
      </c>
      <c r="O489" s="11" t="str">
        <f t="shared" si="95"/>
        <v>2</v>
      </c>
      <c r="P489" s="11" t="str">
        <f t="shared" si="96"/>
        <v>1</v>
      </c>
      <c r="Q489" s="11" t="str">
        <f t="shared" si="97"/>
        <v>2</v>
      </c>
      <c r="R489" s="11" t="str">
        <f t="shared" si="98"/>
        <v>0</v>
      </c>
      <c r="S489" s="11" t="str">
        <f t="shared" si="99"/>
        <v>9</v>
      </c>
      <c r="T489" s="11" t="str">
        <f t="shared" si="100"/>
        <v>2</v>
      </c>
      <c r="U489" s="11" t="str">
        <f t="shared" si="101"/>
        <v>2</v>
      </c>
      <c r="V489" s="11" t="str">
        <f t="shared" si="102"/>
        <v>0</v>
      </c>
      <c r="W489" s="11" t="str">
        <f t="shared" si="103"/>
        <v>4</v>
      </c>
      <c r="X489" s="11" t="str">
        <f t="shared" si="104"/>
        <v>4</v>
      </c>
    </row>
    <row r="490" spans="1:24" x14ac:dyDescent="0.35">
      <c r="A490" s="5">
        <v>14350</v>
      </c>
      <c r="B490" s="5">
        <v>12120922045</v>
      </c>
      <c r="C490" s="5">
        <v>726837</v>
      </c>
      <c r="D490" s="5">
        <v>3763948</v>
      </c>
      <c r="E490" s="6" t="s">
        <v>70</v>
      </c>
      <c r="F490" s="6" t="s">
        <v>71</v>
      </c>
      <c r="G490" s="6" t="s">
        <v>71</v>
      </c>
      <c r="H490" s="7"/>
      <c r="I490" s="35" t="str">
        <f t="shared" si="92"/>
        <v>120922</v>
      </c>
      <c r="J490" s="31" t="str">
        <f t="shared" si="93"/>
        <v>12</v>
      </c>
      <c r="N490" s="12" t="str">
        <f t="shared" si="94"/>
        <v>1</v>
      </c>
      <c r="O490" s="11" t="str">
        <f t="shared" si="95"/>
        <v>2</v>
      </c>
      <c r="P490" s="11" t="str">
        <f t="shared" si="96"/>
        <v>1</v>
      </c>
      <c r="Q490" s="11" t="str">
        <f t="shared" si="97"/>
        <v>2</v>
      </c>
      <c r="R490" s="11" t="str">
        <f t="shared" si="98"/>
        <v>0</v>
      </c>
      <c r="S490" s="11" t="str">
        <f t="shared" si="99"/>
        <v>9</v>
      </c>
      <c r="T490" s="11" t="str">
        <f t="shared" si="100"/>
        <v>2</v>
      </c>
      <c r="U490" s="11" t="str">
        <f t="shared" si="101"/>
        <v>2</v>
      </c>
      <c r="V490" s="11" t="str">
        <f t="shared" si="102"/>
        <v>0</v>
      </c>
      <c r="W490" s="11" t="str">
        <f t="shared" si="103"/>
        <v>4</v>
      </c>
      <c r="X490" s="11" t="str">
        <f t="shared" si="104"/>
        <v>5</v>
      </c>
    </row>
    <row r="491" spans="1:24" x14ac:dyDescent="0.35">
      <c r="A491" s="5">
        <v>14351</v>
      </c>
      <c r="B491" s="5">
        <v>12120922046</v>
      </c>
      <c r="C491" s="5">
        <v>726812</v>
      </c>
      <c r="D491" s="5">
        <v>3763903</v>
      </c>
      <c r="E491" s="6" t="s">
        <v>70</v>
      </c>
      <c r="F491" s="6" t="s">
        <v>71</v>
      </c>
      <c r="G491" s="6" t="s">
        <v>71</v>
      </c>
      <c r="H491" s="7"/>
      <c r="I491" s="35" t="str">
        <f t="shared" si="92"/>
        <v>120922</v>
      </c>
      <c r="J491" s="31" t="str">
        <f t="shared" si="93"/>
        <v>12</v>
      </c>
      <c r="N491" s="12" t="str">
        <f t="shared" si="94"/>
        <v>1</v>
      </c>
      <c r="O491" s="11" t="str">
        <f t="shared" si="95"/>
        <v>2</v>
      </c>
      <c r="P491" s="11" t="str">
        <f t="shared" si="96"/>
        <v>1</v>
      </c>
      <c r="Q491" s="11" t="str">
        <f t="shared" si="97"/>
        <v>2</v>
      </c>
      <c r="R491" s="11" t="str">
        <f t="shared" si="98"/>
        <v>0</v>
      </c>
      <c r="S491" s="11" t="str">
        <f t="shared" si="99"/>
        <v>9</v>
      </c>
      <c r="T491" s="11" t="str">
        <f t="shared" si="100"/>
        <v>2</v>
      </c>
      <c r="U491" s="11" t="str">
        <f t="shared" si="101"/>
        <v>2</v>
      </c>
      <c r="V491" s="11" t="str">
        <f t="shared" si="102"/>
        <v>0</v>
      </c>
      <c r="W491" s="11" t="str">
        <f t="shared" si="103"/>
        <v>4</v>
      </c>
      <c r="X491" s="11" t="str">
        <f t="shared" si="104"/>
        <v>6</v>
      </c>
    </row>
    <row r="492" spans="1:24" x14ac:dyDescent="0.35">
      <c r="A492" s="5">
        <v>14352</v>
      </c>
      <c r="B492" s="5">
        <v>12120922047</v>
      </c>
      <c r="C492" s="5">
        <v>726844</v>
      </c>
      <c r="D492" s="5">
        <v>3763884</v>
      </c>
      <c r="E492" s="6" t="s">
        <v>70</v>
      </c>
      <c r="F492" s="6" t="s">
        <v>71</v>
      </c>
      <c r="G492" s="6" t="s">
        <v>71</v>
      </c>
      <c r="H492" s="7"/>
      <c r="I492" s="35" t="str">
        <f t="shared" si="92"/>
        <v>120922</v>
      </c>
      <c r="J492" s="31" t="str">
        <f t="shared" si="93"/>
        <v>12</v>
      </c>
      <c r="N492" s="12" t="str">
        <f t="shared" si="94"/>
        <v>1</v>
      </c>
      <c r="O492" s="11" t="str">
        <f t="shared" si="95"/>
        <v>2</v>
      </c>
      <c r="P492" s="11" t="str">
        <f t="shared" si="96"/>
        <v>1</v>
      </c>
      <c r="Q492" s="11" t="str">
        <f t="shared" si="97"/>
        <v>2</v>
      </c>
      <c r="R492" s="11" t="str">
        <f t="shared" si="98"/>
        <v>0</v>
      </c>
      <c r="S492" s="11" t="str">
        <f t="shared" si="99"/>
        <v>9</v>
      </c>
      <c r="T492" s="11" t="str">
        <f t="shared" si="100"/>
        <v>2</v>
      </c>
      <c r="U492" s="11" t="str">
        <f t="shared" si="101"/>
        <v>2</v>
      </c>
      <c r="V492" s="11" t="str">
        <f t="shared" si="102"/>
        <v>0</v>
      </c>
      <c r="W492" s="11" t="str">
        <f t="shared" si="103"/>
        <v>4</v>
      </c>
      <c r="X492" s="11" t="str">
        <f t="shared" si="104"/>
        <v>7</v>
      </c>
    </row>
    <row r="493" spans="1:24" s="19" customFormat="1" x14ac:dyDescent="0.35">
      <c r="A493" s="8">
        <v>14353</v>
      </c>
      <c r="B493" s="8">
        <v>12130922048</v>
      </c>
      <c r="C493" s="8">
        <v>726636</v>
      </c>
      <c r="D493" s="8">
        <v>3764484</v>
      </c>
      <c r="E493" s="22" t="s">
        <v>70</v>
      </c>
      <c r="F493" s="22" t="s">
        <v>71</v>
      </c>
      <c r="G493" s="22" t="s">
        <v>71</v>
      </c>
      <c r="H493" s="23"/>
      <c r="I493" s="35" t="str">
        <f t="shared" si="92"/>
        <v>130922</v>
      </c>
      <c r="J493" s="31" t="str">
        <f t="shared" si="93"/>
        <v>12</v>
      </c>
      <c r="N493" s="24" t="str">
        <f t="shared" si="94"/>
        <v>1</v>
      </c>
      <c r="O493" s="25" t="str">
        <f t="shared" ref="O493:O514" si="105">MID($B493,LEN($B493)-9,1)</f>
        <v>2</v>
      </c>
      <c r="P493" s="25" t="str">
        <f t="shared" si="96"/>
        <v>1</v>
      </c>
      <c r="Q493" s="25" t="str">
        <f t="shared" si="97"/>
        <v>3</v>
      </c>
      <c r="R493" s="25" t="str">
        <f t="shared" si="98"/>
        <v>0</v>
      </c>
      <c r="S493" s="25" t="str">
        <f t="shared" si="99"/>
        <v>9</v>
      </c>
      <c r="T493" s="25" t="str">
        <f t="shared" si="100"/>
        <v>2</v>
      </c>
      <c r="U493" s="25" t="str">
        <f t="shared" si="101"/>
        <v>2</v>
      </c>
      <c r="V493" s="25" t="str">
        <f t="shared" si="102"/>
        <v>0</v>
      </c>
      <c r="W493" s="25" t="str">
        <f t="shared" si="103"/>
        <v>4</v>
      </c>
      <c r="X493" s="25" t="str">
        <f t="shared" si="104"/>
        <v>8</v>
      </c>
    </row>
    <row r="494" spans="1:24" x14ac:dyDescent="0.35">
      <c r="A494" s="5">
        <v>14354</v>
      </c>
      <c r="B494" s="5">
        <v>12130922049</v>
      </c>
      <c r="C494" s="5">
        <v>726643</v>
      </c>
      <c r="D494" s="5">
        <v>3764518</v>
      </c>
      <c r="E494" s="6" t="s">
        <v>70</v>
      </c>
      <c r="F494" s="6" t="s">
        <v>71</v>
      </c>
      <c r="G494" s="6" t="s">
        <v>71</v>
      </c>
      <c r="H494" s="7"/>
      <c r="I494" s="35" t="str">
        <f t="shared" si="92"/>
        <v>130922</v>
      </c>
      <c r="J494" s="31" t="str">
        <f t="shared" si="93"/>
        <v>12</v>
      </c>
      <c r="N494" s="12" t="str">
        <f t="shared" si="94"/>
        <v>1</v>
      </c>
      <c r="O494" s="11" t="str">
        <f t="shared" si="105"/>
        <v>2</v>
      </c>
      <c r="P494" s="11" t="str">
        <f t="shared" si="96"/>
        <v>1</v>
      </c>
      <c r="Q494" s="11" t="str">
        <f t="shared" si="97"/>
        <v>3</v>
      </c>
      <c r="R494" s="11" t="str">
        <f t="shared" si="98"/>
        <v>0</v>
      </c>
      <c r="S494" s="11" t="str">
        <f t="shared" si="99"/>
        <v>9</v>
      </c>
      <c r="T494" s="11" t="str">
        <f t="shared" si="100"/>
        <v>2</v>
      </c>
      <c r="U494" s="11" t="str">
        <f t="shared" si="101"/>
        <v>2</v>
      </c>
      <c r="V494" s="11" t="str">
        <f t="shared" si="102"/>
        <v>0</v>
      </c>
      <c r="W494" s="11" t="str">
        <f t="shared" si="103"/>
        <v>4</v>
      </c>
      <c r="X494" s="11" t="str">
        <f t="shared" si="104"/>
        <v>9</v>
      </c>
    </row>
    <row r="495" spans="1:24" x14ac:dyDescent="0.35">
      <c r="A495" s="5">
        <v>14355</v>
      </c>
      <c r="B495" s="5">
        <v>12130922050</v>
      </c>
      <c r="C495" s="5">
        <v>726645</v>
      </c>
      <c r="D495" s="5">
        <v>3764517</v>
      </c>
      <c r="E495" s="6" t="s">
        <v>70</v>
      </c>
      <c r="F495" s="6" t="s">
        <v>71</v>
      </c>
      <c r="G495" s="6" t="s">
        <v>71</v>
      </c>
      <c r="H495" s="7"/>
      <c r="I495" s="35" t="str">
        <f t="shared" si="92"/>
        <v>130922</v>
      </c>
      <c r="J495" s="31" t="str">
        <f t="shared" si="93"/>
        <v>12</v>
      </c>
      <c r="N495" s="12" t="str">
        <f t="shared" si="94"/>
        <v>1</v>
      </c>
      <c r="O495" s="11" t="str">
        <f t="shared" si="105"/>
        <v>2</v>
      </c>
      <c r="P495" s="11" t="str">
        <f t="shared" si="96"/>
        <v>1</v>
      </c>
      <c r="Q495" s="11" t="str">
        <f t="shared" si="97"/>
        <v>3</v>
      </c>
      <c r="R495" s="11" t="str">
        <f t="shared" si="98"/>
        <v>0</v>
      </c>
      <c r="S495" s="11" t="str">
        <f t="shared" si="99"/>
        <v>9</v>
      </c>
      <c r="T495" s="11" t="str">
        <f t="shared" si="100"/>
        <v>2</v>
      </c>
      <c r="U495" s="11" t="str">
        <f t="shared" si="101"/>
        <v>2</v>
      </c>
      <c r="V495" s="11" t="str">
        <f t="shared" si="102"/>
        <v>0</v>
      </c>
      <c r="W495" s="11" t="str">
        <f t="shared" si="103"/>
        <v>5</v>
      </c>
      <c r="X495" s="11" t="str">
        <f t="shared" si="104"/>
        <v>0</v>
      </c>
    </row>
    <row r="496" spans="1:24" x14ac:dyDescent="0.35">
      <c r="A496" s="5">
        <v>14356</v>
      </c>
      <c r="B496" s="5">
        <v>12130922051</v>
      </c>
      <c r="C496" s="5">
        <v>726646</v>
      </c>
      <c r="D496" s="5">
        <v>3764518</v>
      </c>
      <c r="E496" s="6" t="s">
        <v>70</v>
      </c>
      <c r="F496" s="6" t="s">
        <v>71</v>
      </c>
      <c r="G496" s="6" t="s">
        <v>71</v>
      </c>
      <c r="H496" s="7"/>
      <c r="I496" s="35" t="str">
        <f t="shared" si="92"/>
        <v>130922</v>
      </c>
      <c r="J496" s="31" t="str">
        <f t="shared" si="93"/>
        <v>12</v>
      </c>
      <c r="N496" s="12" t="str">
        <f t="shared" si="94"/>
        <v>1</v>
      </c>
      <c r="O496" s="11" t="str">
        <f t="shared" si="105"/>
        <v>2</v>
      </c>
      <c r="P496" s="11" t="str">
        <f t="shared" si="96"/>
        <v>1</v>
      </c>
      <c r="Q496" s="11" t="str">
        <f t="shared" si="97"/>
        <v>3</v>
      </c>
      <c r="R496" s="11" t="str">
        <f t="shared" si="98"/>
        <v>0</v>
      </c>
      <c r="S496" s="11" t="str">
        <f t="shared" si="99"/>
        <v>9</v>
      </c>
      <c r="T496" s="11" t="str">
        <f t="shared" si="100"/>
        <v>2</v>
      </c>
      <c r="U496" s="11" t="str">
        <f t="shared" si="101"/>
        <v>2</v>
      </c>
      <c r="V496" s="11" t="str">
        <f t="shared" si="102"/>
        <v>0</v>
      </c>
      <c r="W496" s="11" t="str">
        <f t="shared" si="103"/>
        <v>5</v>
      </c>
      <c r="X496" s="11" t="str">
        <f t="shared" si="104"/>
        <v>1</v>
      </c>
    </row>
    <row r="497" spans="1:24" x14ac:dyDescent="0.35">
      <c r="A497" s="5">
        <v>14357</v>
      </c>
      <c r="B497" s="5">
        <v>12130922052</v>
      </c>
      <c r="C497" s="5">
        <v>726666</v>
      </c>
      <c r="D497" s="5">
        <v>3764552</v>
      </c>
      <c r="E497" s="6" t="s">
        <v>70</v>
      </c>
      <c r="F497" s="6" t="s">
        <v>71</v>
      </c>
      <c r="G497" s="6" t="s">
        <v>71</v>
      </c>
      <c r="H497" s="7"/>
      <c r="I497" s="35" t="str">
        <f t="shared" si="92"/>
        <v>130922</v>
      </c>
      <c r="J497" s="31" t="str">
        <f t="shared" si="93"/>
        <v>12</v>
      </c>
      <c r="N497" s="12" t="str">
        <f t="shared" si="94"/>
        <v>1</v>
      </c>
      <c r="O497" s="11" t="str">
        <f t="shared" si="105"/>
        <v>2</v>
      </c>
      <c r="P497" s="11" t="str">
        <f t="shared" si="96"/>
        <v>1</v>
      </c>
      <c r="Q497" s="11" t="str">
        <f t="shared" si="97"/>
        <v>3</v>
      </c>
      <c r="R497" s="11" t="str">
        <f t="shared" si="98"/>
        <v>0</v>
      </c>
      <c r="S497" s="11" t="str">
        <f t="shared" si="99"/>
        <v>9</v>
      </c>
      <c r="T497" s="11" t="str">
        <f t="shared" si="100"/>
        <v>2</v>
      </c>
      <c r="U497" s="11" t="str">
        <f t="shared" si="101"/>
        <v>2</v>
      </c>
      <c r="V497" s="11" t="str">
        <f t="shared" si="102"/>
        <v>0</v>
      </c>
      <c r="W497" s="11" t="str">
        <f t="shared" si="103"/>
        <v>5</v>
      </c>
      <c r="X497" s="11" t="str">
        <f t="shared" si="104"/>
        <v>2</v>
      </c>
    </row>
    <row r="498" spans="1:24" x14ac:dyDescent="0.35">
      <c r="A498" s="5">
        <v>14358</v>
      </c>
      <c r="B498" s="5">
        <v>12130922053</v>
      </c>
      <c r="C498" s="5">
        <v>726667</v>
      </c>
      <c r="D498" s="5">
        <v>3764553</v>
      </c>
      <c r="E498" s="6" t="s">
        <v>70</v>
      </c>
      <c r="F498" s="6" t="s">
        <v>71</v>
      </c>
      <c r="G498" s="6" t="s">
        <v>71</v>
      </c>
      <c r="H498" s="7"/>
      <c r="I498" s="35" t="str">
        <f t="shared" si="92"/>
        <v>130922</v>
      </c>
      <c r="J498" s="31" t="str">
        <f t="shared" si="93"/>
        <v>12</v>
      </c>
      <c r="N498" s="12" t="str">
        <f t="shared" si="94"/>
        <v>1</v>
      </c>
      <c r="O498" s="11" t="str">
        <f t="shared" si="105"/>
        <v>2</v>
      </c>
      <c r="P498" s="11" t="str">
        <f t="shared" si="96"/>
        <v>1</v>
      </c>
      <c r="Q498" s="11" t="str">
        <f t="shared" si="97"/>
        <v>3</v>
      </c>
      <c r="R498" s="11" t="str">
        <f t="shared" si="98"/>
        <v>0</v>
      </c>
      <c r="S498" s="11" t="str">
        <f t="shared" si="99"/>
        <v>9</v>
      </c>
      <c r="T498" s="11" t="str">
        <f t="shared" si="100"/>
        <v>2</v>
      </c>
      <c r="U498" s="11" t="str">
        <f t="shared" si="101"/>
        <v>2</v>
      </c>
      <c r="V498" s="11" t="str">
        <f t="shared" si="102"/>
        <v>0</v>
      </c>
      <c r="W498" s="11" t="str">
        <f t="shared" si="103"/>
        <v>5</v>
      </c>
      <c r="X498" s="11" t="str">
        <f t="shared" si="104"/>
        <v>3</v>
      </c>
    </row>
    <row r="499" spans="1:24" x14ac:dyDescent="0.35">
      <c r="A499" s="5">
        <v>14359</v>
      </c>
      <c r="B499" s="5">
        <v>12130922054</v>
      </c>
      <c r="C499" s="5">
        <v>726667</v>
      </c>
      <c r="D499" s="5">
        <v>3764552</v>
      </c>
      <c r="E499" s="6" t="s">
        <v>70</v>
      </c>
      <c r="F499" s="6" t="s">
        <v>71</v>
      </c>
      <c r="G499" s="6" t="s">
        <v>71</v>
      </c>
      <c r="H499" s="7"/>
      <c r="I499" s="35" t="str">
        <f t="shared" si="92"/>
        <v>130922</v>
      </c>
      <c r="J499" s="31" t="str">
        <f t="shared" si="93"/>
        <v>12</v>
      </c>
      <c r="N499" s="12" t="str">
        <f t="shared" si="94"/>
        <v>1</v>
      </c>
      <c r="O499" s="11" t="str">
        <f t="shared" si="105"/>
        <v>2</v>
      </c>
      <c r="P499" s="11" t="str">
        <f t="shared" si="96"/>
        <v>1</v>
      </c>
      <c r="Q499" s="11" t="str">
        <f t="shared" si="97"/>
        <v>3</v>
      </c>
      <c r="R499" s="11" t="str">
        <f t="shared" si="98"/>
        <v>0</v>
      </c>
      <c r="S499" s="11" t="str">
        <f t="shared" si="99"/>
        <v>9</v>
      </c>
      <c r="T499" s="11" t="str">
        <f t="shared" si="100"/>
        <v>2</v>
      </c>
      <c r="U499" s="11" t="str">
        <f t="shared" si="101"/>
        <v>2</v>
      </c>
      <c r="V499" s="11" t="str">
        <f t="shared" si="102"/>
        <v>0</v>
      </c>
      <c r="W499" s="11" t="str">
        <f t="shared" si="103"/>
        <v>5</v>
      </c>
      <c r="X499" s="11" t="str">
        <f t="shared" si="104"/>
        <v>4</v>
      </c>
    </row>
    <row r="500" spans="1:24" x14ac:dyDescent="0.35">
      <c r="A500" s="5">
        <v>14360</v>
      </c>
      <c r="B500" s="5">
        <v>12130922055</v>
      </c>
      <c r="C500" s="5">
        <v>726668</v>
      </c>
      <c r="D500" s="5">
        <v>3764552</v>
      </c>
      <c r="E500" s="6" t="s">
        <v>70</v>
      </c>
      <c r="F500" s="6" t="s">
        <v>71</v>
      </c>
      <c r="G500" s="6" t="s">
        <v>71</v>
      </c>
      <c r="H500" s="7"/>
      <c r="I500" s="35" t="str">
        <f t="shared" si="92"/>
        <v>130922</v>
      </c>
      <c r="J500" s="31" t="str">
        <f t="shared" si="93"/>
        <v>12</v>
      </c>
      <c r="N500" s="12" t="str">
        <f t="shared" si="94"/>
        <v>1</v>
      </c>
      <c r="O500" s="11" t="str">
        <f t="shared" si="105"/>
        <v>2</v>
      </c>
      <c r="P500" s="11" t="str">
        <f t="shared" si="96"/>
        <v>1</v>
      </c>
      <c r="Q500" s="11" t="str">
        <f t="shared" si="97"/>
        <v>3</v>
      </c>
      <c r="R500" s="11" t="str">
        <f t="shared" si="98"/>
        <v>0</v>
      </c>
      <c r="S500" s="11" t="str">
        <f t="shared" si="99"/>
        <v>9</v>
      </c>
      <c r="T500" s="11" t="str">
        <f t="shared" si="100"/>
        <v>2</v>
      </c>
      <c r="U500" s="11" t="str">
        <f t="shared" si="101"/>
        <v>2</v>
      </c>
      <c r="V500" s="11" t="str">
        <f t="shared" si="102"/>
        <v>0</v>
      </c>
      <c r="W500" s="11" t="str">
        <f t="shared" si="103"/>
        <v>5</v>
      </c>
      <c r="X500" s="11" t="str">
        <f t="shared" si="104"/>
        <v>5</v>
      </c>
    </row>
    <row r="501" spans="1:24" x14ac:dyDescent="0.35">
      <c r="A501" s="5">
        <v>14361</v>
      </c>
      <c r="B501" s="5">
        <v>12130922056</v>
      </c>
      <c r="C501" s="5">
        <v>726669</v>
      </c>
      <c r="D501" s="5">
        <v>3764553</v>
      </c>
      <c r="E501" s="6" t="s">
        <v>70</v>
      </c>
      <c r="F501" s="6" t="s">
        <v>71</v>
      </c>
      <c r="G501" s="6" t="s">
        <v>71</v>
      </c>
      <c r="H501" s="7"/>
      <c r="I501" s="35" t="str">
        <f t="shared" si="92"/>
        <v>130922</v>
      </c>
      <c r="J501" s="31" t="str">
        <f t="shared" si="93"/>
        <v>12</v>
      </c>
      <c r="N501" s="12" t="str">
        <f t="shared" si="94"/>
        <v>1</v>
      </c>
      <c r="O501" s="11" t="str">
        <f t="shared" si="105"/>
        <v>2</v>
      </c>
      <c r="P501" s="11" t="str">
        <f t="shared" si="96"/>
        <v>1</v>
      </c>
      <c r="Q501" s="11" t="str">
        <f t="shared" si="97"/>
        <v>3</v>
      </c>
      <c r="R501" s="11" t="str">
        <f t="shared" si="98"/>
        <v>0</v>
      </c>
      <c r="S501" s="11" t="str">
        <f t="shared" si="99"/>
        <v>9</v>
      </c>
      <c r="T501" s="11" t="str">
        <f t="shared" si="100"/>
        <v>2</v>
      </c>
      <c r="U501" s="11" t="str">
        <f t="shared" si="101"/>
        <v>2</v>
      </c>
      <c r="V501" s="11" t="str">
        <f t="shared" si="102"/>
        <v>0</v>
      </c>
      <c r="W501" s="11" t="str">
        <f t="shared" si="103"/>
        <v>5</v>
      </c>
      <c r="X501" s="11" t="str">
        <f t="shared" si="104"/>
        <v>6</v>
      </c>
    </row>
    <row r="502" spans="1:24" x14ac:dyDescent="0.35">
      <c r="A502" s="5">
        <v>14362</v>
      </c>
      <c r="B502" s="5">
        <v>12130922057</v>
      </c>
      <c r="C502" s="5">
        <v>726868</v>
      </c>
      <c r="D502" s="5">
        <v>3764462</v>
      </c>
      <c r="E502" s="6" t="s">
        <v>70</v>
      </c>
      <c r="F502" s="6" t="s">
        <v>71</v>
      </c>
      <c r="G502" s="6" t="s">
        <v>71</v>
      </c>
      <c r="H502" s="7"/>
      <c r="I502" s="35" t="str">
        <f t="shared" si="92"/>
        <v>130922</v>
      </c>
      <c r="J502" s="31" t="str">
        <f t="shared" si="93"/>
        <v>12</v>
      </c>
      <c r="N502" s="12" t="str">
        <f t="shared" si="94"/>
        <v>1</v>
      </c>
      <c r="O502" s="11" t="str">
        <f t="shared" si="105"/>
        <v>2</v>
      </c>
      <c r="P502" s="11" t="str">
        <f t="shared" si="96"/>
        <v>1</v>
      </c>
      <c r="Q502" s="11" t="str">
        <f t="shared" si="97"/>
        <v>3</v>
      </c>
      <c r="R502" s="11" t="str">
        <f t="shared" si="98"/>
        <v>0</v>
      </c>
      <c r="S502" s="11" t="str">
        <f t="shared" si="99"/>
        <v>9</v>
      </c>
      <c r="T502" s="11" t="str">
        <f t="shared" si="100"/>
        <v>2</v>
      </c>
      <c r="U502" s="11" t="str">
        <f t="shared" si="101"/>
        <v>2</v>
      </c>
      <c r="V502" s="11" t="str">
        <f t="shared" si="102"/>
        <v>0</v>
      </c>
      <c r="W502" s="11" t="str">
        <f t="shared" si="103"/>
        <v>5</v>
      </c>
      <c r="X502" s="11" t="str">
        <f t="shared" si="104"/>
        <v>7</v>
      </c>
    </row>
    <row r="503" spans="1:24" x14ac:dyDescent="0.35">
      <c r="A503" s="5">
        <v>14363</v>
      </c>
      <c r="B503" s="5">
        <v>12130922058</v>
      </c>
      <c r="C503" s="5">
        <v>726868.1</v>
      </c>
      <c r="D503" s="5">
        <v>3764462.3</v>
      </c>
      <c r="E503" s="6" t="s">
        <v>70</v>
      </c>
      <c r="F503" s="6" t="s">
        <v>71</v>
      </c>
      <c r="G503" s="6" t="s">
        <v>71</v>
      </c>
      <c r="H503" s="7"/>
      <c r="I503" s="35" t="str">
        <f t="shared" si="92"/>
        <v>130922</v>
      </c>
      <c r="J503" s="31" t="str">
        <f t="shared" si="93"/>
        <v>12</v>
      </c>
      <c r="N503" s="12" t="str">
        <f t="shared" si="94"/>
        <v>1</v>
      </c>
      <c r="O503" s="11" t="str">
        <f t="shared" si="105"/>
        <v>2</v>
      </c>
      <c r="P503" s="11" t="str">
        <f t="shared" si="96"/>
        <v>1</v>
      </c>
      <c r="Q503" s="11" t="str">
        <f t="shared" si="97"/>
        <v>3</v>
      </c>
      <c r="R503" s="11" t="str">
        <f t="shared" si="98"/>
        <v>0</v>
      </c>
      <c r="S503" s="11" t="str">
        <f t="shared" si="99"/>
        <v>9</v>
      </c>
      <c r="T503" s="11" t="str">
        <f t="shared" si="100"/>
        <v>2</v>
      </c>
      <c r="U503" s="11" t="str">
        <f t="shared" si="101"/>
        <v>2</v>
      </c>
      <c r="V503" s="11" t="str">
        <f t="shared" si="102"/>
        <v>0</v>
      </c>
      <c r="W503" s="11" t="str">
        <f t="shared" si="103"/>
        <v>5</v>
      </c>
      <c r="X503" s="11" t="str">
        <f t="shared" si="104"/>
        <v>8</v>
      </c>
    </row>
    <row r="504" spans="1:24" x14ac:dyDescent="0.35">
      <c r="A504" s="5">
        <v>14364</v>
      </c>
      <c r="B504" s="5">
        <v>12130922059</v>
      </c>
      <c r="C504" s="5">
        <v>726868.2</v>
      </c>
      <c r="D504" s="5">
        <v>3764462.4</v>
      </c>
      <c r="E504" s="6" t="s">
        <v>70</v>
      </c>
      <c r="F504" s="6" t="s">
        <v>71</v>
      </c>
      <c r="G504" s="6" t="s">
        <v>71</v>
      </c>
      <c r="H504" s="7"/>
      <c r="I504" s="35" t="str">
        <f t="shared" si="92"/>
        <v>130922</v>
      </c>
      <c r="J504" s="31" t="str">
        <f t="shared" si="93"/>
        <v>12</v>
      </c>
      <c r="N504" s="12" t="str">
        <f t="shared" si="94"/>
        <v>1</v>
      </c>
      <c r="O504" s="11" t="str">
        <f t="shared" si="105"/>
        <v>2</v>
      </c>
      <c r="P504" s="11" t="str">
        <f t="shared" si="96"/>
        <v>1</v>
      </c>
      <c r="Q504" s="11" t="str">
        <f t="shared" si="97"/>
        <v>3</v>
      </c>
      <c r="R504" s="11" t="str">
        <f t="shared" si="98"/>
        <v>0</v>
      </c>
      <c r="S504" s="11" t="str">
        <f t="shared" si="99"/>
        <v>9</v>
      </c>
      <c r="T504" s="11" t="str">
        <f t="shared" si="100"/>
        <v>2</v>
      </c>
      <c r="U504" s="11" t="str">
        <f t="shared" si="101"/>
        <v>2</v>
      </c>
      <c r="V504" s="11" t="str">
        <f t="shared" si="102"/>
        <v>0</v>
      </c>
      <c r="W504" s="11" t="str">
        <f t="shared" si="103"/>
        <v>5</v>
      </c>
      <c r="X504" s="11" t="str">
        <f t="shared" si="104"/>
        <v>9</v>
      </c>
    </row>
    <row r="505" spans="1:24" x14ac:dyDescent="0.35">
      <c r="A505" s="5">
        <v>14365</v>
      </c>
      <c r="B505" s="5">
        <v>12130922060</v>
      </c>
      <c r="C505" s="5">
        <v>726959</v>
      </c>
      <c r="D505" s="5">
        <v>3764105</v>
      </c>
      <c r="E505" s="6" t="s">
        <v>70</v>
      </c>
      <c r="F505" s="6" t="s">
        <v>71</v>
      </c>
      <c r="G505" s="6" t="s">
        <v>71</v>
      </c>
      <c r="H505" s="7"/>
      <c r="I505" s="35" t="str">
        <f t="shared" si="92"/>
        <v>130922</v>
      </c>
      <c r="J505" s="31" t="str">
        <f t="shared" si="93"/>
        <v>12</v>
      </c>
      <c r="N505" s="12" t="str">
        <f t="shared" si="94"/>
        <v>1</v>
      </c>
      <c r="O505" s="11" t="str">
        <f t="shared" si="105"/>
        <v>2</v>
      </c>
      <c r="P505" s="11" t="str">
        <f t="shared" si="96"/>
        <v>1</v>
      </c>
      <c r="Q505" s="11" t="str">
        <f t="shared" si="97"/>
        <v>3</v>
      </c>
      <c r="R505" s="11" t="str">
        <f t="shared" si="98"/>
        <v>0</v>
      </c>
      <c r="S505" s="11" t="str">
        <f t="shared" si="99"/>
        <v>9</v>
      </c>
      <c r="T505" s="11" t="str">
        <f t="shared" si="100"/>
        <v>2</v>
      </c>
      <c r="U505" s="11" t="str">
        <f t="shared" si="101"/>
        <v>2</v>
      </c>
      <c r="V505" s="11" t="str">
        <f t="shared" si="102"/>
        <v>0</v>
      </c>
      <c r="W505" s="11" t="str">
        <f t="shared" si="103"/>
        <v>6</v>
      </c>
      <c r="X505" s="11" t="str">
        <f t="shared" si="104"/>
        <v>0</v>
      </c>
    </row>
    <row r="506" spans="1:24" x14ac:dyDescent="0.35">
      <c r="A506" s="5">
        <v>14366</v>
      </c>
      <c r="B506" s="5">
        <v>12130922061</v>
      </c>
      <c r="C506" s="5">
        <v>726987</v>
      </c>
      <c r="D506" s="5">
        <v>3764104</v>
      </c>
      <c r="E506" s="6" t="s">
        <v>70</v>
      </c>
      <c r="F506" s="6" t="s">
        <v>71</v>
      </c>
      <c r="G506" s="6" t="s">
        <v>71</v>
      </c>
      <c r="H506" s="7"/>
      <c r="I506" s="35" t="str">
        <f t="shared" si="92"/>
        <v>130922</v>
      </c>
      <c r="J506" s="31" t="str">
        <f t="shared" si="93"/>
        <v>12</v>
      </c>
      <c r="N506" s="12" t="str">
        <f t="shared" si="94"/>
        <v>1</v>
      </c>
      <c r="O506" s="11" t="str">
        <f t="shared" si="105"/>
        <v>2</v>
      </c>
      <c r="P506" s="11" t="str">
        <f t="shared" si="96"/>
        <v>1</v>
      </c>
      <c r="Q506" s="11" t="str">
        <f t="shared" si="97"/>
        <v>3</v>
      </c>
      <c r="R506" s="11" t="str">
        <f t="shared" si="98"/>
        <v>0</v>
      </c>
      <c r="S506" s="11" t="str">
        <f t="shared" si="99"/>
        <v>9</v>
      </c>
      <c r="T506" s="11" t="str">
        <f t="shared" si="100"/>
        <v>2</v>
      </c>
      <c r="U506" s="11" t="str">
        <f t="shared" si="101"/>
        <v>2</v>
      </c>
      <c r="V506" s="11" t="str">
        <f t="shared" si="102"/>
        <v>0</v>
      </c>
      <c r="W506" s="11" t="str">
        <f t="shared" si="103"/>
        <v>6</v>
      </c>
      <c r="X506" s="11" t="str">
        <f t="shared" si="104"/>
        <v>1</v>
      </c>
    </row>
    <row r="507" spans="1:24" x14ac:dyDescent="0.35">
      <c r="A507" s="5">
        <v>14367</v>
      </c>
      <c r="B507" s="5">
        <v>12130922062</v>
      </c>
      <c r="C507" s="5">
        <v>727025</v>
      </c>
      <c r="D507" s="5">
        <v>3764097</v>
      </c>
      <c r="E507" s="6" t="s">
        <v>70</v>
      </c>
      <c r="F507" s="6" t="s">
        <v>71</v>
      </c>
      <c r="G507" s="6" t="s">
        <v>71</v>
      </c>
      <c r="H507" s="7"/>
      <c r="I507" s="35" t="str">
        <f t="shared" si="92"/>
        <v>130922</v>
      </c>
      <c r="J507" s="31" t="str">
        <f t="shared" si="93"/>
        <v>12</v>
      </c>
      <c r="N507" s="12" t="str">
        <f t="shared" si="94"/>
        <v>1</v>
      </c>
      <c r="O507" s="11" t="str">
        <f t="shared" si="105"/>
        <v>2</v>
      </c>
      <c r="P507" s="11" t="str">
        <f t="shared" si="96"/>
        <v>1</v>
      </c>
      <c r="Q507" s="11" t="str">
        <f t="shared" si="97"/>
        <v>3</v>
      </c>
      <c r="R507" s="11" t="str">
        <f t="shared" si="98"/>
        <v>0</v>
      </c>
      <c r="S507" s="11" t="str">
        <f t="shared" si="99"/>
        <v>9</v>
      </c>
      <c r="T507" s="11" t="str">
        <f t="shared" si="100"/>
        <v>2</v>
      </c>
      <c r="U507" s="11" t="str">
        <f t="shared" si="101"/>
        <v>2</v>
      </c>
      <c r="V507" s="11" t="str">
        <f t="shared" si="102"/>
        <v>0</v>
      </c>
      <c r="W507" s="11" t="str">
        <f t="shared" si="103"/>
        <v>6</v>
      </c>
      <c r="X507" s="11" t="str">
        <f t="shared" si="104"/>
        <v>2</v>
      </c>
    </row>
    <row r="508" spans="1:24" x14ac:dyDescent="0.35">
      <c r="A508" s="5">
        <v>14368</v>
      </c>
      <c r="B508" s="5">
        <v>12130922063</v>
      </c>
      <c r="C508" s="5">
        <v>727025</v>
      </c>
      <c r="D508" s="5">
        <v>3764095</v>
      </c>
      <c r="E508" s="6" t="s">
        <v>70</v>
      </c>
      <c r="F508" s="6" t="s">
        <v>71</v>
      </c>
      <c r="G508" s="6" t="s">
        <v>71</v>
      </c>
      <c r="H508" s="7"/>
      <c r="I508" s="35" t="str">
        <f t="shared" si="92"/>
        <v>130922</v>
      </c>
      <c r="J508" s="31" t="str">
        <f t="shared" si="93"/>
        <v>12</v>
      </c>
      <c r="N508" s="12" t="str">
        <f t="shared" si="94"/>
        <v>1</v>
      </c>
      <c r="O508" s="11" t="str">
        <f t="shared" si="105"/>
        <v>2</v>
      </c>
      <c r="P508" s="11" t="str">
        <f t="shared" si="96"/>
        <v>1</v>
      </c>
      <c r="Q508" s="11" t="str">
        <f t="shared" si="97"/>
        <v>3</v>
      </c>
      <c r="R508" s="11" t="str">
        <f t="shared" si="98"/>
        <v>0</v>
      </c>
      <c r="S508" s="11" t="str">
        <f t="shared" si="99"/>
        <v>9</v>
      </c>
      <c r="T508" s="11" t="str">
        <f t="shared" si="100"/>
        <v>2</v>
      </c>
      <c r="U508" s="11" t="str">
        <f t="shared" si="101"/>
        <v>2</v>
      </c>
      <c r="V508" s="11" t="str">
        <f t="shared" si="102"/>
        <v>0</v>
      </c>
      <c r="W508" s="11" t="str">
        <f t="shared" si="103"/>
        <v>6</v>
      </c>
      <c r="X508" s="11" t="str">
        <f t="shared" si="104"/>
        <v>3</v>
      </c>
    </row>
    <row r="509" spans="1:24" x14ac:dyDescent="0.35">
      <c r="A509" s="5">
        <v>14369</v>
      </c>
      <c r="B509" s="5">
        <v>12130922064</v>
      </c>
      <c r="C509" s="5">
        <v>727025</v>
      </c>
      <c r="D509" s="5">
        <v>3764094</v>
      </c>
      <c r="E509" s="6" t="s">
        <v>70</v>
      </c>
      <c r="F509" s="6" t="s">
        <v>71</v>
      </c>
      <c r="G509" s="6" t="s">
        <v>71</v>
      </c>
      <c r="H509" s="7"/>
      <c r="I509" s="35" t="str">
        <f t="shared" si="92"/>
        <v>130922</v>
      </c>
      <c r="J509" s="31" t="str">
        <f t="shared" si="93"/>
        <v>12</v>
      </c>
      <c r="N509" s="12" t="str">
        <f t="shared" si="94"/>
        <v>1</v>
      </c>
      <c r="O509" s="11" t="str">
        <f t="shared" si="105"/>
        <v>2</v>
      </c>
      <c r="P509" s="11" t="str">
        <f t="shared" si="96"/>
        <v>1</v>
      </c>
      <c r="Q509" s="11" t="str">
        <f t="shared" si="97"/>
        <v>3</v>
      </c>
      <c r="R509" s="11" t="str">
        <f t="shared" si="98"/>
        <v>0</v>
      </c>
      <c r="S509" s="11" t="str">
        <f t="shared" si="99"/>
        <v>9</v>
      </c>
      <c r="T509" s="11" t="str">
        <f t="shared" si="100"/>
        <v>2</v>
      </c>
      <c r="U509" s="11" t="str">
        <f t="shared" si="101"/>
        <v>2</v>
      </c>
      <c r="V509" s="11" t="str">
        <f t="shared" si="102"/>
        <v>0</v>
      </c>
      <c r="W509" s="11" t="str">
        <f t="shared" si="103"/>
        <v>6</v>
      </c>
      <c r="X509" s="11" t="str">
        <f t="shared" si="104"/>
        <v>4</v>
      </c>
    </row>
    <row r="510" spans="1:24" x14ac:dyDescent="0.35">
      <c r="A510" s="5">
        <v>14370</v>
      </c>
      <c r="B510" s="5">
        <v>12130922065</v>
      </c>
      <c r="C510" s="5">
        <v>727028</v>
      </c>
      <c r="D510" s="5">
        <v>3764186</v>
      </c>
      <c r="E510" s="6" t="s">
        <v>70</v>
      </c>
      <c r="F510" s="6" t="s">
        <v>71</v>
      </c>
      <c r="G510" s="6" t="s">
        <v>71</v>
      </c>
      <c r="H510" s="7"/>
      <c r="I510" s="35" t="str">
        <f t="shared" si="92"/>
        <v>130922</v>
      </c>
      <c r="J510" s="31" t="str">
        <f t="shared" si="93"/>
        <v>12</v>
      </c>
      <c r="N510" s="12" t="str">
        <f t="shared" si="94"/>
        <v>1</v>
      </c>
      <c r="O510" s="11" t="str">
        <f t="shared" si="105"/>
        <v>2</v>
      </c>
      <c r="P510" s="11" t="str">
        <f t="shared" si="96"/>
        <v>1</v>
      </c>
      <c r="Q510" s="11" t="str">
        <f t="shared" si="97"/>
        <v>3</v>
      </c>
      <c r="R510" s="11" t="str">
        <f t="shared" si="98"/>
        <v>0</v>
      </c>
      <c r="S510" s="11" t="str">
        <f t="shared" si="99"/>
        <v>9</v>
      </c>
      <c r="T510" s="11" t="str">
        <f t="shared" si="100"/>
        <v>2</v>
      </c>
      <c r="U510" s="11" t="str">
        <f t="shared" si="101"/>
        <v>2</v>
      </c>
      <c r="V510" s="11" t="str">
        <f t="shared" si="102"/>
        <v>0</v>
      </c>
      <c r="W510" s="11" t="str">
        <f t="shared" si="103"/>
        <v>6</v>
      </c>
      <c r="X510" s="11" t="str">
        <f t="shared" si="104"/>
        <v>5</v>
      </c>
    </row>
    <row r="511" spans="1:24" x14ac:dyDescent="0.35">
      <c r="A511" s="5">
        <v>14371</v>
      </c>
      <c r="B511" s="5">
        <v>12130922066</v>
      </c>
      <c r="C511" s="5">
        <v>727045</v>
      </c>
      <c r="D511" s="5">
        <v>3764222</v>
      </c>
      <c r="E511" s="6" t="s">
        <v>70</v>
      </c>
      <c r="F511" s="6" t="s">
        <v>71</v>
      </c>
      <c r="G511" s="6" t="s">
        <v>71</v>
      </c>
      <c r="H511" s="7"/>
      <c r="I511" s="35" t="str">
        <f t="shared" si="92"/>
        <v>130922</v>
      </c>
      <c r="J511" s="31" t="str">
        <f t="shared" si="93"/>
        <v>12</v>
      </c>
      <c r="N511" s="12" t="str">
        <f t="shared" si="94"/>
        <v>1</v>
      </c>
      <c r="O511" s="11" t="str">
        <f t="shared" si="105"/>
        <v>2</v>
      </c>
      <c r="P511" s="11" t="str">
        <f t="shared" si="96"/>
        <v>1</v>
      </c>
      <c r="Q511" s="11" t="str">
        <f t="shared" si="97"/>
        <v>3</v>
      </c>
      <c r="R511" s="11" t="str">
        <f t="shared" si="98"/>
        <v>0</v>
      </c>
      <c r="S511" s="11" t="str">
        <f t="shared" si="99"/>
        <v>9</v>
      </c>
      <c r="T511" s="11" t="str">
        <f t="shared" si="100"/>
        <v>2</v>
      </c>
      <c r="U511" s="11" t="str">
        <f t="shared" si="101"/>
        <v>2</v>
      </c>
      <c r="V511" s="11" t="str">
        <f t="shared" si="102"/>
        <v>0</v>
      </c>
      <c r="W511" s="11" t="str">
        <f t="shared" si="103"/>
        <v>6</v>
      </c>
      <c r="X511" s="11" t="str">
        <f t="shared" si="104"/>
        <v>6</v>
      </c>
    </row>
    <row r="512" spans="1:24" x14ac:dyDescent="0.35">
      <c r="A512" s="5">
        <v>14372</v>
      </c>
      <c r="B512" s="5">
        <v>12130922067</v>
      </c>
      <c r="C512" s="5">
        <v>727062</v>
      </c>
      <c r="D512" s="5">
        <v>3764258</v>
      </c>
      <c r="E512" s="6" t="s">
        <v>70</v>
      </c>
      <c r="F512" s="6" t="s">
        <v>71</v>
      </c>
      <c r="G512" s="6" t="s">
        <v>71</v>
      </c>
      <c r="H512" s="7"/>
      <c r="I512" s="35" t="str">
        <f t="shared" si="92"/>
        <v>130922</v>
      </c>
      <c r="J512" s="31" t="str">
        <f t="shared" si="93"/>
        <v>12</v>
      </c>
      <c r="N512" s="12" t="str">
        <f t="shared" si="94"/>
        <v>1</v>
      </c>
      <c r="O512" s="11" t="str">
        <f t="shared" si="105"/>
        <v>2</v>
      </c>
      <c r="P512" s="11" t="str">
        <f t="shared" si="96"/>
        <v>1</v>
      </c>
      <c r="Q512" s="11" t="str">
        <f t="shared" si="97"/>
        <v>3</v>
      </c>
      <c r="R512" s="11" t="str">
        <f t="shared" si="98"/>
        <v>0</v>
      </c>
      <c r="S512" s="11" t="str">
        <f t="shared" si="99"/>
        <v>9</v>
      </c>
      <c r="T512" s="11" t="str">
        <f t="shared" si="100"/>
        <v>2</v>
      </c>
      <c r="U512" s="11" t="str">
        <f t="shared" si="101"/>
        <v>2</v>
      </c>
      <c r="V512" s="11" t="str">
        <f t="shared" si="102"/>
        <v>0</v>
      </c>
      <c r="W512" s="11" t="str">
        <f t="shared" si="103"/>
        <v>6</v>
      </c>
      <c r="X512" s="11" t="str">
        <f t="shared" si="104"/>
        <v>7</v>
      </c>
    </row>
    <row r="513" spans="1:24" x14ac:dyDescent="0.35">
      <c r="A513" s="5">
        <v>14373</v>
      </c>
      <c r="B513" s="5">
        <v>12130922068</v>
      </c>
      <c r="C513" s="5">
        <v>727079</v>
      </c>
      <c r="D513" s="5">
        <v>3764303</v>
      </c>
      <c r="E513" s="6" t="s">
        <v>70</v>
      </c>
      <c r="F513" s="6" t="s">
        <v>71</v>
      </c>
      <c r="G513" s="6" t="s">
        <v>71</v>
      </c>
      <c r="H513" s="7"/>
      <c r="I513" s="35" t="str">
        <f t="shared" si="92"/>
        <v>130922</v>
      </c>
      <c r="J513" s="31" t="str">
        <f t="shared" si="93"/>
        <v>12</v>
      </c>
      <c r="N513" s="12" t="str">
        <f t="shared" si="94"/>
        <v>1</v>
      </c>
      <c r="O513" s="11" t="str">
        <f t="shared" si="105"/>
        <v>2</v>
      </c>
      <c r="P513" s="11" t="str">
        <f t="shared" si="96"/>
        <v>1</v>
      </c>
      <c r="Q513" s="11" t="str">
        <f t="shared" si="97"/>
        <v>3</v>
      </c>
      <c r="R513" s="11" t="str">
        <f t="shared" si="98"/>
        <v>0</v>
      </c>
      <c r="S513" s="11" t="str">
        <f t="shared" si="99"/>
        <v>9</v>
      </c>
      <c r="T513" s="11" t="str">
        <f t="shared" si="100"/>
        <v>2</v>
      </c>
      <c r="U513" s="11" t="str">
        <f t="shared" si="101"/>
        <v>2</v>
      </c>
      <c r="V513" s="11" t="str">
        <f t="shared" si="102"/>
        <v>0</v>
      </c>
      <c r="W513" s="11" t="str">
        <f t="shared" si="103"/>
        <v>6</v>
      </c>
      <c r="X513" s="11" t="str">
        <f t="shared" si="104"/>
        <v>8</v>
      </c>
    </row>
    <row r="514" spans="1:24" x14ac:dyDescent="0.35">
      <c r="A514" s="5">
        <v>14374</v>
      </c>
      <c r="B514" s="5">
        <v>12130922069</v>
      </c>
      <c r="C514" s="5">
        <v>727079</v>
      </c>
      <c r="D514" s="5">
        <v>3764302</v>
      </c>
      <c r="E514" s="6" t="s">
        <v>70</v>
      </c>
      <c r="F514" s="6" t="s">
        <v>71</v>
      </c>
      <c r="G514" s="6" t="s">
        <v>71</v>
      </c>
      <c r="H514" s="7"/>
      <c r="I514" s="35" t="str">
        <f t="shared" si="92"/>
        <v>130922</v>
      </c>
      <c r="J514" s="31" t="str">
        <f t="shared" si="93"/>
        <v>12</v>
      </c>
      <c r="N514" s="12" t="str">
        <f t="shared" si="94"/>
        <v>1</v>
      </c>
      <c r="O514" s="11" t="str">
        <f t="shared" si="105"/>
        <v>2</v>
      </c>
      <c r="P514" s="11" t="str">
        <f t="shared" si="96"/>
        <v>1</v>
      </c>
      <c r="Q514" s="11" t="str">
        <f t="shared" si="97"/>
        <v>3</v>
      </c>
      <c r="R514" s="11" t="str">
        <f t="shared" si="98"/>
        <v>0</v>
      </c>
      <c r="S514" s="11" t="str">
        <f t="shared" si="99"/>
        <v>9</v>
      </c>
      <c r="T514" s="11" t="str">
        <f t="shared" si="100"/>
        <v>2</v>
      </c>
      <c r="U514" s="11" t="str">
        <f t="shared" si="101"/>
        <v>2</v>
      </c>
      <c r="V514" s="11" t="str">
        <f t="shared" si="102"/>
        <v>0</v>
      </c>
      <c r="W514" s="11" t="str">
        <f t="shared" si="103"/>
        <v>6</v>
      </c>
      <c r="X514" s="11" t="str">
        <f t="shared" si="104"/>
        <v>9</v>
      </c>
    </row>
    <row r="515" spans="1:24" x14ac:dyDescent="0.35">
      <c r="A515" s="5">
        <v>14375</v>
      </c>
      <c r="B515" s="5">
        <v>12130922070</v>
      </c>
      <c r="C515" s="5">
        <v>727080</v>
      </c>
      <c r="D515" s="5">
        <v>3764302</v>
      </c>
      <c r="E515" s="6" t="s">
        <v>70</v>
      </c>
      <c r="F515" s="6" t="s">
        <v>71</v>
      </c>
      <c r="G515" s="6" t="s">
        <v>71</v>
      </c>
      <c r="H515" s="7"/>
      <c r="I515" s="35" t="str">
        <f t="shared" ref="I515:I578" si="106">MID(B515,IF(LEN(B515)=10,2,3),6)</f>
        <v>130922</v>
      </c>
      <c r="J515" s="31" t="str">
        <f t="shared" ref="J515:J578" si="107">TEXT(MID(B515,1,IF(LEN(B515)=10,1,2)),"00")</f>
        <v>12</v>
      </c>
      <c r="N515" s="12" t="str">
        <f t="shared" ref="N515:N578" si="108">IFERROR(MID($B515,LEN($B515)-10,1),0)</f>
        <v>1</v>
      </c>
      <c r="O515" s="11" t="str">
        <f t="shared" ref="O515:O578" si="109">MID($B515,LEN($B515)-9,1)</f>
        <v>2</v>
      </c>
      <c r="P515" s="11" t="str">
        <f t="shared" ref="P515:P578" si="110">MID($B515,LEN($B515)-8,1)</f>
        <v>1</v>
      </c>
      <c r="Q515" s="11" t="str">
        <f t="shared" ref="Q515:Q578" si="111">MID($B515,LEN($B515)-7,1)</f>
        <v>3</v>
      </c>
      <c r="R515" s="11" t="str">
        <f t="shared" ref="R515:R578" si="112">MID($B515,LEN($B515)-6,1)</f>
        <v>0</v>
      </c>
      <c r="S515" s="11" t="str">
        <f t="shared" ref="S515:S578" si="113">MID($B515,LEN($B515)-5,1)</f>
        <v>9</v>
      </c>
      <c r="T515" s="11" t="str">
        <f t="shared" ref="T515:T578" si="114">MID($B515,LEN($B515)-4,1)</f>
        <v>2</v>
      </c>
      <c r="U515" s="11" t="str">
        <f t="shared" ref="U515:U578" si="115">MID($B515,LEN($B515)-3,1)</f>
        <v>2</v>
      </c>
      <c r="V515" s="11" t="str">
        <f t="shared" ref="V515:V578" si="116">MID($B515,LEN($B515)-2,1)</f>
        <v>0</v>
      </c>
      <c r="W515" s="11" t="str">
        <f t="shared" ref="W515:W578" si="117">MID($B515,LEN($B515)-1,1)</f>
        <v>7</v>
      </c>
      <c r="X515" s="11" t="str">
        <f t="shared" ref="X515:X578" si="118">MID($B515,LEN($B515)-0,1)</f>
        <v>0</v>
      </c>
    </row>
    <row r="516" spans="1:24" x14ac:dyDescent="0.35">
      <c r="A516" s="5">
        <v>14376</v>
      </c>
      <c r="B516" s="5">
        <v>12130922071</v>
      </c>
      <c r="C516" s="5">
        <v>726816</v>
      </c>
      <c r="D516" s="5">
        <v>3763849</v>
      </c>
      <c r="E516" s="6" t="s">
        <v>70</v>
      </c>
      <c r="F516" s="6" t="s">
        <v>71</v>
      </c>
      <c r="G516" s="6" t="s">
        <v>71</v>
      </c>
      <c r="H516" s="7"/>
      <c r="I516" s="35" t="str">
        <f t="shared" si="106"/>
        <v>130922</v>
      </c>
      <c r="J516" s="31" t="str">
        <f t="shared" si="107"/>
        <v>12</v>
      </c>
      <c r="N516" s="12" t="str">
        <f t="shared" si="108"/>
        <v>1</v>
      </c>
      <c r="O516" s="11" t="str">
        <f t="shared" si="109"/>
        <v>2</v>
      </c>
      <c r="P516" s="11" t="str">
        <f t="shared" si="110"/>
        <v>1</v>
      </c>
      <c r="Q516" s="11" t="str">
        <f t="shared" si="111"/>
        <v>3</v>
      </c>
      <c r="R516" s="11" t="str">
        <f t="shared" si="112"/>
        <v>0</v>
      </c>
      <c r="S516" s="11" t="str">
        <f t="shared" si="113"/>
        <v>9</v>
      </c>
      <c r="T516" s="11" t="str">
        <f t="shared" si="114"/>
        <v>2</v>
      </c>
      <c r="U516" s="11" t="str">
        <f t="shared" si="115"/>
        <v>2</v>
      </c>
      <c r="V516" s="11" t="str">
        <f t="shared" si="116"/>
        <v>0</v>
      </c>
      <c r="W516" s="11" t="str">
        <f t="shared" si="117"/>
        <v>7</v>
      </c>
      <c r="X516" s="11" t="str">
        <f t="shared" si="118"/>
        <v>1</v>
      </c>
    </row>
    <row r="517" spans="1:24" x14ac:dyDescent="0.35">
      <c r="A517" s="5">
        <v>14377</v>
      </c>
      <c r="B517" s="5">
        <v>12130922072</v>
      </c>
      <c r="C517" s="5">
        <v>726816</v>
      </c>
      <c r="D517" s="5">
        <v>3763848</v>
      </c>
      <c r="E517" s="6" t="s">
        <v>70</v>
      </c>
      <c r="F517" s="6" t="s">
        <v>71</v>
      </c>
      <c r="G517" s="6" t="s">
        <v>71</v>
      </c>
      <c r="H517" s="7"/>
      <c r="I517" s="35" t="str">
        <f t="shared" si="106"/>
        <v>130922</v>
      </c>
      <c r="J517" s="31" t="str">
        <f t="shared" si="107"/>
        <v>12</v>
      </c>
      <c r="N517" s="12" t="str">
        <f t="shared" si="108"/>
        <v>1</v>
      </c>
      <c r="O517" s="11" t="str">
        <f t="shared" si="109"/>
        <v>2</v>
      </c>
      <c r="P517" s="11" t="str">
        <f t="shared" si="110"/>
        <v>1</v>
      </c>
      <c r="Q517" s="11" t="str">
        <f t="shared" si="111"/>
        <v>3</v>
      </c>
      <c r="R517" s="11" t="str">
        <f t="shared" si="112"/>
        <v>0</v>
      </c>
      <c r="S517" s="11" t="str">
        <f t="shared" si="113"/>
        <v>9</v>
      </c>
      <c r="T517" s="11" t="str">
        <f t="shared" si="114"/>
        <v>2</v>
      </c>
      <c r="U517" s="11" t="str">
        <f t="shared" si="115"/>
        <v>2</v>
      </c>
      <c r="V517" s="11" t="str">
        <f t="shared" si="116"/>
        <v>0</v>
      </c>
      <c r="W517" s="11" t="str">
        <f t="shared" si="117"/>
        <v>7</v>
      </c>
      <c r="X517" s="11" t="str">
        <f t="shared" si="118"/>
        <v>2</v>
      </c>
    </row>
    <row r="518" spans="1:24" x14ac:dyDescent="0.35">
      <c r="A518" s="5">
        <v>14378</v>
      </c>
      <c r="B518" s="5">
        <v>12130922073</v>
      </c>
      <c r="C518" s="5">
        <v>726816</v>
      </c>
      <c r="D518" s="5">
        <v>3763847</v>
      </c>
      <c r="E518" s="6" t="s">
        <v>70</v>
      </c>
      <c r="F518" s="6" t="s">
        <v>71</v>
      </c>
      <c r="G518" s="6" t="s">
        <v>71</v>
      </c>
      <c r="H518" s="7"/>
      <c r="I518" s="35" t="str">
        <f t="shared" si="106"/>
        <v>130922</v>
      </c>
      <c r="J518" s="31" t="str">
        <f t="shared" si="107"/>
        <v>12</v>
      </c>
      <c r="N518" s="12" t="str">
        <f t="shared" si="108"/>
        <v>1</v>
      </c>
      <c r="O518" s="11" t="str">
        <f t="shared" si="109"/>
        <v>2</v>
      </c>
      <c r="P518" s="11" t="str">
        <f t="shared" si="110"/>
        <v>1</v>
      </c>
      <c r="Q518" s="11" t="str">
        <f t="shared" si="111"/>
        <v>3</v>
      </c>
      <c r="R518" s="11" t="str">
        <f t="shared" si="112"/>
        <v>0</v>
      </c>
      <c r="S518" s="11" t="str">
        <f t="shared" si="113"/>
        <v>9</v>
      </c>
      <c r="T518" s="11" t="str">
        <f t="shared" si="114"/>
        <v>2</v>
      </c>
      <c r="U518" s="11" t="str">
        <f t="shared" si="115"/>
        <v>2</v>
      </c>
      <c r="V518" s="11" t="str">
        <f t="shared" si="116"/>
        <v>0</v>
      </c>
      <c r="W518" s="11" t="str">
        <f t="shared" si="117"/>
        <v>7</v>
      </c>
      <c r="X518" s="11" t="str">
        <f t="shared" si="118"/>
        <v>3</v>
      </c>
    </row>
    <row r="519" spans="1:24" x14ac:dyDescent="0.35">
      <c r="A519" s="5">
        <v>14379</v>
      </c>
      <c r="B519" s="5">
        <v>12130922074</v>
      </c>
      <c r="C519" s="5">
        <v>726791</v>
      </c>
      <c r="D519" s="5">
        <v>3763823</v>
      </c>
      <c r="E519" s="6" t="s">
        <v>70</v>
      </c>
      <c r="F519" s="6" t="s">
        <v>71</v>
      </c>
      <c r="G519" s="6" t="s">
        <v>71</v>
      </c>
      <c r="H519" s="7"/>
      <c r="I519" s="35" t="str">
        <f t="shared" si="106"/>
        <v>130922</v>
      </c>
      <c r="J519" s="31" t="str">
        <f t="shared" si="107"/>
        <v>12</v>
      </c>
      <c r="N519" s="12" t="str">
        <f t="shared" si="108"/>
        <v>1</v>
      </c>
      <c r="O519" s="11" t="str">
        <f t="shared" si="109"/>
        <v>2</v>
      </c>
      <c r="P519" s="11" t="str">
        <f t="shared" si="110"/>
        <v>1</v>
      </c>
      <c r="Q519" s="11" t="str">
        <f t="shared" si="111"/>
        <v>3</v>
      </c>
      <c r="R519" s="11" t="str">
        <f t="shared" si="112"/>
        <v>0</v>
      </c>
      <c r="S519" s="11" t="str">
        <f t="shared" si="113"/>
        <v>9</v>
      </c>
      <c r="T519" s="11" t="str">
        <f t="shared" si="114"/>
        <v>2</v>
      </c>
      <c r="U519" s="11" t="str">
        <f t="shared" si="115"/>
        <v>2</v>
      </c>
      <c r="V519" s="11" t="str">
        <f t="shared" si="116"/>
        <v>0</v>
      </c>
      <c r="W519" s="11" t="str">
        <f t="shared" si="117"/>
        <v>7</v>
      </c>
      <c r="X519" s="11" t="str">
        <f t="shared" si="118"/>
        <v>4</v>
      </c>
    </row>
    <row r="520" spans="1:24" x14ac:dyDescent="0.35">
      <c r="A520" s="5">
        <v>14380</v>
      </c>
      <c r="B520" s="5">
        <v>12130922075</v>
      </c>
      <c r="C520" s="5">
        <v>726791.1</v>
      </c>
      <c r="D520" s="5">
        <v>3763823.4</v>
      </c>
      <c r="E520" s="6" t="s">
        <v>70</v>
      </c>
      <c r="F520" s="6" t="s">
        <v>71</v>
      </c>
      <c r="G520" s="6" t="s">
        <v>71</v>
      </c>
      <c r="H520" s="7"/>
      <c r="I520" s="35" t="str">
        <f t="shared" si="106"/>
        <v>130922</v>
      </c>
      <c r="J520" s="31" t="str">
        <f t="shared" si="107"/>
        <v>12</v>
      </c>
      <c r="N520" s="12" t="str">
        <f t="shared" si="108"/>
        <v>1</v>
      </c>
      <c r="O520" s="11" t="str">
        <f t="shared" si="109"/>
        <v>2</v>
      </c>
      <c r="P520" s="11" t="str">
        <f t="shared" si="110"/>
        <v>1</v>
      </c>
      <c r="Q520" s="11" t="str">
        <f t="shared" si="111"/>
        <v>3</v>
      </c>
      <c r="R520" s="11" t="str">
        <f t="shared" si="112"/>
        <v>0</v>
      </c>
      <c r="S520" s="11" t="str">
        <f t="shared" si="113"/>
        <v>9</v>
      </c>
      <c r="T520" s="11" t="str">
        <f t="shared" si="114"/>
        <v>2</v>
      </c>
      <c r="U520" s="11" t="str">
        <f t="shared" si="115"/>
        <v>2</v>
      </c>
      <c r="V520" s="11" t="str">
        <f t="shared" si="116"/>
        <v>0</v>
      </c>
      <c r="W520" s="11" t="str">
        <f t="shared" si="117"/>
        <v>7</v>
      </c>
      <c r="X520" s="11" t="str">
        <f t="shared" si="118"/>
        <v>5</v>
      </c>
    </row>
    <row r="521" spans="1:24" x14ac:dyDescent="0.35">
      <c r="A521" s="5">
        <v>14381</v>
      </c>
      <c r="B521" s="5">
        <v>12130922076</v>
      </c>
      <c r="C521" s="5">
        <v>726840</v>
      </c>
      <c r="D521" s="5">
        <v>3763839</v>
      </c>
      <c r="E521" s="6" t="s">
        <v>70</v>
      </c>
      <c r="F521" s="6" t="s">
        <v>71</v>
      </c>
      <c r="G521" s="6" t="s">
        <v>71</v>
      </c>
      <c r="H521" s="7"/>
      <c r="I521" s="35" t="str">
        <f t="shared" si="106"/>
        <v>130922</v>
      </c>
      <c r="J521" s="31" t="str">
        <f t="shared" si="107"/>
        <v>12</v>
      </c>
      <c r="N521" s="12" t="str">
        <f t="shared" si="108"/>
        <v>1</v>
      </c>
      <c r="O521" s="11" t="str">
        <f t="shared" si="109"/>
        <v>2</v>
      </c>
      <c r="P521" s="11" t="str">
        <f t="shared" si="110"/>
        <v>1</v>
      </c>
      <c r="Q521" s="11" t="str">
        <f t="shared" si="111"/>
        <v>3</v>
      </c>
      <c r="R521" s="11" t="str">
        <f t="shared" si="112"/>
        <v>0</v>
      </c>
      <c r="S521" s="11" t="str">
        <f t="shared" si="113"/>
        <v>9</v>
      </c>
      <c r="T521" s="11" t="str">
        <f t="shared" si="114"/>
        <v>2</v>
      </c>
      <c r="U521" s="11" t="str">
        <f t="shared" si="115"/>
        <v>2</v>
      </c>
      <c r="V521" s="11" t="str">
        <f t="shared" si="116"/>
        <v>0</v>
      </c>
      <c r="W521" s="11" t="str">
        <f t="shared" si="117"/>
        <v>7</v>
      </c>
      <c r="X521" s="11" t="str">
        <f t="shared" si="118"/>
        <v>6</v>
      </c>
    </row>
    <row r="522" spans="1:24" x14ac:dyDescent="0.35">
      <c r="A522" s="5">
        <v>14382</v>
      </c>
      <c r="B522" s="5">
        <v>12130922077</v>
      </c>
      <c r="C522" s="5">
        <v>726878</v>
      </c>
      <c r="D522" s="5">
        <v>3763821</v>
      </c>
      <c r="E522" s="6" t="s">
        <v>70</v>
      </c>
      <c r="F522" s="6" t="s">
        <v>71</v>
      </c>
      <c r="G522" s="6" t="s">
        <v>71</v>
      </c>
      <c r="H522" s="7"/>
      <c r="I522" s="35" t="str">
        <f t="shared" si="106"/>
        <v>130922</v>
      </c>
      <c r="J522" s="31" t="str">
        <f t="shared" si="107"/>
        <v>12</v>
      </c>
      <c r="N522" s="12" t="str">
        <f t="shared" si="108"/>
        <v>1</v>
      </c>
      <c r="O522" s="11" t="str">
        <f t="shared" si="109"/>
        <v>2</v>
      </c>
      <c r="P522" s="11" t="str">
        <f t="shared" si="110"/>
        <v>1</v>
      </c>
      <c r="Q522" s="11" t="str">
        <f t="shared" si="111"/>
        <v>3</v>
      </c>
      <c r="R522" s="11" t="str">
        <f t="shared" si="112"/>
        <v>0</v>
      </c>
      <c r="S522" s="11" t="str">
        <f t="shared" si="113"/>
        <v>9</v>
      </c>
      <c r="T522" s="11" t="str">
        <f t="shared" si="114"/>
        <v>2</v>
      </c>
      <c r="U522" s="11" t="str">
        <f t="shared" si="115"/>
        <v>2</v>
      </c>
      <c r="V522" s="11" t="str">
        <f t="shared" si="116"/>
        <v>0</v>
      </c>
      <c r="W522" s="11" t="str">
        <f t="shared" si="117"/>
        <v>7</v>
      </c>
      <c r="X522" s="11" t="str">
        <f t="shared" si="118"/>
        <v>7</v>
      </c>
    </row>
    <row r="523" spans="1:24" x14ac:dyDescent="0.35">
      <c r="A523" s="5">
        <v>14383</v>
      </c>
      <c r="B523" s="5">
        <v>12130922078</v>
      </c>
      <c r="C523" s="5">
        <v>726910</v>
      </c>
      <c r="D523" s="5">
        <v>3763802</v>
      </c>
      <c r="E523" s="6" t="s">
        <v>70</v>
      </c>
      <c r="F523" s="6" t="s">
        <v>71</v>
      </c>
      <c r="G523" s="6" t="s">
        <v>71</v>
      </c>
      <c r="H523" s="7"/>
      <c r="I523" s="35" t="str">
        <f t="shared" si="106"/>
        <v>130922</v>
      </c>
      <c r="J523" s="31" t="str">
        <f t="shared" si="107"/>
        <v>12</v>
      </c>
      <c r="N523" s="12" t="str">
        <f t="shared" si="108"/>
        <v>1</v>
      </c>
      <c r="O523" s="11" t="str">
        <f t="shared" si="109"/>
        <v>2</v>
      </c>
      <c r="P523" s="11" t="str">
        <f t="shared" si="110"/>
        <v>1</v>
      </c>
      <c r="Q523" s="11" t="str">
        <f t="shared" si="111"/>
        <v>3</v>
      </c>
      <c r="R523" s="11" t="str">
        <f t="shared" si="112"/>
        <v>0</v>
      </c>
      <c r="S523" s="11" t="str">
        <f t="shared" si="113"/>
        <v>9</v>
      </c>
      <c r="T523" s="11" t="str">
        <f t="shared" si="114"/>
        <v>2</v>
      </c>
      <c r="U523" s="11" t="str">
        <f t="shared" si="115"/>
        <v>2</v>
      </c>
      <c r="V523" s="11" t="str">
        <f t="shared" si="116"/>
        <v>0</v>
      </c>
      <c r="W523" s="11" t="str">
        <f t="shared" si="117"/>
        <v>7</v>
      </c>
      <c r="X523" s="11" t="str">
        <f t="shared" si="118"/>
        <v>8</v>
      </c>
    </row>
    <row r="524" spans="1:24" x14ac:dyDescent="0.35">
      <c r="A524" s="5">
        <v>14384</v>
      </c>
      <c r="B524" s="5">
        <v>12130922079</v>
      </c>
      <c r="C524" s="5">
        <v>726778</v>
      </c>
      <c r="D524" s="5">
        <v>3763793</v>
      </c>
      <c r="E524" s="6" t="s">
        <v>70</v>
      </c>
      <c r="F524" s="6" t="s">
        <v>71</v>
      </c>
      <c r="G524" s="6" t="s">
        <v>71</v>
      </c>
      <c r="H524" s="7"/>
      <c r="I524" s="35" t="str">
        <f t="shared" si="106"/>
        <v>130922</v>
      </c>
      <c r="J524" s="31" t="str">
        <f t="shared" si="107"/>
        <v>12</v>
      </c>
      <c r="N524" s="12" t="str">
        <f t="shared" si="108"/>
        <v>1</v>
      </c>
      <c r="O524" s="11" t="str">
        <f t="shared" si="109"/>
        <v>2</v>
      </c>
      <c r="P524" s="11" t="str">
        <f t="shared" si="110"/>
        <v>1</v>
      </c>
      <c r="Q524" s="11" t="str">
        <f t="shared" si="111"/>
        <v>3</v>
      </c>
      <c r="R524" s="11" t="str">
        <f t="shared" si="112"/>
        <v>0</v>
      </c>
      <c r="S524" s="11" t="str">
        <f t="shared" si="113"/>
        <v>9</v>
      </c>
      <c r="T524" s="11" t="str">
        <f t="shared" si="114"/>
        <v>2</v>
      </c>
      <c r="U524" s="11" t="str">
        <f t="shared" si="115"/>
        <v>2</v>
      </c>
      <c r="V524" s="11" t="str">
        <f t="shared" si="116"/>
        <v>0</v>
      </c>
      <c r="W524" s="11" t="str">
        <f t="shared" si="117"/>
        <v>7</v>
      </c>
      <c r="X524" s="11" t="str">
        <f t="shared" si="118"/>
        <v>9</v>
      </c>
    </row>
    <row r="525" spans="1:24" x14ac:dyDescent="0.35">
      <c r="A525" s="5">
        <v>14385</v>
      </c>
      <c r="B525" s="5">
        <v>12130922080</v>
      </c>
      <c r="C525" s="5">
        <v>726778.1</v>
      </c>
      <c r="D525" s="5">
        <v>3763793.3</v>
      </c>
      <c r="E525" s="6" t="s">
        <v>70</v>
      </c>
      <c r="F525" s="6" t="s">
        <v>71</v>
      </c>
      <c r="G525" s="6" t="s">
        <v>71</v>
      </c>
      <c r="H525" s="7"/>
      <c r="I525" s="35" t="str">
        <f t="shared" si="106"/>
        <v>130922</v>
      </c>
      <c r="J525" s="31" t="str">
        <f t="shared" si="107"/>
        <v>12</v>
      </c>
      <c r="N525" s="12" t="str">
        <f t="shared" si="108"/>
        <v>1</v>
      </c>
      <c r="O525" s="11" t="str">
        <f t="shared" si="109"/>
        <v>2</v>
      </c>
      <c r="P525" s="11" t="str">
        <f t="shared" si="110"/>
        <v>1</v>
      </c>
      <c r="Q525" s="11" t="str">
        <f t="shared" si="111"/>
        <v>3</v>
      </c>
      <c r="R525" s="11" t="str">
        <f t="shared" si="112"/>
        <v>0</v>
      </c>
      <c r="S525" s="11" t="str">
        <f t="shared" si="113"/>
        <v>9</v>
      </c>
      <c r="T525" s="11" t="str">
        <f t="shared" si="114"/>
        <v>2</v>
      </c>
      <c r="U525" s="11" t="str">
        <f t="shared" si="115"/>
        <v>2</v>
      </c>
      <c r="V525" s="11" t="str">
        <f t="shared" si="116"/>
        <v>0</v>
      </c>
      <c r="W525" s="11" t="str">
        <f t="shared" si="117"/>
        <v>8</v>
      </c>
      <c r="X525" s="11" t="str">
        <f t="shared" si="118"/>
        <v>0</v>
      </c>
    </row>
    <row r="526" spans="1:24" x14ac:dyDescent="0.35">
      <c r="A526" s="5">
        <v>14386</v>
      </c>
      <c r="B526" s="5">
        <v>12130922081</v>
      </c>
      <c r="C526" s="5">
        <v>726778.2</v>
      </c>
      <c r="D526" s="5">
        <v>3763793.5</v>
      </c>
      <c r="E526" s="6" t="s">
        <v>70</v>
      </c>
      <c r="F526" s="6" t="s">
        <v>71</v>
      </c>
      <c r="G526" s="6" t="s">
        <v>71</v>
      </c>
      <c r="H526" s="7"/>
      <c r="I526" s="35" t="str">
        <f t="shared" si="106"/>
        <v>130922</v>
      </c>
      <c r="J526" s="31" t="str">
        <f t="shared" si="107"/>
        <v>12</v>
      </c>
      <c r="N526" s="12" t="str">
        <f t="shared" si="108"/>
        <v>1</v>
      </c>
      <c r="O526" s="11" t="str">
        <f t="shared" si="109"/>
        <v>2</v>
      </c>
      <c r="P526" s="11" t="str">
        <f t="shared" si="110"/>
        <v>1</v>
      </c>
      <c r="Q526" s="11" t="str">
        <f t="shared" si="111"/>
        <v>3</v>
      </c>
      <c r="R526" s="11" t="str">
        <f t="shared" si="112"/>
        <v>0</v>
      </c>
      <c r="S526" s="11" t="str">
        <f t="shared" si="113"/>
        <v>9</v>
      </c>
      <c r="T526" s="11" t="str">
        <f t="shared" si="114"/>
        <v>2</v>
      </c>
      <c r="U526" s="11" t="str">
        <f t="shared" si="115"/>
        <v>2</v>
      </c>
      <c r="V526" s="11" t="str">
        <f t="shared" si="116"/>
        <v>0</v>
      </c>
      <c r="W526" s="11" t="str">
        <f t="shared" si="117"/>
        <v>8</v>
      </c>
      <c r="X526" s="11" t="str">
        <f t="shared" si="118"/>
        <v>1</v>
      </c>
    </row>
    <row r="527" spans="1:24" x14ac:dyDescent="0.35">
      <c r="A527" s="5">
        <v>14387</v>
      </c>
      <c r="B527" s="5">
        <v>12130922082</v>
      </c>
      <c r="C527" s="5">
        <v>726791</v>
      </c>
      <c r="D527" s="5">
        <v>3763818</v>
      </c>
      <c r="E527" s="6" t="s">
        <v>70</v>
      </c>
      <c r="F527" s="6" t="s">
        <v>71</v>
      </c>
      <c r="G527" s="6" t="s">
        <v>71</v>
      </c>
      <c r="H527" s="7"/>
      <c r="I527" s="35" t="str">
        <f t="shared" si="106"/>
        <v>130922</v>
      </c>
      <c r="J527" s="31" t="str">
        <f t="shared" si="107"/>
        <v>12</v>
      </c>
      <c r="N527" s="12" t="str">
        <f t="shared" si="108"/>
        <v>1</v>
      </c>
      <c r="O527" s="11" t="str">
        <f t="shared" si="109"/>
        <v>2</v>
      </c>
      <c r="P527" s="11" t="str">
        <f t="shared" si="110"/>
        <v>1</v>
      </c>
      <c r="Q527" s="11" t="str">
        <f t="shared" si="111"/>
        <v>3</v>
      </c>
      <c r="R527" s="11" t="str">
        <f t="shared" si="112"/>
        <v>0</v>
      </c>
      <c r="S527" s="11" t="str">
        <f t="shared" si="113"/>
        <v>9</v>
      </c>
      <c r="T527" s="11" t="str">
        <f t="shared" si="114"/>
        <v>2</v>
      </c>
      <c r="U527" s="11" t="str">
        <f t="shared" si="115"/>
        <v>2</v>
      </c>
      <c r="V527" s="11" t="str">
        <f t="shared" si="116"/>
        <v>0</v>
      </c>
      <c r="W527" s="11" t="str">
        <f t="shared" si="117"/>
        <v>8</v>
      </c>
      <c r="X527" s="11" t="str">
        <f t="shared" si="118"/>
        <v>2</v>
      </c>
    </row>
    <row r="528" spans="1:24" x14ac:dyDescent="0.35">
      <c r="A528" s="5">
        <v>14388</v>
      </c>
      <c r="B528" s="5">
        <v>12130922083</v>
      </c>
      <c r="C528" s="5">
        <v>726762</v>
      </c>
      <c r="D528" s="5">
        <v>3763789</v>
      </c>
      <c r="E528" s="6" t="s">
        <v>70</v>
      </c>
      <c r="F528" s="6" t="s">
        <v>71</v>
      </c>
      <c r="G528" s="6" t="s">
        <v>71</v>
      </c>
      <c r="H528" s="7"/>
      <c r="I528" s="35" t="str">
        <f t="shared" si="106"/>
        <v>130922</v>
      </c>
      <c r="J528" s="31" t="str">
        <f t="shared" si="107"/>
        <v>12</v>
      </c>
      <c r="N528" s="12" t="str">
        <f t="shared" si="108"/>
        <v>1</v>
      </c>
      <c r="O528" s="11" t="str">
        <f t="shared" si="109"/>
        <v>2</v>
      </c>
      <c r="P528" s="11" t="str">
        <f t="shared" si="110"/>
        <v>1</v>
      </c>
      <c r="Q528" s="11" t="str">
        <f t="shared" si="111"/>
        <v>3</v>
      </c>
      <c r="R528" s="11" t="str">
        <f t="shared" si="112"/>
        <v>0</v>
      </c>
      <c r="S528" s="11" t="str">
        <f t="shared" si="113"/>
        <v>9</v>
      </c>
      <c r="T528" s="11" t="str">
        <f t="shared" si="114"/>
        <v>2</v>
      </c>
      <c r="U528" s="11" t="str">
        <f t="shared" si="115"/>
        <v>2</v>
      </c>
      <c r="V528" s="11" t="str">
        <f t="shared" si="116"/>
        <v>0</v>
      </c>
      <c r="W528" s="11" t="str">
        <f t="shared" si="117"/>
        <v>8</v>
      </c>
      <c r="X528" s="11" t="str">
        <f t="shared" si="118"/>
        <v>3</v>
      </c>
    </row>
    <row r="529" spans="1:24" x14ac:dyDescent="0.35">
      <c r="A529" s="5">
        <v>14389</v>
      </c>
      <c r="B529" s="5">
        <v>12130922084</v>
      </c>
      <c r="C529" s="5">
        <v>726800</v>
      </c>
      <c r="D529" s="5">
        <v>3763762</v>
      </c>
      <c r="E529" s="6" t="s">
        <v>70</v>
      </c>
      <c r="F529" s="6" t="s">
        <v>71</v>
      </c>
      <c r="G529" s="6" t="s">
        <v>71</v>
      </c>
      <c r="H529" s="7"/>
      <c r="I529" s="35" t="str">
        <f t="shared" si="106"/>
        <v>130922</v>
      </c>
      <c r="J529" s="31" t="str">
        <f t="shared" si="107"/>
        <v>12</v>
      </c>
      <c r="N529" s="12" t="str">
        <f t="shared" si="108"/>
        <v>1</v>
      </c>
      <c r="O529" s="11" t="str">
        <f t="shared" si="109"/>
        <v>2</v>
      </c>
      <c r="P529" s="11" t="str">
        <f t="shared" si="110"/>
        <v>1</v>
      </c>
      <c r="Q529" s="11" t="str">
        <f t="shared" si="111"/>
        <v>3</v>
      </c>
      <c r="R529" s="11" t="str">
        <f t="shared" si="112"/>
        <v>0</v>
      </c>
      <c r="S529" s="11" t="str">
        <f t="shared" si="113"/>
        <v>9</v>
      </c>
      <c r="T529" s="11" t="str">
        <f t="shared" si="114"/>
        <v>2</v>
      </c>
      <c r="U529" s="11" t="str">
        <f t="shared" si="115"/>
        <v>2</v>
      </c>
      <c r="V529" s="11" t="str">
        <f t="shared" si="116"/>
        <v>0</v>
      </c>
      <c r="W529" s="11" t="str">
        <f t="shared" si="117"/>
        <v>8</v>
      </c>
      <c r="X529" s="11" t="str">
        <f t="shared" si="118"/>
        <v>4</v>
      </c>
    </row>
    <row r="530" spans="1:24" x14ac:dyDescent="0.35">
      <c r="A530" s="5">
        <v>14390</v>
      </c>
      <c r="B530" s="5">
        <v>12130922085</v>
      </c>
      <c r="C530" s="5">
        <v>726840</v>
      </c>
      <c r="D530" s="5">
        <v>3763747</v>
      </c>
      <c r="E530" s="6" t="s">
        <v>70</v>
      </c>
      <c r="F530" s="6" t="s">
        <v>71</v>
      </c>
      <c r="G530" s="6" t="s">
        <v>71</v>
      </c>
      <c r="H530" s="7"/>
      <c r="I530" s="35" t="str">
        <f t="shared" si="106"/>
        <v>130922</v>
      </c>
      <c r="J530" s="31" t="str">
        <f t="shared" si="107"/>
        <v>12</v>
      </c>
      <c r="N530" s="12" t="str">
        <f t="shared" si="108"/>
        <v>1</v>
      </c>
      <c r="O530" s="11" t="str">
        <f t="shared" si="109"/>
        <v>2</v>
      </c>
      <c r="P530" s="11" t="str">
        <f t="shared" si="110"/>
        <v>1</v>
      </c>
      <c r="Q530" s="11" t="str">
        <f t="shared" si="111"/>
        <v>3</v>
      </c>
      <c r="R530" s="11" t="str">
        <f t="shared" si="112"/>
        <v>0</v>
      </c>
      <c r="S530" s="11" t="str">
        <f t="shared" si="113"/>
        <v>9</v>
      </c>
      <c r="T530" s="11" t="str">
        <f t="shared" si="114"/>
        <v>2</v>
      </c>
      <c r="U530" s="11" t="str">
        <f t="shared" si="115"/>
        <v>2</v>
      </c>
      <c r="V530" s="11" t="str">
        <f t="shared" si="116"/>
        <v>0</v>
      </c>
      <c r="W530" s="11" t="str">
        <f t="shared" si="117"/>
        <v>8</v>
      </c>
      <c r="X530" s="11" t="str">
        <f t="shared" si="118"/>
        <v>5</v>
      </c>
    </row>
    <row r="531" spans="1:24" x14ac:dyDescent="0.35">
      <c r="A531" s="5">
        <v>14391</v>
      </c>
      <c r="B531" s="5">
        <v>12130922086</v>
      </c>
      <c r="C531" s="5">
        <v>726752</v>
      </c>
      <c r="D531" s="5">
        <v>3763763</v>
      </c>
      <c r="E531" s="6" t="s">
        <v>70</v>
      </c>
      <c r="F531" s="6" t="s">
        <v>71</v>
      </c>
      <c r="G531" s="6" t="s">
        <v>71</v>
      </c>
      <c r="H531" s="7"/>
      <c r="I531" s="35" t="str">
        <f t="shared" si="106"/>
        <v>130922</v>
      </c>
      <c r="J531" s="31" t="str">
        <f t="shared" si="107"/>
        <v>12</v>
      </c>
      <c r="N531" s="12" t="str">
        <f t="shared" si="108"/>
        <v>1</v>
      </c>
      <c r="O531" s="11" t="str">
        <f t="shared" si="109"/>
        <v>2</v>
      </c>
      <c r="P531" s="11" t="str">
        <f t="shared" si="110"/>
        <v>1</v>
      </c>
      <c r="Q531" s="11" t="str">
        <f t="shared" si="111"/>
        <v>3</v>
      </c>
      <c r="R531" s="11" t="str">
        <f t="shared" si="112"/>
        <v>0</v>
      </c>
      <c r="S531" s="11" t="str">
        <f t="shared" si="113"/>
        <v>9</v>
      </c>
      <c r="T531" s="11" t="str">
        <f t="shared" si="114"/>
        <v>2</v>
      </c>
      <c r="U531" s="11" t="str">
        <f t="shared" si="115"/>
        <v>2</v>
      </c>
      <c r="V531" s="11" t="str">
        <f t="shared" si="116"/>
        <v>0</v>
      </c>
      <c r="W531" s="11" t="str">
        <f t="shared" si="117"/>
        <v>8</v>
      </c>
      <c r="X531" s="11" t="str">
        <f t="shared" si="118"/>
        <v>6</v>
      </c>
    </row>
    <row r="532" spans="1:24" x14ac:dyDescent="0.35">
      <c r="A532" s="5">
        <v>14392</v>
      </c>
      <c r="B532" s="5">
        <v>12130922087</v>
      </c>
      <c r="C532" s="5">
        <v>726750</v>
      </c>
      <c r="D532" s="5">
        <v>3763763</v>
      </c>
      <c r="E532" s="6" t="s">
        <v>70</v>
      </c>
      <c r="F532" s="6" t="s">
        <v>71</v>
      </c>
      <c r="G532" s="6" t="s">
        <v>71</v>
      </c>
      <c r="H532" s="7"/>
      <c r="I532" s="35" t="str">
        <f t="shared" si="106"/>
        <v>130922</v>
      </c>
      <c r="J532" s="31" t="str">
        <f t="shared" si="107"/>
        <v>12</v>
      </c>
      <c r="N532" s="12" t="str">
        <f t="shared" si="108"/>
        <v>1</v>
      </c>
      <c r="O532" s="11" t="str">
        <f t="shared" si="109"/>
        <v>2</v>
      </c>
      <c r="P532" s="11" t="str">
        <f t="shared" si="110"/>
        <v>1</v>
      </c>
      <c r="Q532" s="11" t="str">
        <f t="shared" si="111"/>
        <v>3</v>
      </c>
      <c r="R532" s="11" t="str">
        <f t="shared" si="112"/>
        <v>0</v>
      </c>
      <c r="S532" s="11" t="str">
        <f t="shared" si="113"/>
        <v>9</v>
      </c>
      <c r="T532" s="11" t="str">
        <f t="shared" si="114"/>
        <v>2</v>
      </c>
      <c r="U532" s="11" t="str">
        <f t="shared" si="115"/>
        <v>2</v>
      </c>
      <c r="V532" s="11" t="str">
        <f t="shared" si="116"/>
        <v>0</v>
      </c>
      <c r="W532" s="11" t="str">
        <f t="shared" si="117"/>
        <v>8</v>
      </c>
      <c r="X532" s="11" t="str">
        <f t="shared" si="118"/>
        <v>7</v>
      </c>
    </row>
    <row r="533" spans="1:24" x14ac:dyDescent="0.35">
      <c r="A533" s="5">
        <v>14393</v>
      </c>
      <c r="B533" s="5">
        <v>12130922088</v>
      </c>
      <c r="C533" s="5">
        <v>726749</v>
      </c>
      <c r="D533" s="5">
        <v>3763763</v>
      </c>
      <c r="E533" s="6" t="s">
        <v>70</v>
      </c>
      <c r="F533" s="6" t="s">
        <v>71</v>
      </c>
      <c r="G533" s="6" t="s">
        <v>71</v>
      </c>
      <c r="H533" s="7"/>
      <c r="I533" s="35" t="str">
        <f t="shared" si="106"/>
        <v>130922</v>
      </c>
      <c r="J533" s="31" t="str">
        <f t="shared" si="107"/>
        <v>12</v>
      </c>
      <c r="N533" s="12" t="str">
        <f t="shared" si="108"/>
        <v>1</v>
      </c>
      <c r="O533" s="11" t="str">
        <f t="shared" si="109"/>
        <v>2</v>
      </c>
      <c r="P533" s="11" t="str">
        <f t="shared" si="110"/>
        <v>1</v>
      </c>
      <c r="Q533" s="11" t="str">
        <f t="shared" si="111"/>
        <v>3</v>
      </c>
      <c r="R533" s="11" t="str">
        <f t="shared" si="112"/>
        <v>0</v>
      </c>
      <c r="S533" s="11" t="str">
        <f t="shared" si="113"/>
        <v>9</v>
      </c>
      <c r="T533" s="11" t="str">
        <f t="shared" si="114"/>
        <v>2</v>
      </c>
      <c r="U533" s="11" t="str">
        <f t="shared" si="115"/>
        <v>2</v>
      </c>
      <c r="V533" s="11" t="str">
        <f t="shared" si="116"/>
        <v>0</v>
      </c>
      <c r="W533" s="11" t="str">
        <f t="shared" si="117"/>
        <v>8</v>
      </c>
      <c r="X533" s="11" t="str">
        <f t="shared" si="118"/>
        <v>8</v>
      </c>
    </row>
    <row r="534" spans="1:24" x14ac:dyDescent="0.35">
      <c r="A534" s="5">
        <v>14394</v>
      </c>
      <c r="B534" s="5">
        <v>12130922089</v>
      </c>
      <c r="C534" s="5">
        <v>726719</v>
      </c>
      <c r="D534" s="5">
        <v>3763717</v>
      </c>
      <c r="E534" s="6" t="s">
        <v>70</v>
      </c>
      <c r="F534" s="6" t="s">
        <v>71</v>
      </c>
      <c r="G534" s="6" t="s">
        <v>71</v>
      </c>
      <c r="H534" s="7"/>
      <c r="I534" s="35" t="str">
        <f t="shared" si="106"/>
        <v>130922</v>
      </c>
      <c r="J534" s="31" t="str">
        <f t="shared" si="107"/>
        <v>12</v>
      </c>
      <c r="N534" s="12" t="str">
        <f t="shared" si="108"/>
        <v>1</v>
      </c>
      <c r="O534" s="11" t="str">
        <f t="shared" si="109"/>
        <v>2</v>
      </c>
      <c r="P534" s="11" t="str">
        <f t="shared" si="110"/>
        <v>1</v>
      </c>
      <c r="Q534" s="11" t="str">
        <f t="shared" si="111"/>
        <v>3</v>
      </c>
      <c r="R534" s="11" t="str">
        <f t="shared" si="112"/>
        <v>0</v>
      </c>
      <c r="S534" s="11" t="str">
        <f t="shared" si="113"/>
        <v>9</v>
      </c>
      <c r="T534" s="11" t="str">
        <f t="shared" si="114"/>
        <v>2</v>
      </c>
      <c r="U534" s="11" t="str">
        <f t="shared" si="115"/>
        <v>2</v>
      </c>
      <c r="V534" s="11" t="str">
        <f t="shared" si="116"/>
        <v>0</v>
      </c>
      <c r="W534" s="11" t="str">
        <f t="shared" si="117"/>
        <v>8</v>
      </c>
      <c r="X534" s="11" t="str">
        <f t="shared" si="118"/>
        <v>9</v>
      </c>
    </row>
    <row r="535" spans="1:24" x14ac:dyDescent="0.35">
      <c r="A535" s="5">
        <v>14395</v>
      </c>
      <c r="B535" s="5">
        <v>12130922090</v>
      </c>
      <c r="C535" s="5">
        <v>726689</v>
      </c>
      <c r="D535" s="5">
        <v>3763674</v>
      </c>
      <c r="E535" s="6" t="s">
        <v>70</v>
      </c>
      <c r="F535" s="6" t="s">
        <v>71</v>
      </c>
      <c r="G535" s="6" t="s">
        <v>71</v>
      </c>
      <c r="H535" s="7"/>
      <c r="I535" s="35" t="str">
        <f t="shared" si="106"/>
        <v>130922</v>
      </c>
      <c r="J535" s="31" t="str">
        <f t="shared" si="107"/>
        <v>12</v>
      </c>
      <c r="N535" s="12" t="str">
        <f t="shared" si="108"/>
        <v>1</v>
      </c>
      <c r="O535" s="11" t="str">
        <f t="shared" si="109"/>
        <v>2</v>
      </c>
      <c r="P535" s="11" t="str">
        <f t="shared" si="110"/>
        <v>1</v>
      </c>
      <c r="Q535" s="11" t="str">
        <f t="shared" si="111"/>
        <v>3</v>
      </c>
      <c r="R535" s="11" t="str">
        <f t="shared" si="112"/>
        <v>0</v>
      </c>
      <c r="S535" s="11" t="str">
        <f t="shared" si="113"/>
        <v>9</v>
      </c>
      <c r="T535" s="11" t="str">
        <f t="shared" si="114"/>
        <v>2</v>
      </c>
      <c r="U535" s="11" t="str">
        <f t="shared" si="115"/>
        <v>2</v>
      </c>
      <c r="V535" s="11" t="str">
        <f t="shared" si="116"/>
        <v>0</v>
      </c>
      <c r="W535" s="11" t="str">
        <f t="shared" si="117"/>
        <v>9</v>
      </c>
      <c r="X535" s="11" t="str">
        <f t="shared" si="118"/>
        <v>0</v>
      </c>
    </row>
    <row r="536" spans="1:24" x14ac:dyDescent="0.35">
      <c r="A536" s="5">
        <v>14396</v>
      </c>
      <c r="B536" s="5">
        <v>12130922091</v>
      </c>
      <c r="C536" s="5">
        <v>726709</v>
      </c>
      <c r="D536" s="5">
        <v>3763660</v>
      </c>
      <c r="E536" s="6" t="s">
        <v>70</v>
      </c>
      <c r="F536" s="6" t="s">
        <v>71</v>
      </c>
      <c r="G536" s="6" t="s">
        <v>71</v>
      </c>
      <c r="H536" s="7"/>
      <c r="I536" s="35" t="str">
        <f t="shared" si="106"/>
        <v>130922</v>
      </c>
      <c r="J536" s="31" t="str">
        <f t="shared" si="107"/>
        <v>12</v>
      </c>
      <c r="N536" s="12" t="str">
        <f t="shared" si="108"/>
        <v>1</v>
      </c>
      <c r="O536" s="11" t="str">
        <f t="shared" si="109"/>
        <v>2</v>
      </c>
      <c r="P536" s="11" t="str">
        <f t="shared" si="110"/>
        <v>1</v>
      </c>
      <c r="Q536" s="11" t="str">
        <f t="shared" si="111"/>
        <v>3</v>
      </c>
      <c r="R536" s="11" t="str">
        <f t="shared" si="112"/>
        <v>0</v>
      </c>
      <c r="S536" s="11" t="str">
        <f t="shared" si="113"/>
        <v>9</v>
      </c>
      <c r="T536" s="11" t="str">
        <f t="shared" si="114"/>
        <v>2</v>
      </c>
      <c r="U536" s="11" t="str">
        <f t="shared" si="115"/>
        <v>2</v>
      </c>
      <c r="V536" s="11" t="str">
        <f t="shared" si="116"/>
        <v>0</v>
      </c>
      <c r="W536" s="11" t="str">
        <f t="shared" si="117"/>
        <v>9</v>
      </c>
      <c r="X536" s="11" t="str">
        <f t="shared" si="118"/>
        <v>1</v>
      </c>
    </row>
    <row r="537" spans="1:24" x14ac:dyDescent="0.35">
      <c r="A537" s="5">
        <v>14397</v>
      </c>
      <c r="B537" s="5">
        <v>12130922092</v>
      </c>
      <c r="C537" s="5">
        <v>726737</v>
      </c>
      <c r="D537" s="5">
        <v>3763631</v>
      </c>
      <c r="E537" s="6" t="s">
        <v>70</v>
      </c>
      <c r="F537" s="6" t="s">
        <v>71</v>
      </c>
      <c r="G537" s="6" t="s">
        <v>71</v>
      </c>
      <c r="H537" s="7"/>
      <c r="I537" s="35" t="str">
        <f t="shared" si="106"/>
        <v>130922</v>
      </c>
      <c r="J537" s="31" t="str">
        <f t="shared" si="107"/>
        <v>12</v>
      </c>
      <c r="N537" s="12" t="str">
        <f t="shared" si="108"/>
        <v>1</v>
      </c>
      <c r="O537" s="11" t="str">
        <f t="shared" si="109"/>
        <v>2</v>
      </c>
      <c r="P537" s="11" t="str">
        <f t="shared" si="110"/>
        <v>1</v>
      </c>
      <c r="Q537" s="11" t="str">
        <f t="shared" si="111"/>
        <v>3</v>
      </c>
      <c r="R537" s="11" t="str">
        <f t="shared" si="112"/>
        <v>0</v>
      </c>
      <c r="S537" s="11" t="str">
        <f t="shared" si="113"/>
        <v>9</v>
      </c>
      <c r="T537" s="11" t="str">
        <f t="shared" si="114"/>
        <v>2</v>
      </c>
      <c r="U537" s="11" t="str">
        <f t="shared" si="115"/>
        <v>2</v>
      </c>
      <c r="V537" s="11" t="str">
        <f t="shared" si="116"/>
        <v>0</v>
      </c>
      <c r="W537" s="11" t="str">
        <f t="shared" si="117"/>
        <v>9</v>
      </c>
      <c r="X537" s="11" t="str">
        <f t="shared" si="118"/>
        <v>2</v>
      </c>
    </row>
    <row r="538" spans="1:24" x14ac:dyDescent="0.35">
      <c r="A538" s="5">
        <v>14398</v>
      </c>
      <c r="B538" s="5">
        <v>12130922093</v>
      </c>
      <c r="C538" s="5">
        <v>726737.1</v>
      </c>
      <c r="D538" s="5">
        <v>3763631.3</v>
      </c>
      <c r="E538" s="6" t="s">
        <v>70</v>
      </c>
      <c r="F538" s="6" t="s">
        <v>71</v>
      </c>
      <c r="G538" s="6" t="s">
        <v>71</v>
      </c>
      <c r="H538" s="7"/>
      <c r="I538" s="35" t="str">
        <f t="shared" si="106"/>
        <v>130922</v>
      </c>
      <c r="J538" s="31" t="str">
        <f t="shared" si="107"/>
        <v>12</v>
      </c>
      <c r="N538" s="12" t="str">
        <f t="shared" si="108"/>
        <v>1</v>
      </c>
      <c r="O538" s="11" t="str">
        <f t="shared" si="109"/>
        <v>2</v>
      </c>
      <c r="P538" s="11" t="str">
        <f t="shared" si="110"/>
        <v>1</v>
      </c>
      <c r="Q538" s="11" t="str">
        <f t="shared" si="111"/>
        <v>3</v>
      </c>
      <c r="R538" s="11" t="str">
        <f t="shared" si="112"/>
        <v>0</v>
      </c>
      <c r="S538" s="11" t="str">
        <f t="shared" si="113"/>
        <v>9</v>
      </c>
      <c r="T538" s="11" t="str">
        <f t="shared" si="114"/>
        <v>2</v>
      </c>
      <c r="U538" s="11" t="str">
        <f t="shared" si="115"/>
        <v>2</v>
      </c>
      <c r="V538" s="11" t="str">
        <f t="shared" si="116"/>
        <v>0</v>
      </c>
      <c r="W538" s="11" t="str">
        <f t="shared" si="117"/>
        <v>9</v>
      </c>
      <c r="X538" s="11" t="str">
        <f t="shared" si="118"/>
        <v>3</v>
      </c>
    </row>
    <row r="539" spans="1:24" x14ac:dyDescent="0.35">
      <c r="A539" s="5">
        <v>14399</v>
      </c>
      <c r="B539" s="5">
        <v>12130922094</v>
      </c>
      <c r="C539" s="5">
        <v>726737.2</v>
      </c>
      <c r="D539" s="5">
        <v>3763631.4</v>
      </c>
      <c r="E539" s="6" t="s">
        <v>70</v>
      </c>
      <c r="F539" s="6" t="s">
        <v>71</v>
      </c>
      <c r="G539" s="6" t="s">
        <v>71</v>
      </c>
      <c r="H539" s="7"/>
      <c r="I539" s="35" t="str">
        <f t="shared" si="106"/>
        <v>130922</v>
      </c>
      <c r="J539" s="31" t="str">
        <f t="shared" si="107"/>
        <v>12</v>
      </c>
      <c r="N539" s="12" t="str">
        <f t="shared" si="108"/>
        <v>1</v>
      </c>
      <c r="O539" s="11" t="str">
        <f t="shared" si="109"/>
        <v>2</v>
      </c>
      <c r="P539" s="11" t="str">
        <f t="shared" si="110"/>
        <v>1</v>
      </c>
      <c r="Q539" s="11" t="str">
        <f t="shared" si="111"/>
        <v>3</v>
      </c>
      <c r="R539" s="11" t="str">
        <f t="shared" si="112"/>
        <v>0</v>
      </c>
      <c r="S539" s="11" t="str">
        <f t="shared" si="113"/>
        <v>9</v>
      </c>
      <c r="T539" s="11" t="str">
        <f t="shared" si="114"/>
        <v>2</v>
      </c>
      <c r="U539" s="11" t="str">
        <f t="shared" si="115"/>
        <v>2</v>
      </c>
      <c r="V539" s="11" t="str">
        <f t="shared" si="116"/>
        <v>0</v>
      </c>
      <c r="W539" s="11" t="str">
        <f t="shared" si="117"/>
        <v>9</v>
      </c>
      <c r="X539" s="11" t="str">
        <f t="shared" si="118"/>
        <v>4</v>
      </c>
    </row>
    <row r="540" spans="1:24" x14ac:dyDescent="0.35">
      <c r="A540" s="5">
        <v>14400</v>
      </c>
      <c r="B540" s="5">
        <v>12130922095</v>
      </c>
      <c r="C540" s="5">
        <v>726775</v>
      </c>
      <c r="D540" s="5">
        <v>3763605</v>
      </c>
      <c r="E540" s="6" t="s">
        <v>70</v>
      </c>
      <c r="F540" s="6" t="s">
        <v>71</v>
      </c>
      <c r="G540" s="6" t="s">
        <v>71</v>
      </c>
      <c r="H540" s="7"/>
      <c r="I540" s="35" t="str">
        <f t="shared" si="106"/>
        <v>130922</v>
      </c>
      <c r="J540" s="31" t="str">
        <f t="shared" si="107"/>
        <v>12</v>
      </c>
      <c r="N540" s="12" t="str">
        <f t="shared" si="108"/>
        <v>1</v>
      </c>
      <c r="O540" s="11" t="str">
        <f t="shared" si="109"/>
        <v>2</v>
      </c>
      <c r="P540" s="11" t="str">
        <f t="shared" si="110"/>
        <v>1</v>
      </c>
      <c r="Q540" s="11" t="str">
        <f t="shared" si="111"/>
        <v>3</v>
      </c>
      <c r="R540" s="11" t="str">
        <f t="shared" si="112"/>
        <v>0</v>
      </c>
      <c r="S540" s="11" t="str">
        <f t="shared" si="113"/>
        <v>9</v>
      </c>
      <c r="T540" s="11" t="str">
        <f t="shared" si="114"/>
        <v>2</v>
      </c>
      <c r="U540" s="11" t="str">
        <f t="shared" si="115"/>
        <v>2</v>
      </c>
      <c r="V540" s="11" t="str">
        <f t="shared" si="116"/>
        <v>0</v>
      </c>
      <c r="W540" s="11" t="str">
        <f t="shared" si="117"/>
        <v>9</v>
      </c>
      <c r="X540" s="11" t="str">
        <f t="shared" si="118"/>
        <v>5</v>
      </c>
    </row>
    <row r="541" spans="1:24" x14ac:dyDescent="0.35">
      <c r="A541" s="5">
        <v>14401</v>
      </c>
      <c r="B541" s="5">
        <v>12130922096</v>
      </c>
      <c r="C541" s="5">
        <v>726819</v>
      </c>
      <c r="D541" s="5">
        <v>3763583</v>
      </c>
      <c r="E541" s="6" t="s">
        <v>70</v>
      </c>
      <c r="F541" s="6" t="s">
        <v>71</v>
      </c>
      <c r="G541" s="6" t="s">
        <v>71</v>
      </c>
      <c r="H541" s="7"/>
      <c r="I541" s="35" t="str">
        <f t="shared" si="106"/>
        <v>130922</v>
      </c>
      <c r="J541" s="31" t="str">
        <f t="shared" si="107"/>
        <v>12</v>
      </c>
      <c r="N541" s="12" t="str">
        <f t="shared" si="108"/>
        <v>1</v>
      </c>
      <c r="O541" s="11" t="str">
        <f t="shared" si="109"/>
        <v>2</v>
      </c>
      <c r="P541" s="11" t="str">
        <f t="shared" si="110"/>
        <v>1</v>
      </c>
      <c r="Q541" s="11" t="str">
        <f t="shared" si="111"/>
        <v>3</v>
      </c>
      <c r="R541" s="11" t="str">
        <f t="shared" si="112"/>
        <v>0</v>
      </c>
      <c r="S541" s="11" t="str">
        <f t="shared" si="113"/>
        <v>9</v>
      </c>
      <c r="T541" s="11" t="str">
        <f t="shared" si="114"/>
        <v>2</v>
      </c>
      <c r="U541" s="11" t="str">
        <f t="shared" si="115"/>
        <v>2</v>
      </c>
      <c r="V541" s="11" t="str">
        <f t="shared" si="116"/>
        <v>0</v>
      </c>
      <c r="W541" s="11" t="str">
        <f t="shared" si="117"/>
        <v>9</v>
      </c>
      <c r="X541" s="11" t="str">
        <f t="shared" si="118"/>
        <v>6</v>
      </c>
    </row>
    <row r="542" spans="1:24" x14ac:dyDescent="0.35">
      <c r="A542" s="5">
        <v>14402</v>
      </c>
      <c r="B542" s="5">
        <v>12130922097</v>
      </c>
      <c r="C542" s="5">
        <v>726664</v>
      </c>
      <c r="D542" s="5">
        <v>3763638</v>
      </c>
      <c r="E542" s="6" t="s">
        <v>70</v>
      </c>
      <c r="F542" s="6" t="s">
        <v>71</v>
      </c>
      <c r="G542" s="6" t="s">
        <v>71</v>
      </c>
      <c r="H542" s="7"/>
      <c r="I542" s="35" t="str">
        <f t="shared" si="106"/>
        <v>130922</v>
      </c>
      <c r="J542" s="31" t="str">
        <f t="shared" si="107"/>
        <v>12</v>
      </c>
      <c r="N542" s="12" t="str">
        <f t="shared" si="108"/>
        <v>1</v>
      </c>
      <c r="O542" s="11" t="str">
        <f t="shared" si="109"/>
        <v>2</v>
      </c>
      <c r="P542" s="11" t="str">
        <f t="shared" si="110"/>
        <v>1</v>
      </c>
      <c r="Q542" s="11" t="str">
        <f t="shared" si="111"/>
        <v>3</v>
      </c>
      <c r="R542" s="11" t="str">
        <f t="shared" si="112"/>
        <v>0</v>
      </c>
      <c r="S542" s="11" t="str">
        <f t="shared" si="113"/>
        <v>9</v>
      </c>
      <c r="T542" s="11" t="str">
        <f t="shared" si="114"/>
        <v>2</v>
      </c>
      <c r="U542" s="11" t="str">
        <f t="shared" si="115"/>
        <v>2</v>
      </c>
      <c r="V542" s="11" t="str">
        <f t="shared" si="116"/>
        <v>0</v>
      </c>
      <c r="W542" s="11" t="str">
        <f t="shared" si="117"/>
        <v>9</v>
      </c>
      <c r="X542" s="11" t="str">
        <f t="shared" si="118"/>
        <v>7</v>
      </c>
    </row>
    <row r="543" spans="1:24" x14ac:dyDescent="0.35">
      <c r="A543" s="5">
        <v>14403</v>
      </c>
      <c r="B543" s="5">
        <v>12130922098</v>
      </c>
      <c r="C543" s="5">
        <v>726642</v>
      </c>
      <c r="D543" s="5">
        <v>3763609</v>
      </c>
      <c r="E543" s="6" t="s">
        <v>70</v>
      </c>
      <c r="F543" s="6" t="s">
        <v>71</v>
      </c>
      <c r="G543" s="6" t="s">
        <v>71</v>
      </c>
      <c r="H543" s="7"/>
      <c r="I543" s="35" t="str">
        <f t="shared" si="106"/>
        <v>130922</v>
      </c>
      <c r="J543" s="31" t="str">
        <f t="shared" si="107"/>
        <v>12</v>
      </c>
      <c r="N543" s="12" t="str">
        <f t="shared" si="108"/>
        <v>1</v>
      </c>
      <c r="O543" s="11" t="str">
        <f t="shared" si="109"/>
        <v>2</v>
      </c>
      <c r="P543" s="11" t="str">
        <f t="shared" si="110"/>
        <v>1</v>
      </c>
      <c r="Q543" s="11" t="str">
        <f t="shared" si="111"/>
        <v>3</v>
      </c>
      <c r="R543" s="11" t="str">
        <f t="shared" si="112"/>
        <v>0</v>
      </c>
      <c r="S543" s="11" t="str">
        <f t="shared" si="113"/>
        <v>9</v>
      </c>
      <c r="T543" s="11" t="str">
        <f t="shared" si="114"/>
        <v>2</v>
      </c>
      <c r="U543" s="11" t="str">
        <f t="shared" si="115"/>
        <v>2</v>
      </c>
      <c r="V543" s="11" t="str">
        <f t="shared" si="116"/>
        <v>0</v>
      </c>
      <c r="W543" s="11" t="str">
        <f t="shared" si="117"/>
        <v>9</v>
      </c>
      <c r="X543" s="11" t="str">
        <f t="shared" si="118"/>
        <v>8</v>
      </c>
    </row>
    <row r="544" spans="1:24" x14ac:dyDescent="0.35">
      <c r="A544" s="5">
        <v>14404</v>
      </c>
      <c r="B544" s="5">
        <v>12130922099</v>
      </c>
      <c r="C544" s="5">
        <v>726624</v>
      </c>
      <c r="D544" s="5">
        <v>3763583</v>
      </c>
      <c r="E544" s="6" t="s">
        <v>70</v>
      </c>
      <c r="F544" s="6" t="s">
        <v>71</v>
      </c>
      <c r="G544" s="6" t="s">
        <v>71</v>
      </c>
      <c r="H544" s="7"/>
      <c r="I544" s="35" t="str">
        <f t="shared" si="106"/>
        <v>130922</v>
      </c>
      <c r="J544" s="31" t="str">
        <f t="shared" si="107"/>
        <v>12</v>
      </c>
      <c r="N544" s="12" t="str">
        <f t="shared" si="108"/>
        <v>1</v>
      </c>
      <c r="O544" s="11" t="str">
        <f t="shared" si="109"/>
        <v>2</v>
      </c>
      <c r="P544" s="11" t="str">
        <f t="shared" si="110"/>
        <v>1</v>
      </c>
      <c r="Q544" s="11" t="str">
        <f t="shared" si="111"/>
        <v>3</v>
      </c>
      <c r="R544" s="11" t="str">
        <f t="shared" si="112"/>
        <v>0</v>
      </c>
      <c r="S544" s="11" t="str">
        <f t="shared" si="113"/>
        <v>9</v>
      </c>
      <c r="T544" s="11" t="str">
        <f t="shared" si="114"/>
        <v>2</v>
      </c>
      <c r="U544" s="11" t="str">
        <f t="shared" si="115"/>
        <v>2</v>
      </c>
      <c r="V544" s="11" t="str">
        <f t="shared" si="116"/>
        <v>0</v>
      </c>
      <c r="W544" s="11" t="str">
        <f t="shared" si="117"/>
        <v>9</v>
      </c>
      <c r="X544" s="11" t="str">
        <f t="shared" si="118"/>
        <v>9</v>
      </c>
    </row>
    <row r="545" spans="1:24" x14ac:dyDescent="0.35">
      <c r="A545" s="5">
        <v>14405</v>
      </c>
      <c r="B545" s="5">
        <v>12130922100</v>
      </c>
      <c r="C545" s="5">
        <v>726625</v>
      </c>
      <c r="D545" s="5">
        <v>3763583</v>
      </c>
      <c r="E545" s="6" t="s">
        <v>70</v>
      </c>
      <c r="F545" s="6" t="s">
        <v>71</v>
      </c>
      <c r="G545" s="6" t="s">
        <v>71</v>
      </c>
      <c r="H545" s="7"/>
      <c r="I545" s="35" t="str">
        <f t="shared" si="106"/>
        <v>130922</v>
      </c>
      <c r="J545" s="31" t="str">
        <f t="shared" si="107"/>
        <v>12</v>
      </c>
      <c r="N545" s="12" t="str">
        <f t="shared" si="108"/>
        <v>1</v>
      </c>
      <c r="O545" s="11" t="str">
        <f t="shared" si="109"/>
        <v>2</v>
      </c>
      <c r="P545" s="11" t="str">
        <f t="shared" si="110"/>
        <v>1</v>
      </c>
      <c r="Q545" s="11" t="str">
        <f t="shared" si="111"/>
        <v>3</v>
      </c>
      <c r="R545" s="11" t="str">
        <f t="shared" si="112"/>
        <v>0</v>
      </c>
      <c r="S545" s="11" t="str">
        <f t="shared" si="113"/>
        <v>9</v>
      </c>
      <c r="T545" s="11" t="str">
        <f t="shared" si="114"/>
        <v>2</v>
      </c>
      <c r="U545" s="11" t="str">
        <f t="shared" si="115"/>
        <v>2</v>
      </c>
      <c r="V545" s="11" t="str">
        <f t="shared" si="116"/>
        <v>1</v>
      </c>
      <c r="W545" s="11" t="str">
        <f t="shared" si="117"/>
        <v>0</v>
      </c>
      <c r="X545" s="11" t="str">
        <f t="shared" si="118"/>
        <v>0</v>
      </c>
    </row>
    <row r="546" spans="1:24" x14ac:dyDescent="0.35">
      <c r="A546" s="5">
        <v>14406</v>
      </c>
      <c r="B546" s="5">
        <v>12130922101</v>
      </c>
      <c r="C546" s="5">
        <v>726626</v>
      </c>
      <c r="D546" s="5">
        <v>3763582</v>
      </c>
      <c r="E546" s="6" t="s">
        <v>70</v>
      </c>
      <c r="F546" s="6" t="s">
        <v>71</v>
      </c>
      <c r="G546" s="6" t="s">
        <v>71</v>
      </c>
      <c r="H546" s="7"/>
      <c r="I546" s="35" t="str">
        <f t="shared" si="106"/>
        <v>130922</v>
      </c>
      <c r="J546" s="31" t="str">
        <f t="shared" si="107"/>
        <v>12</v>
      </c>
      <c r="N546" s="12" t="str">
        <f t="shared" si="108"/>
        <v>1</v>
      </c>
      <c r="O546" s="11" t="str">
        <f t="shared" si="109"/>
        <v>2</v>
      </c>
      <c r="P546" s="11" t="str">
        <f t="shared" si="110"/>
        <v>1</v>
      </c>
      <c r="Q546" s="11" t="str">
        <f t="shared" si="111"/>
        <v>3</v>
      </c>
      <c r="R546" s="11" t="str">
        <f t="shared" si="112"/>
        <v>0</v>
      </c>
      <c r="S546" s="11" t="str">
        <f t="shared" si="113"/>
        <v>9</v>
      </c>
      <c r="T546" s="11" t="str">
        <f t="shared" si="114"/>
        <v>2</v>
      </c>
      <c r="U546" s="11" t="str">
        <f t="shared" si="115"/>
        <v>2</v>
      </c>
      <c r="V546" s="11" t="str">
        <f t="shared" si="116"/>
        <v>1</v>
      </c>
      <c r="W546" s="11" t="str">
        <f t="shared" si="117"/>
        <v>0</v>
      </c>
      <c r="X546" s="11" t="str">
        <f t="shared" si="118"/>
        <v>1</v>
      </c>
    </row>
    <row r="547" spans="1:24" x14ac:dyDescent="0.35">
      <c r="A547" s="5">
        <v>14407</v>
      </c>
      <c r="B547" s="5">
        <v>12130922102</v>
      </c>
      <c r="C547" s="5">
        <v>726650</v>
      </c>
      <c r="D547" s="5">
        <v>3763565</v>
      </c>
      <c r="E547" s="6" t="s">
        <v>70</v>
      </c>
      <c r="F547" s="6" t="s">
        <v>71</v>
      </c>
      <c r="G547" s="6" t="s">
        <v>71</v>
      </c>
      <c r="H547" s="7"/>
      <c r="I547" s="35" t="str">
        <f t="shared" si="106"/>
        <v>130922</v>
      </c>
      <c r="J547" s="31" t="str">
        <f t="shared" si="107"/>
        <v>12</v>
      </c>
      <c r="N547" s="12" t="str">
        <f t="shared" si="108"/>
        <v>1</v>
      </c>
      <c r="O547" s="11" t="str">
        <f t="shared" si="109"/>
        <v>2</v>
      </c>
      <c r="P547" s="11" t="str">
        <f t="shared" si="110"/>
        <v>1</v>
      </c>
      <c r="Q547" s="11" t="str">
        <f t="shared" si="111"/>
        <v>3</v>
      </c>
      <c r="R547" s="11" t="str">
        <f t="shared" si="112"/>
        <v>0</v>
      </c>
      <c r="S547" s="11" t="str">
        <f t="shared" si="113"/>
        <v>9</v>
      </c>
      <c r="T547" s="11" t="str">
        <f t="shared" si="114"/>
        <v>2</v>
      </c>
      <c r="U547" s="11" t="str">
        <f t="shared" si="115"/>
        <v>2</v>
      </c>
      <c r="V547" s="11" t="str">
        <f t="shared" si="116"/>
        <v>1</v>
      </c>
      <c r="W547" s="11" t="str">
        <f t="shared" si="117"/>
        <v>0</v>
      </c>
      <c r="X547" s="11" t="str">
        <f t="shared" si="118"/>
        <v>2</v>
      </c>
    </row>
    <row r="548" spans="1:24" x14ac:dyDescent="0.35">
      <c r="A548" s="5">
        <v>14408</v>
      </c>
      <c r="B548" s="5">
        <v>12130922103</v>
      </c>
      <c r="C548" s="5">
        <v>726685</v>
      </c>
      <c r="D548" s="5">
        <v>3763539</v>
      </c>
      <c r="E548" s="6" t="s">
        <v>70</v>
      </c>
      <c r="F548" s="6" t="s">
        <v>71</v>
      </c>
      <c r="G548" s="6" t="s">
        <v>71</v>
      </c>
      <c r="H548" s="7"/>
      <c r="I548" s="35" t="str">
        <f t="shared" si="106"/>
        <v>130922</v>
      </c>
      <c r="J548" s="31" t="str">
        <f t="shared" si="107"/>
        <v>12</v>
      </c>
      <c r="N548" s="12" t="str">
        <f t="shared" si="108"/>
        <v>1</v>
      </c>
      <c r="O548" s="11" t="str">
        <f t="shared" si="109"/>
        <v>2</v>
      </c>
      <c r="P548" s="11" t="str">
        <f t="shared" si="110"/>
        <v>1</v>
      </c>
      <c r="Q548" s="11" t="str">
        <f t="shared" si="111"/>
        <v>3</v>
      </c>
      <c r="R548" s="11" t="str">
        <f t="shared" si="112"/>
        <v>0</v>
      </c>
      <c r="S548" s="11" t="str">
        <f t="shared" si="113"/>
        <v>9</v>
      </c>
      <c r="T548" s="11" t="str">
        <f t="shared" si="114"/>
        <v>2</v>
      </c>
      <c r="U548" s="11" t="str">
        <f t="shared" si="115"/>
        <v>2</v>
      </c>
      <c r="V548" s="11" t="str">
        <f t="shared" si="116"/>
        <v>1</v>
      </c>
      <c r="W548" s="11" t="str">
        <f t="shared" si="117"/>
        <v>0</v>
      </c>
      <c r="X548" s="11" t="str">
        <f t="shared" si="118"/>
        <v>3</v>
      </c>
    </row>
    <row r="549" spans="1:24" x14ac:dyDescent="0.35">
      <c r="A549" s="5">
        <v>14409</v>
      </c>
      <c r="B549" s="5">
        <v>12130922104</v>
      </c>
      <c r="C549" s="5">
        <v>726727</v>
      </c>
      <c r="D549" s="5">
        <v>3763513</v>
      </c>
      <c r="E549" s="6" t="s">
        <v>70</v>
      </c>
      <c r="F549" s="6" t="s">
        <v>71</v>
      </c>
      <c r="G549" s="6" t="s">
        <v>71</v>
      </c>
      <c r="H549" s="7"/>
      <c r="I549" s="35" t="str">
        <f t="shared" si="106"/>
        <v>130922</v>
      </c>
      <c r="J549" s="31" t="str">
        <f t="shared" si="107"/>
        <v>12</v>
      </c>
      <c r="N549" s="12" t="str">
        <f t="shared" si="108"/>
        <v>1</v>
      </c>
      <c r="O549" s="11" t="str">
        <f t="shared" si="109"/>
        <v>2</v>
      </c>
      <c r="P549" s="11" t="str">
        <f t="shared" si="110"/>
        <v>1</v>
      </c>
      <c r="Q549" s="11" t="str">
        <f t="shared" si="111"/>
        <v>3</v>
      </c>
      <c r="R549" s="11" t="str">
        <f t="shared" si="112"/>
        <v>0</v>
      </c>
      <c r="S549" s="11" t="str">
        <f t="shared" si="113"/>
        <v>9</v>
      </c>
      <c r="T549" s="11" t="str">
        <f t="shared" si="114"/>
        <v>2</v>
      </c>
      <c r="U549" s="11" t="str">
        <f t="shared" si="115"/>
        <v>2</v>
      </c>
      <c r="V549" s="11" t="str">
        <f t="shared" si="116"/>
        <v>1</v>
      </c>
      <c r="W549" s="11" t="str">
        <f t="shared" si="117"/>
        <v>0</v>
      </c>
      <c r="X549" s="11" t="str">
        <f t="shared" si="118"/>
        <v>4</v>
      </c>
    </row>
    <row r="550" spans="1:24" x14ac:dyDescent="0.35">
      <c r="A550" s="5">
        <v>14410</v>
      </c>
      <c r="B550" s="5">
        <v>12130922105</v>
      </c>
      <c r="C550" s="5">
        <v>726767</v>
      </c>
      <c r="D550" s="5">
        <v>3763487</v>
      </c>
      <c r="E550" s="6" t="s">
        <v>70</v>
      </c>
      <c r="F550" s="6" t="s">
        <v>71</v>
      </c>
      <c r="G550" s="6" t="s">
        <v>71</v>
      </c>
      <c r="H550" s="7"/>
      <c r="I550" s="35" t="str">
        <f t="shared" si="106"/>
        <v>130922</v>
      </c>
      <c r="J550" s="31" t="str">
        <f t="shared" si="107"/>
        <v>12</v>
      </c>
      <c r="N550" s="12" t="str">
        <f t="shared" si="108"/>
        <v>1</v>
      </c>
      <c r="O550" s="11" t="str">
        <f t="shared" si="109"/>
        <v>2</v>
      </c>
      <c r="P550" s="11" t="str">
        <f t="shared" si="110"/>
        <v>1</v>
      </c>
      <c r="Q550" s="11" t="str">
        <f t="shared" si="111"/>
        <v>3</v>
      </c>
      <c r="R550" s="11" t="str">
        <f t="shared" si="112"/>
        <v>0</v>
      </c>
      <c r="S550" s="11" t="str">
        <f t="shared" si="113"/>
        <v>9</v>
      </c>
      <c r="T550" s="11" t="str">
        <f t="shared" si="114"/>
        <v>2</v>
      </c>
      <c r="U550" s="11" t="str">
        <f t="shared" si="115"/>
        <v>2</v>
      </c>
      <c r="V550" s="11" t="str">
        <f t="shared" si="116"/>
        <v>1</v>
      </c>
      <c r="W550" s="11" t="str">
        <f t="shared" si="117"/>
        <v>0</v>
      </c>
      <c r="X550" s="11" t="str">
        <f t="shared" si="118"/>
        <v>5</v>
      </c>
    </row>
    <row r="551" spans="1:24" x14ac:dyDescent="0.35">
      <c r="A551" s="5">
        <v>14411</v>
      </c>
      <c r="B551" s="5">
        <v>12130922106</v>
      </c>
      <c r="C551" s="5">
        <v>726581</v>
      </c>
      <c r="D551" s="5">
        <v>3763543</v>
      </c>
      <c r="E551" s="6" t="s">
        <v>70</v>
      </c>
      <c r="F551" s="6" t="s">
        <v>71</v>
      </c>
      <c r="G551" s="6" t="s">
        <v>71</v>
      </c>
      <c r="H551" s="7"/>
      <c r="I551" s="35" t="str">
        <f t="shared" si="106"/>
        <v>130922</v>
      </c>
      <c r="J551" s="31" t="str">
        <f t="shared" si="107"/>
        <v>12</v>
      </c>
      <c r="N551" s="12" t="str">
        <f t="shared" si="108"/>
        <v>1</v>
      </c>
      <c r="O551" s="11" t="str">
        <f t="shared" si="109"/>
        <v>2</v>
      </c>
      <c r="P551" s="11" t="str">
        <f t="shared" si="110"/>
        <v>1</v>
      </c>
      <c r="Q551" s="11" t="str">
        <f t="shared" si="111"/>
        <v>3</v>
      </c>
      <c r="R551" s="11" t="str">
        <f t="shared" si="112"/>
        <v>0</v>
      </c>
      <c r="S551" s="11" t="str">
        <f t="shared" si="113"/>
        <v>9</v>
      </c>
      <c r="T551" s="11" t="str">
        <f t="shared" si="114"/>
        <v>2</v>
      </c>
      <c r="U551" s="11" t="str">
        <f t="shared" si="115"/>
        <v>2</v>
      </c>
      <c r="V551" s="11" t="str">
        <f t="shared" si="116"/>
        <v>1</v>
      </c>
      <c r="W551" s="11" t="str">
        <f t="shared" si="117"/>
        <v>0</v>
      </c>
      <c r="X551" s="11" t="str">
        <f t="shared" si="118"/>
        <v>6</v>
      </c>
    </row>
    <row r="552" spans="1:24" x14ac:dyDescent="0.35">
      <c r="A552" s="5">
        <v>14412</v>
      </c>
      <c r="B552" s="5">
        <v>12130922107</v>
      </c>
      <c r="C552" s="5">
        <v>726580</v>
      </c>
      <c r="D552" s="5">
        <v>3763544</v>
      </c>
      <c r="E552" s="6" t="s">
        <v>70</v>
      </c>
      <c r="F552" s="6" t="s">
        <v>71</v>
      </c>
      <c r="G552" s="6" t="s">
        <v>71</v>
      </c>
      <c r="H552" s="7"/>
      <c r="I552" s="35" t="str">
        <f t="shared" si="106"/>
        <v>130922</v>
      </c>
      <c r="J552" s="31" t="str">
        <f t="shared" si="107"/>
        <v>12</v>
      </c>
      <c r="N552" s="12" t="str">
        <f t="shared" si="108"/>
        <v>1</v>
      </c>
      <c r="O552" s="11" t="str">
        <f t="shared" si="109"/>
        <v>2</v>
      </c>
      <c r="P552" s="11" t="str">
        <f t="shared" si="110"/>
        <v>1</v>
      </c>
      <c r="Q552" s="11" t="str">
        <f t="shared" si="111"/>
        <v>3</v>
      </c>
      <c r="R552" s="11" t="str">
        <f t="shared" si="112"/>
        <v>0</v>
      </c>
      <c r="S552" s="11" t="str">
        <f t="shared" si="113"/>
        <v>9</v>
      </c>
      <c r="T552" s="11" t="str">
        <f t="shared" si="114"/>
        <v>2</v>
      </c>
      <c r="U552" s="11" t="str">
        <f t="shared" si="115"/>
        <v>2</v>
      </c>
      <c r="V552" s="11" t="str">
        <f t="shared" si="116"/>
        <v>1</v>
      </c>
      <c r="W552" s="11" t="str">
        <f t="shared" si="117"/>
        <v>0</v>
      </c>
      <c r="X552" s="11" t="str">
        <f t="shared" si="118"/>
        <v>7</v>
      </c>
    </row>
    <row r="553" spans="1:24" x14ac:dyDescent="0.35">
      <c r="A553" s="5">
        <v>14413</v>
      </c>
      <c r="B553" s="5">
        <v>12130922108</v>
      </c>
      <c r="C553" s="5">
        <v>726581</v>
      </c>
      <c r="D553" s="5">
        <v>3763545</v>
      </c>
      <c r="E553" s="6" t="s">
        <v>70</v>
      </c>
      <c r="F553" s="6" t="s">
        <v>71</v>
      </c>
      <c r="G553" s="6" t="s">
        <v>71</v>
      </c>
      <c r="H553" s="7"/>
      <c r="I553" s="35" t="str">
        <f t="shared" si="106"/>
        <v>130922</v>
      </c>
      <c r="J553" s="31" t="str">
        <f t="shared" si="107"/>
        <v>12</v>
      </c>
      <c r="N553" s="12" t="str">
        <f t="shared" si="108"/>
        <v>1</v>
      </c>
      <c r="O553" s="11" t="str">
        <f t="shared" si="109"/>
        <v>2</v>
      </c>
      <c r="P553" s="11" t="str">
        <f t="shared" si="110"/>
        <v>1</v>
      </c>
      <c r="Q553" s="11" t="str">
        <f t="shared" si="111"/>
        <v>3</v>
      </c>
      <c r="R553" s="11" t="str">
        <f t="shared" si="112"/>
        <v>0</v>
      </c>
      <c r="S553" s="11" t="str">
        <f t="shared" si="113"/>
        <v>9</v>
      </c>
      <c r="T553" s="11" t="str">
        <f t="shared" si="114"/>
        <v>2</v>
      </c>
      <c r="U553" s="11" t="str">
        <f t="shared" si="115"/>
        <v>2</v>
      </c>
      <c r="V553" s="11" t="str">
        <f t="shared" si="116"/>
        <v>1</v>
      </c>
      <c r="W553" s="11" t="str">
        <f t="shared" si="117"/>
        <v>0</v>
      </c>
      <c r="X553" s="11" t="str">
        <f t="shared" si="118"/>
        <v>8</v>
      </c>
    </row>
    <row r="554" spans="1:24" x14ac:dyDescent="0.35">
      <c r="A554" s="5">
        <v>14414</v>
      </c>
      <c r="B554" s="5">
        <v>12130922109</v>
      </c>
      <c r="C554" s="5">
        <v>726596</v>
      </c>
      <c r="D554" s="5">
        <v>3763547</v>
      </c>
      <c r="E554" s="6" t="s">
        <v>70</v>
      </c>
      <c r="F554" s="6" t="s">
        <v>71</v>
      </c>
      <c r="G554" s="6" t="s">
        <v>71</v>
      </c>
      <c r="H554" s="7"/>
      <c r="I554" s="35" t="str">
        <f t="shared" si="106"/>
        <v>130922</v>
      </c>
      <c r="J554" s="31" t="str">
        <f t="shared" si="107"/>
        <v>12</v>
      </c>
      <c r="N554" s="12" t="str">
        <f t="shared" si="108"/>
        <v>1</v>
      </c>
      <c r="O554" s="11" t="str">
        <f t="shared" si="109"/>
        <v>2</v>
      </c>
      <c r="P554" s="11" t="str">
        <f t="shared" si="110"/>
        <v>1</v>
      </c>
      <c r="Q554" s="11" t="str">
        <f t="shared" si="111"/>
        <v>3</v>
      </c>
      <c r="R554" s="11" t="str">
        <f t="shared" si="112"/>
        <v>0</v>
      </c>
      <c r="S554" s="11" t="str">
        <f t="shared" si="113"/>
        <v>9</v>
      </c>
      <c r="T554" s="11" t="str">
        <f t="shared" si="114"/>
        <v>2</v>
      </c>
      <c r="U554" s="11" t="str">
        <f t="shared" si="115"/>
        <v>2</v>
      </c>
      <c r="V554" s="11" t="str">
        <f t="shared" si="116"/>
        <v>1</v>
      </c>
      <c r="W554" s="11" t="str">
        <f t="shared" si="117"/>
        <v>0</v>
      </c>
      <c r="X554" s="11" t="str">
        <f t="shared" si="118"/>
        <v>9</v>
      </c>
    </row>
    <row r="555" spans="1:24" x14ac:dyDescent="0.35">
      <c r="A555" s="5">
        <v>14415</v>
      </c>
      <c r="B555" s="5">
        <v>12130922110</v>
      </c>
      <c r="C555" s="5">
        <v>726626</v>
      </c>
      <c r="D555" s="5">
        <v>3763518</v>
      </c>
      <c r="E555" s="6" t="s">
        <v>70</v>
      </c>
      <c r="F555" s="6" t="s">
        <v>71</v>
      </c>
      <c r="G555" s="6" t="s">
        <v>71</v>
      </c>
      <c r="H555" s="7"/>
      <c r="I555" s="35" t="str">
        <f t="shared" si="106"/>
        <v>130922</v>
      </c>
      <c r="J555" s="31" t="str">
        <f t="shared" si="107"/>
        <v>12</v>
      </c>
      <c r="N555" s="12" t="str">
        <f t="shared" si="108"/>
        <v>1</v>
      </c>
      <c r="O555" s="11" t="str">
        <f t="shared" si="109"/>
        <v>2</v>
      </c>
      <c r="P555" s="11" t="str">
        <f t="shared" si="110"/>
        <v>1</v>
      </c>
      <c r="Q555" s="11" t="str">
        <f t="shared" si="111"/>
        <v>3</v>
      </c>
      <c r="R555" s="11" t="str">
        <f t="shared" si="112"/>
        <v>0</v>
      </c>
      <c r="S555" s="11" t="str">
        <f t="shared" si="113"/>
        <v>9</v>
      </c>
      <c r="T555" s="11" t="str">
        <f t="shared" si="114"/>
        <v>2</v>
      </c>
      <c r="U555" s="11" t="str">
        <f t="shared" si="115"/>
        <v>2</v>
      </c>
      <c r="V555" s="11" t="str">
        <f t="shared" si="116"/>
        <v>1</v>
      </c>
      <c r="W555" s="11" t="str">
        <f t="shared" si="117"/>
        <v>1</v>
      </c>
      <c r="X555" s="11" t="str">
        <f t="shared" si="118"/>
        <v>0</v>
      </c>
    </row>
    <row r="556" spans="1:24" x14ac:dyDescent="0.35">
      <c r="A556" s="5">
        <v>14416</v>
      </c>
      <c r="B556" s="5">
        <v>12130922111</v>
      </c>
      <c r="C556" s="5">
        <v>726660</v>
      </c>
      <c r="D556" s="5">
        <v>3763495</v>
      </c>
      <c r="E556" s="6" t="s">
        <v>70</v>
      </c>
      <c r="F556" s="6" t="s">
        <v>71</v>
      </c>
      <c r="G556" s="6" t="s">
        <v>71</v>
      </c>
      <c r="H556" s="7"/>
      <c r="I556" s="35" t="str">
        <f t="shared" si="106"/>
        <v>130922</v>
      </c>
      <c r="J556" s="31" t="str">
        <f t="shared" si="107"/>
        <v>12</v>
      </c>
      <c r="N556" s="12" t="str">
        <f t="shared" si="108"/>
        <v>1</v>
      </c>
      <c r="O556" s="11" t="str">
        <f t="shared" si="109"/>
        <v>2</v>
      </c>
      <c r="P556" s="11" t="str">
        <f t="shared" si="110"/>
        <v>1</v>
      </c>
      <c r="Q556" s="11" t="str">
        <f t="shared" si="111"/>
        <v>3</v>
      </c>
      <c r="R556" s="11" t="str">
        <f t="shared" si="112"/>
        <v>0</v>
      </c>
      <c r="S556" s="11" t="str">
        <f t="shared" si="113"/>
        <v>9</v>
      </c>
      <c r="T556" s="11" t="str">
        <f t="shared" si="114"/>
        <v>2</v>
      </c>
      <c r="U556" s="11" t="str">
        <f t="shared" si="115"/>
        <v>2</v>
      </c>
      <c r="V556" s="11" t="str">
        <f t="shared" si="116"/>
        <v>1</v>
      </c>
      <c r="W556" s="11" t="str">
        <f t="shared" si="117"/>
        <v>1</v>
      </c>
      <c r="X556" s="11" t="str">
        <f t="shared" si="118"/>
        <v>1</v>
      </c>
    </row>
    <row r="557" spans="1:24" x14ac:dyDescent="0.35">
      <c r="A557" s="5">
        <v>14417</v>
      </c>
      <c r="B557" s="5">
        <v>12130922112</v>
      </c>
      <c r="C557" s="5">
        <v>726565</v>
      </c>
      <c r="D557" s="5">
        <v>3763522</v>
      </c>
      <c r="E557" s="6" t="s">
        <v>70</v>
      </c>
      <c r="F557" s="6" t="s">
        <v>71</v>
      </c>
      <c r="G557" s="6" t="s">
        <v>71</v>
      </c>
      <c r="H557" s="7"/>
      <c r="I557" s="35" t="str">
        <f t="shared" si="106"/>
        <v>130922</v>
      </c>
      <c r="J557" s="31" t="str">
        <f t="shared" si="107"/>
        <v>12</v>
      </c>
      <c r="N557" s="12" t="str">
        <f t="shared" si="108"/>
        <v>1</v>
      </c>
      <c r="O557" s="11" t="str">
        <f t="shared" si="109"/>
        <v>2</v>
      </c>
      <c r="P557" s="11" t="str">
        <f t="shared" si="110"/>
        <v>1</v>
      </c>
      <c r="Q557" s="11" t="str">
        <f t="shared" si="111"/>
        <v>3</v>
      </c>
      <c r="R557" s="11" t="str">
        <f t="shared" si="112"/>
        <v>0</v>
      </c>
      <c r="S557" s="11" t="str">
        <f t="shared" si="113"/>
        <v>9</v>
      </c>
      <c r="T557" s="11" t="str">
        <f t="shared" si="114"/>
        <v>2</v>
      </c>
      <c r="U557" s="11" t="str">
        <f t="shared" si="115"/>
        <v>2</v>
      </c>
      <c r="V557" s="11" t="str">
        <f t="shared" si="116"/>
        <v>1</v>
      </c>
      <c r="W557" s="11" t="str">
        <f t="shared" si="117"/>
        <v>1</v>
      </c>
      <c r="X557" s="11" t="str">
        <f t="shared" si="118"/>
        <v>2</v>
      </c>
    </row>
    <row r="558" spans="1:24" x14ac:dyDescent="0.35">
      <c r="A558" s="5">
        <v>14418</v>
      </c>
      <c r="B558" s="5">
        <v>12130922113</v>
      </c>
      <c r="C558" s="5">
        <v>726579</v>
      </c>
      <c r="D558" s="5">
        <v>3763489</v>
      </c>
      <c r="E558" s="6" t="s">
        <v>70</v>
      </c>
      <c r="F558" s="6" t="s">
        <v>71</v>
      </c>
      <c r="G558" s="6" t="s">
        <v>71</v>
      </c>
      <c r="H558" s="7"/>
      <c r="I558" s="35" t="str">
        <f t="shared" si="106"/>
        <v>130922</v>
      </c>
      <c r="J558" s="31" t="str">
        <f t="shared" si="107"/>
        <v>12</v>
      </c>
      <c r="N558" s="12" t="str">
        <f t="shared" si="108"/>
        <v>1</v>
      </c>
      <c r="O558" s="11" t="str">
        <f t="shared" si="109"/>
        <v>2</v>
      </c>
      <c r="P558" s="11" t="str">
        <f t="shared" si="110"/>
        <v>1</v>
      </c>
      <c r="Q558" s="11" t="str">
        <f t="shared" si="111"/>
        <v>3</v>
      </c>
      <c r="R558" s="11" t="str">
        <f t="shared" si="112"/>
        <v>0</v>
      </c>
      <c r="S558" s="11" t="str">
        <f t="shared" si="113"/>
        <v>9</v>
      </c>
      <c r="T558" s="11" t="str">
        <f t="shared" si="114"/>
        <v>2</v>
      </c>
      <c r="U558" s="11" t="str">
        <f t="shared" si="115"/>
        <v>2</v>
      </c>
      <c r="V558" s="11" t="str">
        <f t="shared" si="116"/>
        <v>1</v>
      </c>
      <c r="W558" s="11" t="str">
        <f t="shared" si="117"/>
        <v>1</v>
      </c>
      <c r="X558" s="11" t="str">
        <f t="shared" si="118"/>
        <v>3</v>
      </c>
    </row>
    <row r="559" spans="1:24" x14ac:dyDescent="0.35">
      <c r="A559" s="5">
        <v>14419</v>
      </c>
      <c r="B559" s="5">
        <v>12130922114</v>
      </c>
      <c r="C559" s="5">
        <v>726654</v>
      </c>
      <c r="D559" s="5">
        <v>3763691</v>
      </c>
      <c r="E559" s="6" t="s">
        <v>70</v>
      </c>
      <c r="F559" s="6" t="s">
        <v>71</v>
      </c>
      <c r="G559" s="6" t="s">
        <v>71</v>
      </c>
      <c r="H559" s="7"/>
      <c r="I559" s="35" t="str">
        <f t="shared" si="106"/>
        <v>130922</v>
      </c>
      <c r="J559" s="31" t="str">
        <f t="shared" si="107"/>
        <v>12</v>
      </c>
      <c r="N559" s="12" t="str">
        <f t="shared" si="108"/>
        <v>1</v>
      </c>
      <c r="O559" s="11" t="str">
        <f t="shared" si="109"/>
        <v>2</v>
      </c>
      <c r="P559" s="11" t="str">
        <f t="shared" si="110"/>
        <v>1</v>
      </c>
      <c r="Q559" s="11" t="str">
        <f t="shared" si="111"/>
        <v>3</v>
      </c>
      <c r="R559" s="11" t="str">
        <f t="shared" si="112"/>
        <v>0</v>
      </c>
      <c r="S559" s="11" t="str">
        <f t="shared" si="113"/>
        <v>9</v>
      </c>
      <c r="T559" s="11" t="str">
        <f t="shared" si="114"/>
        <v>2</v>
      </c>
      <c r="U559" s="11" t="str">
        <f t="shared" si="115"/>
        <v>2</v>
      </c>
      <c r="V559" s="11" t="str">
        <f t="shared" si="116"/>
        <v>1</v>
      </c>
      <c r="W559" s="11" t="str">
        <f t="shared" si="117"/>
        <v>1</v>
      </c>
      <c r="X559" s="11" t="str">
        <f t="shared" si="118"/>
        <v>4</v>
      </c>
    </row>
    <row r="560" spans="1:24" x14ac:dyDescent="0.35">
      <c r="A560" s="5">
        <v>14420</v>
      </c>
      <c r="B560" s="5">
        <v>12130922115</v>
      </c>
      <c r="C560" s="5">
        <v>726654.1</v>
      </c>
      <c r="D560" s="5">
        <v>3763691.3</v>
      </c>
      <c r="E560" s="6" t="s">
        <v>70</v>
      </c>
      <c r="F560" s="6" t="s">
        <v>71</v>
      </c>
      <c r="G560" s="6" t="s">
        <v>71</v>
      </c>
      <c r="H560" s="7"/>
      <c r="I560" s="35" t="str">
        <f t="shared" si="106"/>
        <v>130922</v>
      </c>
      <c r="J560" s="31" t="str">
        <f t="shared" si="107"/>
        <v>12</v>
      </c>
      <c r="N560" s="12" t="str">
        <f t="shared" si="108"/>
        <v>1</v>
      </c>
      <c r="O560" s="11" t="str">
        <f t="shared" si="109"/>
        <v>2</v>
      </c>
      <c r="P560" s="11" t="str">
        <f t="shared" si="110"/>
        <v>1</v>
      </c>
      <c r="Q560" s="11" t="str">
        <f t="shared" si="111"/>
        <v>3</v>
      </c>
      <c r="R560" s="11" t="str">
        <f t="shared" si="112"/>
        <v>0</v>
      </c>
      <c r="S560" s="11" t="str">
        <f t="shared" si="113"/>
        <v>9</v>
      </c>
      <c r="T560" s="11" t="str">
        <f t="shared" si="114"/>
        <v>2</v>
      </c>
      <c r="U560" s="11" t="str">
        <f t="shared" si="115"/>
        <v>2</v>
      </c>
      <c r="V560" s="11" t="str">
        <f t="shared" si="116"/>
        <v>1</v>
      </c>
      <c r="W560" s="11" t="str">
        <f t="shared" si="117"/>
        <v>1</v>
      </c>
      <c r="X560" s="11" t="str">
        <f t="shared" si="118"/>
        <v>5</v>
      </c>
    </row>
    <row r="561" spans="1:24" x14ac:dyDescent="0.35">
      <c r="A561" s="5">
        <v>14421</v>
      </c>
      <c r="B561" s="5">
        <v>12130922116</v>
      </c>
      <c r="C561" s="5">
        <v>726654.2</v>
      </c>
      <c r="D561" s="5">
        <v>3763691.4</v>
      </c>
      <c r="E561" s="6" t="s">
        <v>70</v>
      </c>
      <c r="F561" s="6" t="s">
        <v>71</v>
      </c>
      <c r="G561" s="6" t="s">
        <v>71</v>
      </c>
      <c r="H561" s="7"/>
      <c r="I561" s="35" t="str">
        <f t="shared" si="106"/>
        <v>130922</v>
      </c>
      <c r="J561" s="31" t="str">
        <f t="shared" si="107"/>
        <v>12</v>
      </c>
      <c r="N561" s="12" t="str">
        <f t="shared" si="108"/>
        <v>1</v>
      </c>
      <c r="O561" s="11" t="str">
        <f t="shared" si="109"/>
        <v>2</v>
      </c>
      <c r="P561" s="11" t="str">
        <f t="shared" si="110"/>
        <v>1</v>
      </c>
      <c r="Q561" s="11" t="str">
        <f t="shared" si="111"/>
        <v>3</v>
      </c>
      <c r="R561" s="11" t="str">
        <f t="shared" si="112"/>
        <v>0</v>
      </c>
      <c r="S561" s="11" t="str">
        <f t="shared" si="113"/>
        <v>9</v>
      </c>
      <c r="T561" s="11" t="str">
        <f t="shared" si="114"/>
        <v>2</v>
      </c>
      <c r="U561" s="11" t="str">
        <f t="shared" si="115"/>
        <v>2</v>
      </c>
      <c r="V561" s="11" t="str">
        <f t="shared" si="116"/>
        <v>1</v>
      </c>
      <c r="W561" s="11" t="str">
        <f t="shared" si="117"/>
        <v>1</v>
      </c>
      <c r="X561" s="11" t="str">
        <f t="shared" si="118"/>
        <v>6</v>
      </c>
    </row>
    <row r="562" spans="1:24" s="19" customFormat="1" x14ac:dyDescent="0.35">
      <c r="A562" s="8">
        <v>14422</v>
      </c>
      <c r="B562" s="8">
        <v>12140922117</v>
      </c>
      <c r="C562" s="8">
        <v>726867</v>
      </c>
      <c r="D562" s="8">
        <v>3763925</v>
      </c>
      <c r="E562" s="22" t="s">
        <v>70</v>
      </c>
      <c r="F562" s="22" t="s">
        <v>71</v>
      </c>
      <c r="G562" s="22" t="s">
        <v>71</v>
      </c>
      <c r="H562" s="23"/>
      <c r="I562" s="35" t="str">
        <f t="shared" si="106"/>
        <v>140922</v>
      </c>
      <c r="J562" s="31" t="str">
        <f t="shared" si="107"/>
        <v>12</v>
      </c>
      <c r="N562" s="24" t="str">
        <f t="shared" si="108"/>
        <v>1</v>
      </c>
      <c r="O562" s="25" t="str">
        <f t="shared" si="109"/>
        <v>2</v>
      </c>
      <c r="P562" s="25" t="str">
        <f t="shared" si="110"/>
        <v>1</v>
      </c>
      <c r="Q562" s="25" t="str">
        <f t="shared" si="111"/>
        <v>4</v>
      </c>
      <c r="R562" s="25" t="str">
        <f t="shared" si="112"/>
        <v>0</v>
      </c>
      <c r="S562" s="25" t="str">
        <f t="shared" si="113"/>
        <v>9</v>
      </c>
      <c r="T562" s="25" t="str">
        <f t="shared" si="114"/>
        <v>2</v>
      </c>
      <c r="U562" s="25" t="str">
        <f t="shared" si="115"/>
        <v>2</v>
      </c>
      <c r="V562" s="25" t="str">
        <f t="shared" si="116"/>
        <v>1</v>
      </c>
      <c r="W562" s="25" t="str">
        <f t="shared" si="117"/>
        <v>1</v>
      </c>
      <c r="X562" s="25" t="str">
        <f t="shared" si="118"/>
        <v>7</v>
      </c>
    </row>
    <row r="563" spans="1:24" x14ac:dyDescent="0.35">
      <c r="A563" s="5">
        <v>14423</v>
      </c>
      <c r="B563" s="5">
        <v>12140922118</v>
      </c>
      <c r="C563" s="5">
        <v>726891</v>
      </c>
      <c r="D563" s="5">
        <v>3763959</v>
      </c>
      <c r="E563" s="6" t="s">
        <v>70</v>
      </c>
      <c r="F563" s="6" t="s">
        <v>71</v>
      </c>
      <c r="G563" s="6" t="s">
        <v>71</v>
      </c>
      <c r="H563" s="7"/>
      <c r="I563" s="35" t="str">
        <f t="shared" si="106"/>
        <v>140922</v>
      </c>
      <c r="J563" s="31" t="str">
        <f t="shared" si="107"/>
        <v>12</v>
      </c>
      <c r="N563" s="12" t="str">
        <f t="shared" si="108"/>
        <v>1</v>
      </c>
      <c r="O563" s="11" t="str">
        <f t="shared" si="109"/>
        <v>2</v>
      </c>
      <c r="P563" s="11" t="str">
        <f t="shared" si="110"/>
        <v>1</v>
      </c>
      <c r="Q563" s="11" t="str">
        <f t="shared" si="111"/>
        <v>4</v>
      </c>
      <c r="R563" s="11" t="str">
        <f t="shared" si="112"/>
        <v>0</v>
      </c>
      <c r="S563" s="11" t="str">
        <f t="shared" si="113"/>
        <v>9</v>
      </c>
      <c r="T563" s="11" t="str">
        <f t="shared" si="114"/>
        <v>2</v>
      </c>
      <c r="U563" s="11" t="str">
        <f t="shared" si="115"/>
        <v>2</v>
      </c>
      <c r="V563" s="11" t="str">
        <f t="shared" si="116"/>
        <v>1</v>
      </c>
      <c r="W563" s="11" t="str">
        <f t="shared" si="117"/>
        <v>1</v>
      </c>
      <c r="X563" s="11" t="str">
        <f t="shared" si="118"/>
        <v>8</v>
      </c>
    </row>
    <row r="564" spans="1:24" x14ac:dyDescent="0.35">
      <c r="A564" s="5">
        <v>14424</v>
      </c>
      <c r="B564" s="5">
        <v>12140922119</v>
      </c>
      <c r="C564" s="5">
        <v>726895</v>
      </c>
      <c r="D564" s="5">
        <v>3763965</v>
      </c>
      <c r="E564" s="6" t="s">
        <v>70</v>
      </c>
      <c r="F564" s="6" t="s">
        <v>71</v>
      </c>
      <c r="G564" s="6" t="s">
        <v>71</v>
      </c>
      <c r="H564" s="7"/>
      <c r="I564" s="35" t="str">
        <f t="shared" si="106"/>
        <v>140922</v>
      </c>
      <c r="J564" s="31" t="str">
        <f t="shared" si="107"/>
        <v>12</v>
      </c>
      <c r="N564" s="12" t="str">
        <f t="shared" si="108"/>
        <v>1</v>
      </c>
      <c r="O564" s="11" t="str">
        <f t="shared" si="109"/>
        <v>2</v>
      </c>
      <c r="P564" s="11" t="str">
        <f t="shared" si="110"/>
        <v>1</v>
      </c>
      <c r="Q564" s="11" t="str">
        <f t="shared" si="111"/>
        <v>4</v>
      </c>
      <c r="R564" s="11" t="str">
        <f t="shared" si="112"/>
        <v>0</v>
      </c>
      <c r="S564" s="11" t="str">
        <f t="shared" si="113"/>
        <v>9</v>
      </c>
      <c r="T564" s="11" t="str">
        <f t="shared" si="114"/>
        <v>2</v>
      </c>
      <c r="U564" s="11" t="str">
        <f t="shared" si="115"/>
        <v>2</v>
      </c>
      <c r="V564" s="11" t="str">
        <f t="shared" si="116"/>
        <v>1</v>
      </c>
      <c r="W564" s="11" t="str">
        <f t="shared" si="117"/>
        <v>1</v>
      </c>
      <c r="X564" s="11" t="str">
        <f t="shared" si="118"/>
        <v>9</v>
      </c>
    </row>
    <row r="565" spans="1:24" x14ac:dyDescent="0.35">
      <c r="A565" s="5">
        <v>14425</v>
      </c>
      <c r="B565" s="5">
        <v>12140922120</v>
      </c>
      <c r="C565" s="5">
        <v>726896</v>
      </c>
      <c r="D565" s="5">
        <v>3763965</v>
      </c>
      <c r="E565" s="6" t="s">
        <v>70</v>
      </c>
      <c r="F565" s="6" t="s">
        <v>71</v>
      </c>
      <c r="G565" s="6" t="s">
        <v>71</v>
      </c>
      <c r="H565" s="7"/>
      <c r="I565" s="35" t="str">
        <f t="shared" si="106"/>
        <v>140922</v>
      </c>
      <c r="J565" s="31" t="str">
        <f t="shared" si="107"/>
        <v>12</v>
      </c>
      <c r="N565" s="12" t="str">
        <f t="shared" si="108"/>
        <v>1</v>
      </c>
      <c r="O565" s="11" t="str">
        <f t="shared" si="109"/>
        <v>2</v>
      </c>
      <c r="P565" s="11" t="str">
        <f t="shared" si="110"/>
        <v>1</v>
      </c>
      <c r="Q565" s="11" t="str">
        <f t="shared" si="111"/>
        <v>4</v>
      </c>
      <c r="R565" s="11" t="str">
        <f t="shared" si="112"/>
        <v>0</v>
      </c>
      <c r="S565" s="11" t="str">
        <f t="shared" si="113"/>
        <v>9</v>
      </c>
      <c r="T565" s="11" t="str">
        <f t="shared" si="114"/>
        <v>2</v>
      </c>
      <c r="U565" s="11" t="str">
        <f t="shared" si="115"/>
        <v>2</v>
      </c>
      <c r="V565" s="11" t="str">
        <f t="shared" si="116"/>
        <v>1</v>
      </c>
      <c r="W565" s="11" t="str">
        <f t="shared" si="117"/>
        <v>2</v>
      </c>
      <c r="X565" s="11" t="str">
        <f t="shared" si="118"/>
        <v>0</v>
      </c>
    </row>
    <row r="566" spans="1:24" x14ac:dyDescent="0.35">
      <c r="A566" s="5">
        <v>14426</v>
      </c>
      <c r="B566" s="5">
        <v>12140922121</v>
      </c>
      <c r="C566" s="5">
        <v>726916</v>
      </c>
      <c r="D566" s="5">
        <v>3763986</v>
      </c>
      <c r="E566" s="6" t="s">
        <v>70</v>
      </c>
      <c r="F566" s="6" t="s">
        <v>71</v>
      </c>
      <c r="G566" s="6" t="s">
        <v>71</v>
      </c>
      <c r="H566" s="7"/>
      <c r="I566" s="35" t="str">
        <f t="shared" si="106"/>
        <v>140922</v>
      </c>
      <c r="J566" s="31" t="str">
        <f t="shared" si="107"/>
        <v>12</v>
      </c>
      <c r="N566" s="12" t="str">
        <f t="shared" si="108"/>
        <v>1</v>
      </c>
      <c r="O566" s="11" t="str">
        <f t="shared" si="109"/>
        <v>2</v>
      </c>
      <c r="P566" s="11" t="str">
        <f t="shared" si="110"/>
        <v>1</v>
      </c>
      <c r="Q566" s="11" t="str">
        <f t="shared" si="111"/>
        <v>4</v>
      </c>
      <c r="R566" s="11" t="str">
        <f t="shared" si="112"/>
        <v>0</v>
      </c>
      <c r="S566" s="11" t="str">
        <f t="shared" si="113"/>
        <v>9</v>
      </c>
      <c r="T566" s="11" t="str">
        <f t="shared" si="114"/>
        <v>2</v>
      </c>
      <c r="U566" s="11" t="str">
        <f t="shared" si="115"/>
        <v>2</v>
      </c>
      <c r="V566" s="11" t="str">
        <f t="shared" si="116"/>
        <v>1</v>
      </c>
      <c r="W566" s="11" t="str">
        <f t="shared" si="117"/>
        <v>2</v>
      </c>
      <c r="X566" s="11" t="str">
        <f t="shared" si="118"/>
        <v>1</v>
      </c>
    </row>
    <row r="567" spans="1:24" x14ac:dyDescent="0.35">
      <c r="A567" s="5">
        <v>14427</v>
      </c>
      <c r="B567" s="5">
        <v>12140922122</v>
      </c>
      <c r="C567" s="5">
        <v>726929</v>
      </c>
      <c r="D567" s="5">
        <v>3763988</v>
      </c>
      <c r="E567" s="6" t="s">
        <v>70</v>
      </c>
      <c r="F567" s="6" t="s">
        <v>71</v>
      </c>
      <c r="G567" s="6" t="s">
        <v>71</v>
      </c>
      <c r="H567" s="7"/>
      <c r="I567" s="35" t="str">
        <f t="shared" si="106"/>
        <v>140922</v>
      </c>
      <c r="J567" s="31" t="str">
        <f t="shared" si="107"/>
        <v>12</v>
      </c>
      <c r="N567" s="12" t="str">
        <f t="shared" si="108"/>
        <v>1</v>
      </c>
      <c r="O567" s="11" t="str">
        <f t="shared" si="109"/>
        <v>2</v>
      </c>
      <c r="P567" s="11" t="str">
        <f t="shared" si="110"/>
        <v>1</v>
      </c>
      <c r="Q567" s="11" t="str">
        <f t="shared" si="111"/>
        <v>4</v>
      </c>
      <c r="R567" s="11" t="str">
        <f t="shared" si="112"/>
        <v>0</v>
      </c>
      <c r="S567" s="11" t="str">
        <f t="shared" si="113"/>
        <v>9</v>
      </c>
      <c r="T567" s="11" t="str">
        <f t="shared" si="114"/>
        <v>2</v>
      </c>
      <c r="U567" s="11" t="str">
        <f t="shared" si="115"/>
        <v>2</v>
      </c>
      <c r="V567" s="11" t="str">
        <f t="shared" si="116"/>
        <v>1</v>
      </c>
      <c r="W567" s="11" t="str">
        <f t="shared" si="117"/>
        <v>2</v>
      </c>
      <c r="X567" s="11" t="str">
        <f t="shared" si="118"/>
        <v>2</v>
      </c>
    </row>
    <row r="568" spans="1:24" x14ac:dyDescent="0.35">
      <c r="A568" s="5">
        <v>14428</v>
      </c>
      <c r="B568" s="5">
        <v>12140922123</v>
      </c>
      <c r="C568" s="5">
        <v>726929.1</v>
      </c>
      <c r="D568" s="5">
        <v>3763988.3</v>
      </c>
      <c r="E568" s="6" t="s">
        <v>70</v>
      </c>
      <c r="F568" s="6" t="s">
        <v>71</v>
      </c>
      <c r="G568" s="6" t="s">
        <v>71</v>
      </c>
      <c r="H568" s="7"/>
      <c r="I568" s="35" t="str">
        <f t="shared" si="106"/>
        <v>140922</v>
      </c>
      <c r="J568" s="31" t="str">
        <f t="shared" si="107"/>
        <v>12</v>
      </c>
      <c r="N568" s="12" t="str">
        <f t="shared" si="108"/>
        <v>1</v>
      </c>
      <c r="O568" s="11" t="str">
        <f t="shared" si="109"/>
        <v>2</v>
      </c>
      <c r="P568" s="11" t="str">
        <f t="shared" si="110"/>
        <v>1</v>
      </c>
      <c r="Q568" s="11" t="str">
        <f t="shared" si="111"/>
        <v>4</v>
      </c>
      <c r="R568" s="11" t="str">
        <f t="shared" si="112"/>
        <v>0</v>
      </c>
      <c r="S568" s="11" t="str">
        <f t="shared" si="113"/>
        <v>9</v>
      </c>
      <c r="T568" s="11" t="str">
        <f t="shared" si="114"/>
        <v>2</v>
      </c>
      <c r="U568" s="11" t="str">
        <f t="shared" si="115"/>
        <v>2</v>
      </c>
      <c r="V568" s="11" t="str">
        <f t="shared" si="116"/>
        <v>1</v>
      </c>
      <c r="W568" s="11" t="str">
        <f t="shared" si="117"/>
        <v>2</v>
      </c>
      <c r="X568" s="11" t="str">
        <f t="shared" si="118"/>
        <v>3</v>
      </c>
    </row>
    <row r="569" spans="1:24" x14ac:dyDescent="0.35">
      <c r="A569" s="5">
        <v>14429</v>
      </c>
      <c r="B569" s="5">
        <v>12140922124</v>
      </c>
      <c r="C569" s="5">
        <v>726929.2</v>
      </c>
      <c r="D569" s="5">
        <v>3763988.4</v>
      </c>
      <c r="E569" s="6" t="s">
        <v>70</v>
      </c>
      <c r="F569" s="6" t="s">
        <v>71</v>
      </c>
      <c r="G569" s="6" t="s">
        <v>71</v>
      </c>
      <c r="H569" s="7"/>
      <c r="I569" s="35" t="str">
        <f t="shared" si="106"/>
        <v>140922</v>
      </c>
      <c r="J569" s="31" t="str">
        <f t="shared" si="107"/>
        <v>12</v>
      </c>
      <c r="N569" s="12" t="str">
        <f t="shared" si="108"/>
        <v>1</v>
      </c>
      <c r="O569" s="11" t="str">
        <f t="shared" si="109"/>
        <v>2</v>
      </c>
      <c r="P569" s="11" t="str">
        <f t="shared" si="110"/>
        <v>1</v>
      </c>
      <c r="Q569" s="11" t="str">
        <f t="shared" si="111"/>
        <v>4</v>
      </c>
      <c r="R569" s="11" t="str">
        <f t="shared" si="112"/>
        <v>0</v>
      </c>
      <c r="S569" s="11" t="str">
        <f t="shared" si="113"/>
        <v>9</v>
      </c>
      <c r="T569" s="11" t="str">
        <f t="shared" si="114"/>
        <v>2</v>
      </c>
      <c r="U569" s="11" t="str">
        <f t="shared" si="115"/>
        <v>2</v>
      </c>
      <c r="V569" s="11" t="str">
        <f t="shared" si="116"/>
        <v>1</v>
      </c>
      <c r="W569" s="11" t="str">
        <f t="shared" si="117"/>
        <v>2</v>
      </c>
      <c r="X569" s="11" t="str">
        <f t="shared" si="118"/>
        <v>4</v>
      </c>
    </row>
    <row r="570" spans="1:24" x14ac:dyDescent="0.35">
      <c r="A570" s="5">
        <v>14430</v>
      </c>
      <c r="B570" s="5">
        <v>12140922125</v>
      </c>
      <c r="C570" s="5">
        <v>726933</v>
      </c>
      <c r="D570" s="5">
        <v>3763992</v>
      </c>
      <c r="E570" s="6" t="s">
        <v>70</v>
      </c>
      <c r="F570" s="6" t="s">
        <v>71</v>
      </c>
      <c r="G570" s="6" t="s">
        <v>71</v>
      </c>
      <c r="H570" s="7"/>
      <c r="I570" s="35" t="str">
        <f t="shared" si="106"/>
        <v>140922</v>
      </c>
      <c r="J570" s="31" t="str">
        <f t="shared" si="107"/>
        <v>12</v>
      </c>
      <c r="N570" s="12" t="str">
        <f t="shared" si="108"/>
        <v>1</v>
      </c>
      <c r="O570" s="11" t="str">
        <f t="shared" si="109"/>
        <v>2</v>
      </c>
      <c r="P570" s="11" t="str">
        <f t="shared" si="110"/>
        <v>1</v>
      </c>
      <c r="Q570" s="11" t="str">
        <f t="shared" si="111"/>
        <v>4</v>
      </c>
      <c r="R570" s="11" t="str">
        <f t="shared" si="112"/>
        <v>0</v>
      </c>
      <c r="S570" s="11" t="str">
        <f t="shared" si="113"/>
        <v>9</v>
      </c>
      <c r="T570" s="11" t="str">
        <f t="shared" si="114"/>
        <v>2</v>
      </c>
      <c r="U570" s="11" t="str">
        <f t="shared" si="115"/>
        <v>2</v>
      </c>
      <c r="V570" s="11" t="str">
        <f t="shared" si="116"/>
        <v>1</v>
      </c>
      <c r="W570" s="11" t="str">
        <f t="shared" si="117"/>
        <v>2</v>
      </c>
      <c r="X570" s="11" t="str">
        <f t="shared" si="118"/>
        <v>5</v>
      </c>
    </row>
    <row r="571" spans="1:24" x14ac:dyDescent="0.35">
      <c r="A571" s="5">
        <v>14431</v>
      </c>
      <c r="B571" s="5">
        <v>12140922126</v>
      </c>
      <c r="C571" s="5">
        <v>726934</v>
      </c>
      <c r="D571" s="5">
        <v>3763990</v>
      </c>
      <c r="E571" s="6" t="s">
        <v>70</v>
      </c>
      <c r="F571" s="6" t="s">
        <v>71</v>
      </c>
      <c r="G571" s="6" t="s">
        <v>71</v>
      </c>
      <c r="H571" s="7"/>
      <c r="I571" s="35" t="str">
        <f t="shared" si="106"/>
        <v>140922</v>
      </c>
      <c r="J571" s="31" t="str">
        <f t="shared" si="107"/>
        <v>12</v>
      </c>
      <c r="N571" s="12" t="str">
        <f t="shared" si="108"/>
        <v>1</v>
      </c>
      <c r="O571" s="11" t="str">
        <f t="shared" si="109"/>
        <v>2</v>
      </c>
      <c r="P571" s="11" t="str">
        <f t="shared" si="110"/>
        <v>1</v>
      </c>
      <c r="Q571" s="11" t="str">
        <f t="shared" si="111"/>
        <v>4</v>
      </c>
      <c r="R571" s="11" t="str">
        <f t="shared" si="112"/>
        <v>0</v>
      </c>
      <c r="S571" s="11" t="str">
        <f t="shared" si="113"/>
        <v>9</v>
      </c>
      <c r="T571" s="11" t="str">
        <f t="shared" si="114"/>
        <v>2</v>
      </c>
      <c r="U571" s="11" t="str">
        <f t="shared" si="115"/>
        <v>2</v>
      </c>
      <c r="V571" s="11" t="str">
        <f t="shared" si="116"/>
        <v>1</v>
      </c>
      <c r="W571" s="11" t="str">
        <f t="shared" si="117"/>
        <v>2</v>
      </c>
      <c r="X571" s="11" t="str">
        <f t="shared" si="118"/>
        <v>6</v>
      </c>
    </row>
    <row r="572" spans="1:24" x14ac:dyDescent="0.35">
      <c r="A572" s="5">
        <v>14432</v>
      </c>
      <c r="B572" s="5">
        <v>12140922127</v>
      </c>
      <c r="C572" s="5">
        <v>726964</v>
      </c>
      <c r="D572" s="5">
        <v>3763978</v>
      </c>
      <c r="E572" s="6" t="s">
        <v>70</v>
      </c>
      <c r="F572" s="6" t="s">
        <v>71</v>
      </c>
      <c r="G572" s="6" t="s">
        <v>71</v>
      </c>
      <c r="H572" s="7"/>
      <c r="I572" s="35" t="str">
        <f t="shared" si="106"/>
        <v>140922</v>
      </c>
      <c r="J572" s="31" t="str">
        <f t="shared" si="107"/>
        <v>12</v>
      </c>
      <c r="N572" s="12" t="str">
        <f t="shared" si="108"/>
        <v>1</v>
      </c>
      <c r="O572" s="11" t="str">
        <f t="shared" si="109"/>
        <v>2</v>
      </c>
      <c r="P572" s="11" t="str">
        <f t="shared" si="110"/>
        <v>1</v>
      </c>
      <c r="Q572" s="11" t="str">
        <f t="shared" si="111"/>
        <v>4</v>
      </c>
      <c r="R572" s="11" t="str">
        <f t="shared" si="112"/>
        <v>0</v>
      </c>
      <c r="S572" s="11" t="str">
        <f t="shared" si="113"/>
        <v>9</v>
      </c>
      <c r="T572" s="11" t="str">
        <f t="shared" si="114"/>
        <v>2</v>
      </c>
      <c r="U572" s="11" t="str">
        <f t="shared" si="115"/>
        <v>2</v>
      </c>
      <c r="V572" s="11" t="str">
        <f t="shared" si="116"/>
        <v>1</v>
      </c>
      <c r="W572" s="11" t="str">
        <f t="shared" si="117"/>
        <v>2</v>
      </c>
      <c r="X572" s="11" t="str">
        <f t="shared" si="118"/>
        <v>7</v>
      </c>
    </row>
    <row r="573" spans="1:24" x14ac:dyDescent="0.35">
      <c r="A573" s="5">
        <v>14433</v>
      </c>
      <c r="B573" s="5">
        <v>12140922128</v>
      </c>
      <c r="C573" s="5">
        <v>727014</v>
      </c>
      <c r="D573" s="5">
        <v>3763955</v>
      </c>
      <c r="E573" s="6" t="s">
        <v>70</v>
      </c>
      <c r="F573" s="6" t="s">
        <v>71</v>
      </c>
      <c r="G573" s="6" t="s">
        <v>71</v>
      </c>
      <c r="H573" s="7"/>
      <c r="I573" s="35" t="str">
        <f t="shared" si="106"/>
        <v>140922</v>
      </c>
      <c r="J573" s="31" t="str">
        <f t="shared" si="107"/>
        <v>12</v>
      </c>
      <c r="N573" s="12" t="str">
        <f t="shared" si="108"/>
        <v>1</v>
      </c>
      <c r="O573" s="11" t="str">
        <f t="shared" si="109"/>
        <v>2</v>
      </c>
      <c r="P573" s="11" t="str">
        <f t="shared" si="110"/>
        <v>1</v>
      </c>
      <c r="Q573" s="11" t="str">
        <f t="shared" si="111"/>
        <v>4</v>
      </c>
      <c r="R573" s="11" t="str">
        <f t="shared" si="112"/>
        <v>0</v>
      </c>
      <c r="S573" s="11" t="str">
        <f t="shared" si="113"/>
        <v>9</v>
      </c>
      <c r="T573" s="11" t="str">
        <f t="shared" si="114"/>
        <v>2</v>
      </c>
      <c r="U573" s="11" t="str">
        <f t="shared" si="115"/>
        <v>2</v>
      </c>
      <c r="V573" s="11" t="str">
        <f t="shared" si="116"/>
        <v>1</v>
      </c>
      <c r="W573" s="11" t="str">
        <f t="shared" si="117"/>
        <v>2</v>
      </c>
      <c r="X573" s="11" t="str">
        <f t="shared" si="118"/>
        <v>8</v>
      </c>
    </row>
    <row r="574" spans="1:24" x14ac:dyDescent="0.35">
      <c r="A574" s="5">
        <v>14434</v>
      </c>
      <c r="B574" s="5">
        <v>12140922129</v>
      </c>
      <c r="C574" s="5">
        <v>727044</v>
      </c>
      <c r="D574" s="5">
        <v>3763936</v>
      </c>
      <c r="E574" s="6" t="s">
        <v>70</v>
      </c>
      <c r="F574" s="6" t="s">
        <v>71</v>
      </c>
      <c r="G574" s="6" t="s">
        <v>71</v>
      </c>
      <c r="H574" s="7"/>
      <c r="I574" s="35" t="str">
        <f t="shared" si="106"/>
        <v>140922</v>
      </c>
      <c r="J574" s="31" t="str">
        <f t="shared" si="107"/>
        <v>12</v>
      </c>
      <c r="N574" s="12" t="str">
        <f t="shared" si="108"/>
        <v>1</v>
      </c>
      <c r="O574" s="11" t="str">
        <f t="shared" si="109"/>
        <v>2</v>
      </c>
      <c r="P574" s="11" t="str">
        <f t="shared" si="110"/>
        <v>1</v>
      </c>
      <c r="Q574" s="11" t="str">
        <f t="shared" si="111"/>
        <v>4</v>
      </c>
      <c r="R574" s="11" t="str">
        <f t="shared" si="112"/>
        <v>0</v>
      </c>
      <c r="S574" s="11" t="str">
        <f t="shared" si="113"/>
        <v>9</v>
      </c>
      <c r="T574" s="11" t="str">
        <f t="shared" si="114"/>
        <v>2</v>
      </c>
      <c r="U574" s="11" t="str">
        <f t="shared" si="115"/>
        <v>2</v>
      </c>
      <c r="V574" s="11" t="str">
        <f t="shared" si="116"/>
        <v>1</v>
      </c>
      <c r="W574" s="11" t="str">
        <f t="shared" si="117"/>
        <v>2</v>
      </c>
      <c r="X574" s="11" t="str">
        <f t="shared" si="118"/>
        <v>9</v>
      </c>
    </row>
    <row r="575" spans="1:24" x14ac:dyDescent="0.35">
      <c r="A575" s="5">
        <v>14435</v>
      </c>
      <c r="B575" s="5">
        <v>12140922130</v>
      </c>
      <c r="C575" s="5">
        <v>727073</v>
      </c>
      <c r="D575" s="5">
        <v>3763921</v>
      </c>
      <c r="E575" s="6" t="s">
        <v>70</v>
      </c>
      <c r="F575" s="6" t="s">
        <v>71</v>
      </c>
      <c r="G575" s="6" t="s">
        <v>71</v>
      </c>
      <c r="H575" s="7"/>
      <c r="I575" s="35" t="str">
        <f t="shared" si="106"/>
        <v>140922</v>
      </c>
      <c r="J575" s="31" t="str">
        <f t="shared" si="107"/>
        <v>12</v>
      </c>
      <c r="N575" s="12" t="str">
        <f t="shared" si="108"/>
        <v>1</v>
      </c>
      <c r="O575" s="11" t="str">
        <f t="shared" si="109"/>
        <v>2</v>
      </c>
      <c r="P575" s="11" t="str">
        <f t="shared" si="110"/>
        <v>1</v>
      </c>
      <c r="Q575" s="11" t="str">
        <f t="shared" si="111"/>
        <v>4</v>
      </c>
      <c r="R575" s="11" t="str">
        <f t="shared" si="112"/>
        <v>0</v>
      </c>
      <c r="S575" s="11" t="str">
        <f t="shared" si="113"/>
        <v>9</v>
      </c>
      <c r="T575" s="11" t="str">
        <f t="shared" si="114"/>
        <v>2</v>
      </c>
      <c r="U575" s="11" t="str">
        <f t="shared" si="115"/>
        <v>2</v>
      </c>
      <c r="V575" s="11" t="str">
        <f t="shared" si="116"/>
        <v>1</v>
      </c>
      <c r="W575" s="11" t="str">
        <f t="shared" si="117"/>
        <v>3</v>
      </c>
      <c r="X575" s="11" t="str">
        <f t="shared" si="118"/>
        <v>0</v>
      </c>
    </row>
    <row r="576" spans="1:24" x14ac:dyDescent="0.35">
      <c r="A576" s="5">
        <v>14436</v>
      </c>
      <c r="B576" s="5">
        <v>12140922131</v>
      </c>
      <c r="C576" s="5">
        <v>727107</v>
      </c>
      <c r="D576" s="5">
        <v>3763904</v>
      </c>
      <c r="E576" s="6" t="s">
        <v>70</v>
      </c>
      <c r="F576" s="6" t="s">
        <v>71</v>
      </c>
      <c r="G576" s="6" t="s">
        <v>71</v>
      </c>
      <c r="H576" s="7"/>
      <c r="I576" s="35" t="str">
        <f t="shared" si="106"/>
        <v>140922</v>
      </c>
      <c r="J576" s="31" t="str">
        <f t="shared" si="107"/>
        <v>12</v>
      </c>
      <c r="N576" s="12" t="str">
        <f t="shared" si="108"/>
        <v>1</v>
      </c>
      <c r="O576" s="11" t="str">
        <f t="shared" si="109"/>
        <v>2</v>
      </c>
      <c r="P576" s="11" t="str">
        <f t="shared" si="110"/>
        <v>1</v>
      </c>
      <c r="Q576" s="11" t="str">
        <f t="shared" si="111"/>
        <v>4</v>
      </c>
      <c r="R576" s="11" t="str">
        <f t="shared" si="112"/>
        <v>0</v>
      </c>
      <c r="S576" s="11" t="str">
        <f t="shared" si="113"/>
        <v>9</v>
      </c>
      <c r="T576" s="11" t="str">
        <f t="shared" si="114"/>
        <v>2</v>
      </c>
      <c r="U576" s="11" t="str">
        <f t="shared" si="115"/>
        <v>2</v>
      </c>
      <c r="V576" s="11" t="str">
        <f t="shared" si="116"/>
        <v>1</v>
      </c>
      <c r="W576" s="11" t="str">
        <f t="shared" si="117"/>
        <v>3</v>
      </c>
      <c r="X576" s="11" t="str">
        <f t="shared" si="118"/>
        <v>1</v>
      </c>
    </row>
    <row r="577" spans="1:24" x14ac:dyDescent="0.35">
      <c r="A577" s="5">
        <v>14437</v>
      </c>
      <c r="B577" s="5">
        <v>12140922132</v>
      </c>
      <c r="C577" s="5">
        <v>727108</v>
      </c>
      <c r="D577" s="5">
        <v>3763904</v>
      </c>
      <c r="E577" s="6" t="s">
        <v>70</v>
      </c>
      <c r="F577" s="6" t="s">
        <v>71</v>
      </c>
      <c r="G577" s="6" t="s">
        <v>71</v>
      </c>
      <c r="H577" s="7"/>
      <c r="I577" s="35" t="str">
        <f t="shared" si="106"/>
        <v>140922</v>
      </c>
      <c r="J577" s="31" t="str">
        <f t="shared" si="107"/>
        <v>12</v>
      </c>
      <c r="N577" s="12" t="str">
        <f t="shared" si="108"/>
        <v>1</v>
      </c>
      <c r="O577" s="11" t="str">
        <f t="shared" si="109"/>
        <v>2</v>
      </c>
      <c r="P577" s="11" t="str">
        <f t="shared" si="110"/>
        <v>1</v>
      </c>
      <c r="Q577" s="11" t="str">
        <f t="shared" si="111"/>
        <v>4</v>
      </c>
      <c r="R577" s="11" t="str">
        <f t="shared" si="112"/>
        <v>0</v>
      </c>
      <c r="S577" s="11" t="str">
        <f t="shared" si="113"/>
        <v>9</v>
      </c>
      <c r="T577" s="11" t="str">
        <f t="shared" si="114"/>
        <v>2</v>
      </c>
      <c r="U577" s="11" t="str">
        <f t="shared" si="115"/>
        <v>2</v>
      </c>
      <c r="V577" s="11" t="str">
        <f t="shared" si="116"/>
        <v>1</v>
      </c>
      <c r="W577" s="11" t="str">
        <f t="shared" si="117"/>
        <v>3</v>
      </c>
      <c r="X577" s="11" t="str">
        <f t="shared" si="118"/>
        <v>2</v>
      </c>
    </row>
    <row r="578" spans="1:24" x14ac:dyDescent="0.35">
      <c r="A578" s="5">
        <v>14438</v>
      </c>
      <c r="B578" s="5">
        <v>12140922133</v>
      </c>
      <c r="C578" s="5">
        <v>727109</v>
      </c>
      <c r="D578" s="5">
        <v>3763903</v>
      </c>
      <c r="E578" s="6" t="s">
        <v>70</v>
      </c>
      <c r="F578" s="6" t="s">
        <v>71</v>
      </c>
      <c r="G578" s="6" t="s">
        <v>71</v>
      </c>
      <c r="H578" s="7"/>
      <c r="I578" s="35" t="str">
        <f t="shared" si="106"/>
        <v>140922</v>
      </c>
      <c r="J578" s="31" t="str">
        <f t="shared" si="107"/>
        <v>12</v>
      </c>
      <c r="N578" s="12" t="str">
        <f t="shared" si="108"/>
        <v>1</v>
      </c>
      <c r="O578" s="11" t="str">
        <f t="shared" si="109"/>
        <v>2</v>
      </c>
      <c r="P578" s="11" t="str">
        <f t="shared" si="110"/>
        <v>1</v>
      </c>
      <c r="Q578" s="11" t="str">
        <f t="shared" si="111"/>
        <v>4</v>
      </c>
      <c r="R578" s="11" t="str">
        <f t="shared" si="112"/>
        <v>0</v>
      </c>
      <c r="S578" s="11" t="str">
        <f t="shared" si="113"/>
        <v>9</v>
      </c>
      <c r="T578" s="11" t="str">
        <f t="shared" si="114"/>
        <v>2</v>
      </c>
      <c r="U578" s="11" t="str">
        <f t="shared" si="115"/>
        <v>2</v>
      </c>
      <c r="V578" s="11" t="str">
        <f t="shared" si="116"/>
        <v>1</v>
      </c>
      <c r="W578" s="11" t="str">
        <f t="shared" si="117"/>
        <v>3</v>
      </c>
      <c r="X578" s="11" t="str">
        <f t="shared" si="118"/>
        <v>3</v>
      </c>
    </row>
    <row r="579" spans="1:24" x14ac:dyDescent="0.35">
      <c r="A579" s="5">
        <v>14439</v>
      </c>
      <c r="B579" s="5">
        <v>12140922134</v>
      </c>
      <c r="C579" s="5">
        <v>727148</v>
      </c>
      <c r="D579" s="5">
        <v>3763891</v>
      </c>
      <c r="E579" s="6" t="s">
        <v>70</v>
      </c>
      <c r="F579" s="6" t="s">
        <v>71</v>
      </c>
      <c r="G579" s="6" t="s">
        <v>71</v>
      </c>
      <c r="H579" s="7"/>
      <c r="I579" s="35" t="str">
        <f t="shared" ref="I579:I642" si="119">MID(B579,IF(LEN(B579)=10,2,3),6)</f>
        <v>140922</v>
      </c>
      <c r="J579" s="31" t="str">
        <f t="shared" ref="J579:J642" si="120">TEXT(MID(B579,1,IF(LEN(B579)=10,1,2)),"00")</f>
        <v>12</v>
      </c>
      <c r="N579" s="12" t="str">
        <f t="shared" ref="N579:N642" si="121">IFERROR(MID($B579,LEN($B579)-10,1),0)</f>
        <v>1</v>
      </c>
      <c r="O579" s="11" t="str">
        <f t="shared" ref="O579:O642" si="122">MID($B579,LEN($B579)-9,1)</f>
        <v>2</v>
      </c>
      <c r="P579" s="11" t="str">
        <f t="shared" ref="P579:P642" si="123">MID($B579,LEN($B579)-8,1)</f>
        <v>1</v>
      </c>
      <c r="Q579" s="11" t="str">
        <f t="shared" ref="Q579:Q642" si="124">MID($B579,LEN($B579)-7,1)</f>
        <v>4</v>
      </c>
      <c r="R579" s="11" t="str">
        <f t="shared" ref="R579:R642" si="125">MID($B579,LEN($B579)-6,1)</f>
        <v>0</v>
      </c>
      <c r="S579" s="11" t="str">
        <f t="shared" ref="S579:S642" si="126">MID($B579,LEN($B579)-5,1)</f>
        <v>9</v>
      </c>
      <c r="T579" s="11" t="str">
        <f t="shared" ref="T579:T642" si="127">MID($B579,LEN($B579)-4,1)</f>
        <v>2</v>
      </c>
      <c r="U579" s="11" t="str">
        <f t="shared" ref="U579:U642" si="128">MID($B579,LEN($B579)-3,1)</f>
        <v>2</v>
      </c>
      <c r="V579" s="11" t="str">
        <f t="shared" ref="V579:V642" si="129">MID($B579,LEN($B579)-2,1)</f>
        <v>1</v>
      </c>
      <c r="W579" s="11" t="str">
        <f t="shared" ref="W579:W642" si="130">MID($B579,LEN($B579)-1,1)</f>
        <v>3</v>
      </c>
      <c r="X579" s="11" t="str">
        <f t="shared" ref="X579:X642" si="131">MID($B579,LEN($B579)-0,1)</f>
        <v>4</v>
      </c>
    </row>
    <row r="580" spans="1:24" x14ac:dyDescent="0.35">
      <c r="A580" s="5">
        <v>14440</v>
      </c>
      <c r="B580" s="5">
        <v>12140922135</v>
      </c>
      <c r="C580" s="5">
        <v>727188</v>
      </c>
      <c r="D580" s="5">
        <v>3763873</v>
      </c>
      <c r="E580" s="6" t="s">
        <v>70</v>
      </c>
      <c r="F580" s="6" t="s">
        <v>71</v>
      </c>
      <c r="G580" s="6" t="s">
        <v>71</v>
      </c>
      <c r="H580" s="7"/>
      <c r="I580" s="35" t="str">
        <f t="shared" si="119"/>
        <v>140922</v>
      </c>
      <c r="J580" s="31" t="str">
        <f t="shared" si="120"/>
        <v>12</v>
      </c>
      <c r="N580" s="12" t="str">
        <f t="shared" si="121"/>
        <v>1</v>
      </c>
      <c r="O580" s="11" t="str">
        <f t="shared" si="122"/>
        <v>2</v>
      </c>
      <c r="P580" s="11" t="str">
        <f t="shared" si="123"/>
        <v>1</v>
      </c>
      <c r="Q580" s="11" t="str">
        <f t="shared" si="124"/>
        <v>4</v>
      </c>
      <c r="R580" s="11" t="str">
        <f t="shared" si="125"/>
        <v>0</v>
      </c>
      <c r="S580" s="11" t="str">
        <f t="shared" si="126"/>
        <v>9</v>
      </c>
      <c r="T580" s="11" t="str">
        <f t="shared" si="127"/>
        <v>2</v>
      </c>
      <c r="U580" s="11" t="str">
        <f t="shared" si="128"/>
        <v>2</v>
      </c>
      <c r="V580" s="11" t="str">
        <f t="shared" si="129"/>
        <v>1</v>
      </c>
      <c r="W580" s="11" t="str">
        <f t="shared" si="130"/>
        <v>3</v>
      </c>
      <c r="X580" s="11" t="str">
        <f t="shared" si="131"/>
        <v>5</v>
      </c>
    </row>
    <row r="581" spans="1:24" x14ac:dyDescent="0.35">
      <c r="A581" s="5">
        <v>14441</v>
      </c>
      <c r="B581" s="5">
        <v>12140922136</v>
      </c>
      <c r="C581" s="5">
        <v>727140</v>
      </c>
      <c r="D581" s="5">
        <v>3763857</v>
      </c>
      <c r="E581" s="6" t="s">
        <v>70</v>
      </c>
      <c r="F581" s="6" t="s">
        <v>71</v>
      </c>
      <c r="G581" s="6" t="s">
        <v>71</v>
      </c>
      <c r="H581" s="7"/>
      <c r="I581" s="35" t="str">
        <f t="shared" si="119"/>
        <v>140922</v>
      </c>
      <c r="J581" s="31" t="str">
        <f t="shared" si="120"/>
        <v>12</v>
      </c>
      <c r="N581" s="12" t="str">
        <f t="shared" si="121"/>
        <v>1</v>
      </c>
      <c r="O581" s="11" t="str">
        <f t="shared" si="122"/>
        <v>2</v>
      </c>
      <c r="P581" s="11" t="str">
        <f t="shared" si="123"/>
        <v>1</v>
      </c>
      <c r="Q581" s="11" t="str">
        <f t="shared" si="124"/>
        <v>4</v>
      </c>
      <c r="R581" s="11" t="str">
        <f t="shared" si="125"/>
        <v>0</v>
      </c>
      <c r="S581" s="11" t="str">
        <f t="shared" si="126"/>
        <v>9</v>
      </c>
      <c r="T581" s="11" t="str">
        <f t="shared" si="127"/>
        <v>2</v>
      </c>
      <c r="U581" s="11" t="str">
        <f t="shared" si="128"/>
        <v>2</v>
      </c>
      <c r="V581" s="11" t="str">
        <f t="shared" si="129"/>
        <v>1</v>
      </c>
      <c r="W581" s="11" t="str">
        <f t="shared" si="130"/>
        <v>3</v>
      </c>
      <c r="X581" s="11" t="str">
        <f t="shared" si="131"/>
        <v>6</v>
      </c>
    </row>
    <row r="582" spans="1:24" x14ac:dyDescent="0.35">
      <c r="A582" s="5">
        <v>14442</v>
      </c>
      <c r="B582" s="5">
        <v>12140922137</v>
      </c>
      <c r="C582" s="5">
        <v>727140.1</v>
      </c>
      <c r="D582" s="5">
        <v>3763857.3</v>
      </c>
      <c r="E582" s="6" t="s">
        <v>70</v>
      </c>
      <c r="F582" s="6" t="s">
        <v>71</v>
      </c>
      <c r="G582" s="6" t="s">
        <v>71</v>
      </c>
      <c r="H582" s="7"/>
      <c r="I582" s="35" t="str">
        <f t="shared" si="119"/>
        <v>140922</v>
      </c>
      <c r="J582" s="31" t="str">
        <f t="shared" si="120"/>
        <v>12</v>
      </c>
      <c r="N582" s="12" t="str">
        <f t="shared" si="121"/>
        <v>1</v>
      </c>
      <c r="O582" s="11" t="str">
        <f t="shared" si="122"/>
        <v>2</v>
      </c>
      <c r="P582" s="11" t="str">
        <f t="shared" si="123"/>
        <v>1</v>
      </c>
      <c r="Q582" s="11" t="str">
        <f t="shared" si="124"/>
        <v>4</v>
      </c>
      <c r="R582" s="11" t="str">
        <f t="shared" si="125"/>
        <v>0</v>
      </c>
      <c r="S582" s="11" t="str">
        <f t="shared" si="126"/>
        <v>9</v>
      </c>
      <c r="T582" s="11" t="str">
        <f t="shared" si="127"/>
        <v>2</v>
      </c>
      <c r="U582" s="11" t="str">
        <f t="shared" si="128"/>
        <v>2</v>
      </c>
      <c r="V582" s="11" t="str">
        <f t="shared" si="129"/>
        <v>1</v>
      </c>
      <c r="W582" s="11" t="str">
        <f t="shared" si="130"/>
        <v>3</v>
      </c>
      <c r="X582" s="11" t="str">
        <f t="shared" si="131"/>
        <v>7</v>
      </c>
    </row>
    <row r="583" spans="1:24" x14ac:dyDescent="0.35">
      <c r="A583" s="5">
        <v>14443</v>
      </c>
      <c r="B583" s="5">
        <v>12140922138</v>
      </c>
      <c r="C583" s="5">
        <v>727140.2</v>
      </c>
      <c r="D583" s="5">
        <v>3763857.5</v>
      </c>
      <c r="E583" s="6" t="s">
        <v>70</v>
      </c>
      <c r="F583" s="6" t="s">
        <v>71</v>
      </c>
      <c r="G583" s="6" t="s">
        <v>71</v>
      </c>
      <c r="H583" s="7"/>
      <c r="I583" s="35" t="str">
        <f t="shared" si="119"/>
        <v>140922</v>
      </c>
      <c r="J583" s="31" t="str">
        <f t="shared" si="120"/>
        <v>12</v>
      </c>
      <c r="N583" s="12" t="str">
        <f t="shared" si="121"/>
        <v>1</v>
      </c>
      <c r="O583" s="11" t="str">
        <f t="shared" si="122"/>
        <v>2</v>
      </c>
      <c r="P583" s="11" t="str">
        <f t="shared" si="123"/>
        <v>1</v>
      </c>
      <c r="Q583" s="11" t="str">
        <f t="shared" si="124"/>
        <v>4</v>
      </c>
      <c r="R583" s="11" t="str">
        <f t="shared" si="125"/>
        <v>0</v>
      </c>
      <c r="S583" s="11" t="str">
        <f t="shared" si="126"/>
        <v>9</v>
      </c>
      <c r="T583" s="11" t="str">
        <f t="shared" si="127"/>
        <v>2</v>
      </c>
      <c r="U583" s="11" t="str">
        <f t="shared" si="128"/>
        <v>2</v>
      </c>
      <c r="V583" s="11" t="str">
        <f t="shared" si="129"/>
        <v>1</v>
      </c>
      <c r="W583" s="11" t="str">
        <f t="shared" si="130"/>
        <v>3</v>
      </c>
      <c r="X583" s="11" t="str">
        <f t="shared" si="131"/>
        <v>8</v>
      </c>
    </row>
    <row r="584" spans="1:24" x14ac:dyDescent="0.35">
      <c r="A584" s="5">
        <v>14444</v>
      </c>
      <c r="B584" s="5">
        <v>12140922139</v>
      </c>
      <c r="C584" s="5">
        <v>727235</v>
      </c>
      <c r="D584" s="5">
        <v>3763853</v>
      </c>
      <c r="E584" s="6" t="s">
        <v>70</v>
      </c>
      <c r="F584" s="6" t="s">
        <v>71</v>
      </c>
      <c r="G584" s="6" t="s">
        <v>71</v>
      </c>
      <c r="H584" s="7"/>
      <c r="I584" s="35" t="str">
        <f t="shared" si="119"/>
        <v>140922</v>
      </c>
      <c r="J584" s="31" t="str">
        <f t="shared" si="120"/>
        <v>12</v>
      </c>
      <c r="N584" s="12" t="str">
        <f t="shared" si="121"/>
        <v>1</v>
      </c>
      <c r="O584" s="11" t="str">
        <f t="shared" si="122"/>
        <v>2</v>
      </c>
      <c r="P584" s="11" t="str">
        <f t="shared" si="123"/>
        <v>1</v>
      </c>
      <c r="Q584" s="11" t="str">
        <f t="shared" si="124"/>
        <v>4</v>
      </c>
      <c r="R584" s="11" t="str">
        <f t="shared" si="125"/>
        <v>0</v>
      </c>
      <c r="S584" s="11" t="str">
        <f t="shared" si="126"/>
        <v>9</v>
      </c>
      <c r="T584" s="11" t="str">
        <f t="shared" si="127"/>
        <v>2</v>
      </c>
      <c r="U584" s="11" t="str">
        <f t="shared" si="128"/>
        <v>2</v>
      </c>
      <c r="V584" s="11" t="str">
        <f t="shared" si="129"/>
        <v>1</v>
      </c>
      <c r="W584" s="11" t="str">
        <f t="shared" si="130"/>
        <v>3</v>
      </c>
      <c r="X584" s="11" t="str">
        <f t="shared" si="131"/>
        <v>9</v>
      </c>
    </row>
    <row r="585" spans="1:24" x14ac:dyDescent="0.35">
      <c r="A585" s="5">
        <v>14445</v>
      </c>
      <c r="B585" s="5">
        <v>12140922140</v>
      </c>
      <c r="C585" s="5">
        <v>727133</v>
      </c>
      <c r="D585" s="5">
        <v>3763844</v>
      </c>
      <c r="E585" s="6" t="s">
        <v>70</v>
      </c>
      <c r="F585" s="6" t="s">
        <v>71</v>
      </c>
      <c r="G585" s="6" t="s">
        <v>71</v>
      </c>
      <c r="H585" s="7"/>
      <c r="I585" s="35" t="str">
        <f t="shared" si="119"/>
        <v>140922</v>
      </c>
      <c r="J585" s="31" t="str">
        <f t="shared" si="120"/>
        <v>12</v>
      </c>
      <c r="N585" s="12" t="str">
        <f t="shared" si="121"/>
        <v>1</v>
      </c>
      <c r="O585" s="11" t="str">
        <f t="shared" si="122"/>
        <v>2</v>
      </c>
      <c r="P585" s="11" t="str">
        <f t="shared" si="123"/>
        <v>1</v>
      </c>
      <c r="Q585" s="11" t="str">
        <f t="shared" si="124"/>
        <v>4</v>
      </c>
      <c r="R585" s="11" t="str">
        <f t="shared" si="125"/>
        <v>0</v>
      </c>
      <c r="S585" s="11" t="str">
        <f t="shared" si="126"/>
        <v>9</v>
      </c>
      <c r="T585" s="11" t="str">
        <f t="shared" si="127"/>
        <v>2</v>
      </c>
      <c r="U585" s="11" t="str">
        <f t="shared" si="128"/>
        <v>2</v>
      </c>
      <c r="V585" s="11" t="str">
        <f t="shared" si="129"/>
        <v>1</v>
      </c>
      <c r="W585" s="11" t="str">
        <f t="shared" si="130"/>
        <v>4</v>
      </c>
      <c r="X585" s="11" t="str">
        <f t="shared" si="131"/>
        <v>0</v>
      </c>
    </row>
    <row r="586" spans="1:24" x14ac:dyDescent="0.35">
      <c r="A586" s="5">
        <v>14446</v>
      </c>
      <c r="B586" s="5">
        <v>12140922141</v>
      </c>
      <c r="C586" s="5">
        <v>727164</v>
      </c>
      <c r="D586" s="5">
        <v>3763827</v>
      </c>
      <c r="E586" s="6" t="s">
        <v>70</v>
      </c>
      <c r="F586" s="6" t="s">
        <v>71</v>
      </c>
      <c r="G586" s="6" t="s">
        <v>71</v>
      </c>
      <c r="H586" s="7"/>
      <c r="I586" s="35" t="str">
        <f t="shared" si="119"/>
        <v>140922</v>
      </c>
      <c r="J586" s="31" t="str">
        <f t="shared" si="120"/>
        <v>12</v>
      </c>
      <c r="N586" s="12" t="str">
        <f t="shared" si="121"/>
        <v>1</v>
      </c>
      <c r="O586" s="11" t="str">
        <f t="shared" si="122"/>
        <v>2</v>
      </c>
      <c r="P586" s="11" t="str">
        <f t="shared" si="123"/>
        <v>1</v>
      </c>
      <c r="Q586" s="11" t="str">
        <f t="shared" si="124"/>
        <v>4</v>
      </c>
      <c r="R586" s="11" t="str">
        <f t="shared" si="125"/>
        <v>0</v>
      </c>
      <c r="S586" s="11" t="str">
        <f t="shared" si="126"/>
        <v>9</v>
      </c>
      <c r="T586" s="11" t="str">
        <f t="shared" si="127"/>
        <v>2</v>
      </c>
      <c r="U586" s="11" t="str">
        <f t="shared" si="128"/>
        <v>2</v>
      </c>
      <c r="V586" s="11" t="str">
        <f t="shared" si="129"/>
        <v>1</v>
      </c>
      <c r="W586" s="11" t="str">
        <f t="shared" si="130"/>
        <v>4</v>
      </c>
      <c r="X586" s="11" t="str">
        <f t="shared" si="131"/>
        <v>1</v>
      </c>
    </row>
    <row r="587" spans="1:24" x14ac:dyDescent="0.35">
      <c r="A587" s="5">
        <v>14447</v>
      </c>
      <c r="B587" s="5">
        <v>12140922142</v>
      </c>
      <c r="C587" s="5">
        <v>727190</v>
      </c>
      <c r="D587" s="5">
        <v>3763817</v>
      </c>
      <c r="E587" s="6" t="s">
        <v>70</v>
      </c>
      <c r="F587" s="6" t="s">
        <v>71</v>
      </c>
      <c r="G587" s="6" t="s">
        <v>71</v>
      </c>
      <c r="H587" s="7"/>
      <c r="I587" s="35" t="str">
        <f t="shared" si="119"/>
        <v>140922</v>
      </c>
      <c r="J587" s="31" t="str">
        <f t="shared" si="120"/>
        <v>12</v>
      </c>
      <c r="N587" s="12" t="str">
        <f t="shared" si="121"/>
        <v>1</v>
      </c>
      <c r="O587" s="11" t="str">
        <f t="shared" si="122"/>
        <v>2</v>
      </c>
      <c r="P587" s="11" t="str">
        <f t="shared" si="123"/>
        <v>1</v>
      </c>
      <c r="Q587" s="11" t="str">
        <f t="shared" si="124"/>
        <v>4</v>
      </c>
      <c r="R587" s="11" t="str">
        <f t="shared" si="125"/>
        <v>0</v>
      </c>
      <c r="S587" s="11" t="str">
        <f t="shared" si="126"/>
        <v>9</v>
      </c>
      <c r="T587" s="11" t="str">
        <f t="shared" si="127"/>
        <v>2</v>
      </c>
      <c r="U587" s="11" t="str">
        <f t="shared" si="128"/>
        <v>2</v>
      </c>
      <c r="V587" s="11" t="str">
        <f t="shared" si="129"/>
        <v>1</v>
      </c>
      <c r="W587" s="11" t="str">
        <f t="shared" si="130"/>
        <v>4</v>
      </c>
      <c r="X587" s="11" t="str">
        <f t="shared" si="131"/>
        <v>2</v>
      </c>
    </row>
    <row r="588" spans="1:24" x14ac:dyDescent="0.35">
      <c r="A588" s="5">
        <v>14448</v>
      </c>
      <c r="B588" s="5">
        <v>12140922143</v>
      </c>
      <c r="C588" s="5">
        <v>727217</v>
      </c>
      <c r="D588" s="5">
        <v>3763802</v>
      </c>
      <c r="E588" s="6" t="s">
        <v>70</v>
      </c>
      <c r="F588" s="6" t="s">
        <v>71</v>
      </c>
      <c r="G588" s="6" t="s">
        <v>71</v>
      </c>
      <c r="H588" s="7"/>
      <c r="I588" s="35" t="str">
        <f t="shared" si="119"/>
        <v>140922</v>
      </c>
      <c r="J588" s="31" t="str">
        <f t="shared" si="120"/>
        <v>12</v>
      </c>
      <c r="N588" s="12" t="str">
        <f t="shared" si="121"/>
        <v>1</v>
      </c>
      <c r="O588" s="11" t="str">
        <f t="shared" si="122"/>
        <v>2</v>
      </c>
      <c r="P588" s="11" t="str">
        <f t="shared" si="123"/>
        <v>1</v>
      </c>
      <c r="Q588" s="11" t="str">
        <f t="shared" si="124"/>
        <v>4</v>
      </c>
      <c r="R588" s="11" t="str">
        <f t="shared" si="125"/>
        <v>0</v>
      </c>
      <c r="S588" s="11" t="str">
        <f t="shared" si="126"/>
        <v>9</v>
      </c>
      <c r="T588" s="11" t="str">
        <f t="shared" si="127"/>
        <v>2</v>
      </c>
      <c r="U588" s="11" t="str">
        <f t="shared" si="128"/>
        <v>2</v>
      </c>
      <c r="V588" s="11" t="str">
        <f t="shared" si="129"/>
        <v>1</v>
      </c>
      <c r="W588" s="11" t="str">
        <f t="shared" si="130"/>
        <v>4</v>
      </c>
      <c r="X588" s="11" t="str">
        <f t="shared" si="131"/>
        <v>3</v>
      </c>
    </row>
    <row r="589" spans="1:24" x14ac:dyDescent="0.35">
      <c r="A589" s="5">
        <v>14449</v>
      </c>
      <c r="B589" s="5">
        <v>12140922144</v>
      </c>
      <c r="C589" s="5">
        <v>727125</v>
      </c>
      <c r="D589" s="5">
        <v>3763826</v>
      </c>
      <c r="E589" s="6" t="s">
        <v>70</v>
      </c>
      <c r="F589" s="6" t="s">
        <v>71</v>
      </c>
      <c r="G589" s="6" t="s">
        <v>71</v>
      </c>
      <c r="H589" s="7"/>
      <c r="I589" s="35" t="str">
        <f t="shared" si="119"/>
        <v>140922</v>
      </c>
      <c r="J589" s="31" t="str">
        <f t="shared" si="120"/>
        <v>12</v>
      </c>
      <c r="N589" s="12" t="str">
        <f t="shared" si="121"/>
        <v>1</v>
      </c>
      <c r="O589" s="11" t="str">
        <f t="shared" si="122"/>
        <v>2</v>
      </c>
      <c r="P589" s="11" t="str">
        <f t="shared" si="123"/>
        <v>1</v>
      </c>
      <c r="Q589" s="11" t="str">
        <f t="shared" si="124"/>
        <v>4</v>
      </c>
      <c r="R589" s="11" t="str">
        <f t="shared" si="125"/>
        <v>0</v>
      </c>
      <c r="S589" s="11" t="str">
        <f t="shared" si="126"/>
        <v>9</v>
      </c>
      <c r="T589" s="11" t="str">
        <f t="shared" si="127"/>
        <v>2</v>
      </c>
      <c r="U589" s="11" t="str">
        <f t="shared" si="128"/>
        <v>2</v>
      </c>
      <c r="V589" s="11" t="str">
        <f t="shared" si="129"/>
        <v>1</v>
      </c>
      <c r="W589" s="11" t="str">
        <f t="shared" si="130"/>
        <v>4</v>
      </c>
      <c r="X589" s="11" t="str">
        <f t="shared" si="131"/>
        <v>4</v>
      </c>
    </row>
    <row r="590" spans="1:24" x14ac:dyDescent="0.35">
      <c r="A590" s="5">
        <v>14450</v>
      </c>
      <c r="B590" s="5">
        <v>12140922145</v>
      </c>
      <c r="C590" s="5">
        <v>727125.1</v>
      </c>
      <c r="D590" s="5">
        <v>3763826.3</v>
      </c>
      <c r="E590" s="6" t="s">
        <v>70</v>
      </c>
      <c r="F590" s="6" t="s">
        <v>71</v>
      </c>
      <c r="G590" s="6" t="s">
        <v>71</v>
      </c>
      <c r="H590" s="7"/>
      <c r="I590" s="35" t="str">
        <f t="shared" si="119"/>
        <v>140922</v>
      </c>
      <c r="J590" s="31" t="str">
        <f t="shared" si="120"/>
        <v>12</v>
      </c>
      <c r="N590" s="12" t="str">
        <f t="shared" si="121"/>
        <v>1</v>
      </c>
      <c r="O590" s="11" t="str">
        <f t="shared" si="122"/>
        <v>2</v>
      </c>
      <c r="P590" s="11" t="str">
        <f t="shared" si="123"/>
        <v>1</v>
      </c>
      <c r="Q590" s="11" t="str">
        <f t="shared" si="124"/>
        <v>4</v>
      </c>
      <c r="R590" s="11" t="str">
        <f t="shared" si="125"/>
        <v>0</v>
      </c>
      <c r="S590" s="11" t="str">
        <f t="shared" si="126"/>
        <v>9</v>
      </c>
      <c r="T590" s="11" t="str">
        <f t="shared" si="127"/>
        <v>2</v>
      </c>
      <c r="U590" s="11" t="str">
        <f t="shared" si="128"/>
        <v>2</v>
      </c>
      <c r="V590" s="11" t="str">
        <f t="shared" si="129"/>
        <v>1</v>
      </c>
      <c r="W590" s="11" t="str">
        <f t="shared" si="130"/>
        <v>4</v>
      </c>
      <c r="X590" s="11" t="str">
        <f t="shared" si="131"/>
        <v>5</v>
      </c>
    </row>
    <row r="591" spans="1:24" x14ac:dyDescent="0.35">
      <c r="A591" s="5">
        <v>14451</v>
      </c>
      <c r="B591" s="5">
        <v>12140922146</v>
      </c>
      <c r="C591" s="5">
        <v>727125.2</v>
      </c>
      <c r="D591" s="5">
        <v>3763826.4</v>
      </c>
      <c r="E591" s="6" t="s">
        <v>70</v>
      </c>
      <c r="F591" s="6" t="s">
        <v>71</v>
      </c>
      <c r="G591" s="6" t="s">
        <v>71</v>
      </c>
      <c r="H591" s="7"/>
      <c r="I591" s="35" t="str">
        <f t="shared" si="119"/>
        <v>140922</v>
      </c>
      <c r="J591" s="31" t="str">
        <f t="shared" si="120"/>
        <v>12</v>
      </c>
      <c r="N591" s="12" t="str">
        <f t="shared" si="121"/>
        <v>1</v>
      </c>
      <c r="O591" s="11" t="str">
        <f t="shared" si="122"/>
        <v>2</v>
      </c>
      <c r="P591" s="11" t="str">
        <f t="shared" si="123"/>
        <v>1</v>
      </c>
      <c r="Q591" s="11" t="str">
        <f t="shared" si="124"/>
        <v>4</v>
      </c>
      <c r="R591" s="11" t="str">
        <f t="shared" si="125"/>
        <v>0</v>
      </c>
      <c r="S591" s="11" t="str">
        <f t="shared" si="126"/>
        <v>9</v>
      </c>
      <c r="T591" s="11" t="str">
        <f t="shared" si="127"/>
        <v>2</v>
      </c>
      <c r="U591" s="11" t="str">
        <f t="shared" si="128"/>
        <v>2</v>
      </c>
      <c r="V591" s="11" t="str">
        <f t="shared" si="129"/>
        <v>1</v>
      </c>
      <c r="W591" s="11" t="str">
        <f t="shared" si="130"/>
        <v>4</v>
      </c>
      <c r="X591" s="11" t="str">
        <f t="shared" si="131"/>
        <v>6</v>
      </c>
    </row>
    <row r="592" spans="1:24" x14ac:dyDescent="0.35">
      <c r="A592" s="5">
        <v>14452</v>
      </c>
      <c r="B592" s="5">
        <v>12140922147</v>
      </c>
      <c r="C592" s="5">
        <v>727111</v>
      </c>
      <c r="D592" s="5">
        <v>3763790</v>
      </c>
      <c r="E592" s="6" t="s">
        <v>70</v>
      </c>
      <c r="F592" s="6" t="s">
        <v>71</v>
      </c>
      <c r="G592" s="6" t="s">
        <v>71</v>
      </c>
      <c r="H592" s="7"/>
      <c r="I592" s="35" t="str">
        <f t="shared" si="119"/>
        <v>140922</v>
      </c>
      <c r="J592" s="31" t="str">
        <f t="shared" si="120"/>
        <v>12</v>
      </c>
      <c r="N592" s="12" t="str">
        <f t="shared" si="121"/>
        <v>1</v>
      </c>
      <c r="O592" s="11" t="str">
        <f t="shared" si="122"/>
        <v>2</v>
      </c>
      <c r="P592" s="11" t="str">
        <f t="shared" si="123"/>
        <v>1</v>
      </c>
      <c r="Q592" s="11" t="str">
        <f t="shared" si="124"/>
        <v>4</v>
      </c>
      <c r="R592" s="11" t="str">
        <f t="shared" si="125"/>
        <v>0</v>
      </c>
      <c r="S592" s="11" t="str">
        <f t="shared" si="126"/>
        <v>9</v>
      </c>
      <c r="T592" s="11" t="str">
        <f t="shared" si="127"/>
        <v>2</v>
      </c>
      <c r="U592" s="11" t="str">
        <f t="shared" si="128"/>
        <v>2</v>
      </c>
      <c r="V592" s="11" t="str">
        <f t="shared" si="129"/>
        <v>1</v>
      </c>
      <c r="W592" s="11" t="str">
        <f t="shared" si="130"/>
        <v>4</v>
      </c>
      <c r="X592" s="11" t="str">
        <f t="shared" si="131"/>
        <v>7</v>
      </c>
    </row>
    <row r="593" spans="1:24" x14ac:dyDescent="0.35">
      <c r="A593" s="5">
        <v>14453</v>
      </c>
      <c r="B593" s="5">
        <v>12140922148</v>
      </c>
      <c r="C593" s="5">
        <v>727097</v>
      </c>
      <c r="D593" s="5">
        <v>3763766</v>
      </c>
      <c r="E593" s="6" t="s">
        <v>70</v>
      </c>
      <c r="F593" s="6" t="s">
        <v>71</v>
      </c>
      <c r="G593" s="6" t="s">
        <v>71</v>
      </c>
      <c r="H593" s="7"/>
      <c r="I593" s="35" t="str">
        <f t="shared" si="119"/>
        <v>140922</v>
      </c>
      <c r="J593" s="31" t="str">
        <f t="shared" si="120"/>
        <v>12</v>
      </c>
      <c r="N593" s="12" t="str">
        <f t="shared" si="121"/>
        <v>1</v>
      </c>
      <c r="O593" s="11" t="str">
        <f t="shared" si="122"/>
        <v>2</v>
      </c>
      <c r="P593" s="11" t="str">
        <f t="shared" si="123"/>
        <v>1</v>
      </c>
      <c r="Q593" s="11" t="str">
        <f t="shared" si="124"/>
        <v>4</v>
      </c>
      <c r="R593" s="11" t="str">
        <f t="shared" si="125"/>
        <v>0</v>
      </c>
      <c r="S593" s="11" t="str">
        <f t="shared" si="126"/>
        <v>9</v>
      </c>
      <c r="T593" s="11" t="str">
        <f t="shared" si="127"/>
        <v>2</v>
      </c>
      <c r="U593" s="11" t="str">
        <f t="shared" si="128"/>
        <v>2</v>
      </c>
      <c r="V593" s="11" t="str">
        <f t="shared" si="129"/>
        <v>1</v>
      </c>
      <c r="W593" s="11" t="str">
        <f t="shared" si="130"/>
        <v>4</v>
      </c>
      <c r="X593" s="11" t="str">
        <f t="shared" si="131"/>
        <v>8</v>
      </c>
    </row>
    <row r="594" spans="1:24" x14ac:dyDescent="0.35">
      <c r="A594" s="5">
        <v>14454</v>
      </c>
      <c r="B594" s="5">
        <v>12140922149</v>
      </c>
      <c r="C594" s="5">
        <v>727143</v>
      </c>
      <c r="D594" s="5">
        <v>3763746</v>
      </c>
      <c r="E594" s="6" t="s">
        <v>70</v>
      </c>
      <c r="F594" s="6" t="s">
        <v>71</v>
      </c>
      <c r="G594" s="6" t="s">
        <v>71</v>
      </c>
      <c r="H594" s="7"/>
      <c r="I594" s="35" t="str">
        <f t="shared" si="119"/>
        <v>140922</v>
      </c>
      <c r="J594" s="31" t="str">
        <f t="shared" si="120"/>
        <v>12</v>
      </c>
      <c r="N594" s="12" t="str">
        <f t="shared" si="121"/>
        <v>1</v>
      </c>
      <c r="O594" s="11" t="str">
        <f t="shared" si="122"/>
        <v>2</v>
      </c>
      <c r="P594" s="11" t="str">
        <f t="shared" si="123"/>
        <v>1</v>
      </c>
      <c r="Q594" s="11" t="str">
        <f t="shared" si="124"/>
        <v>4</v>
      </c>
      <c r="R594" s="11" t="str">
        <f t="shared" si="125"/>
        <v>0</v>
      </c>
      <c r="S594" s="11" t="str">
        <f t="shared" si="126"/>
        <v>9</v>
      </c>
      <c r="T594" s="11" t="str">
        <f t="shared" si="127"/>
        <v>2</v>
      </c>
      <c r="U594" s="11" t="str">
        <f t="shared" si="128"/>
        <v>2</v>
      </c>
      <c r="V594" s="11" t="str">
        <f t="shared" si="129"/>
        <v>1</v>
      </c>
      <c r="W594" s="11" t="str">
        <f t="shared" si="130"/>
        <v>4</v>
      </c>
      <c r="X594" s="11" t="str">
        <f t="shared" si="131"/>
        <v>9</v>
      </c>
    </row>
    <row r="595" spans="1:24" x14ac:dyDescent="0.35">
      <c r="A595" s="5">
        <v>14455</v>
      </c>
      <c r="B595" s="5">
        <v>12140922150</v>
      </c>
      <c r="C595" s="5">
        <v>727159</v>
      </c>
      <c r="D595" s="5">
        <v>3763740</v>
      </c>
      <c r="E595" s="6" t="s">
        <v>70</v>
      </c>
      <c r="F595" s="6" t="s">
        <v>71</v>
      </c>
      <c r="G595" s="6" t="s">
        <v>71</v>
      </c>
      <c r="H595" s="7"/>
      <c r="I595" s="35" t="str">
        <f t="shared" si="119"/>
        <v>140922</v>
      </c>
      <c r="J595" s="31" t="str">
        <f t="shared" si="120"/>
        <v>12</v>
      </c>
      <c r="N595" s="12" t="str">
        <f t="shared" si="121"/>
        <v>1</v>
      </c>
      <c r="O595" s="11" t="str">
        <f t="shared" si="122"/>
        <v>2</v>
      </c>
      <c r="P595" s="11" t="str">
        <f t="shared" si="123"/>
        <v>1</v>
      </c>
      <c r="Q595" s="11" t="str">
        <f t="shared" si="124"/>
        <v>4</v>
      </c>
      <c r="R595" s="11" t="str">
        <f t="shared" si="125"/>
        <v>0</v>
      </c>
      <c r="S595" s="11" t="str">
        <f t="shared" si="126"/>
        <v>9</v>
      </c>
      <c r="T595" s="11" t="str">
        <f t="shared" si="127"/>
        <v>2</v>
      </c>
      <c r="U595" s="11" t="str">
        <f t="shared" si="128"/>
        <v>2</v>
      </c>
      <c r="V595" s="11" t="str">
        <f t="shared" si="129"/>
        <v>1</v>
      </c>
      <c r="W595" s="11" t="str">
        <f t="shared" si="130"/>
        <v>5</v>
      </c>
      <c r="X595" s="11" t="str">
        <f t="shared" si="131"/>
        <v>0</v>
      </c>
    </row>
    <row r="596" spans="1:24" x14ac:dyDescent="0.35">
      <c r="A596" s="5">
        <v>14456</v>
      </c>
      <c r="B596" s="5">
        <v>12140922151</v>
      </c>
      <c r="C596" s="5">
        <v>726867</v>
      </c>
      <c r="D596" s="5">
        <v>3763876</v>
      </c>
      <c r="E596" s="6" t="s">
        <v>70</v>
      </c>
      <c r="F596" s="6" t="s">
        <v>71</v>
      </c>
      <c r="G596" s="6" t="s">
        <v>71</v>
      </c>
      <c r="H596" s="7"/>
      <c r="I596" s="35" t="str">
        <f t="shared" si="119"/>
        <v>140922</v>
      </c>
      <c r="J596" s="31" t="str">
        <f t="shared" si="120"/>
        <v>12</v>
      </c>
      <c r="N596" s="12" t="str">
        <f t="shared" si="121"/>
        <v>1</v>
      </c>
      <c r="O596" s="11" t="str">
        <f t="shared" si="122"/>
        <v>2</v>
      </c>
      <c r="P596" s="11" t="str">
        <f t="shared" si="123"/>
        <v>1</v>
      </c>
      <c r="Q596" s="11" t="str">
        <f t="shared" si="124"/>
        <v>4</v>
      </c>
      <c r="R596" s="11" t="str">
        <f t="shared" si="125"/>
        <v>0</v>
      </c>
      <c r="S596" s="11" t="str">
        <f t="shared" si="126"/>
        <v>9</v>
      </c>
      <c r="T596" s="11" t="str">
        <f t="shared" si="127"/>
        <v>2</v>
      </c>
      <c r="U596" s="11" t="str">
        <f t="shared" si="128"/>
        <v>2</v>
      </c>
      <c r="V596" s="11" t="str">
        <f t="shared" si="129"/>
        <v>1</v>
      </c>
      <c r="W596" s="11" t="str">
        <f t="shared" si="130"/>
        <v>5</v>
      </c>
      <c r="X596" s="11" t="str">
        <f t="shared" si="131"/>
        <v>1</v>
      </c>
    </row>
    <row r="597" spans="1:24" x14ac:dyDescent="0.35">
      <c r="A597" s="5">
        <v>14457</v>
      </c>
      <c r="B597" s="5">
        <v>12140922152</v>
      </c>
      <c r="C597" s="5">
        <v>726890</v>
      </c>
      <c r="D597" s="5">
        <v>3763862</v>
      </c>
      <c r="E597" s="6" t="s">
        <v>70</v>
      </c>
      <c r="F597" s="6" t="s">
        <v>71</v>
      </c>
      <c r="G597" s="6" t="s">
        <v>71</v>
      </c>
      <c r="H597" s="7"/>
      <c r="I597" s="35" t="str">
        <f t="shared" si="119"/>
        <v>140922</v>
      </c>
      <c r="J597" s="31" t="str">
        <f t="shared" si="120"/>
        <v>12</v>
      </c>
      <c r="N597" s="12" t="str">
        <f t="shared" si="121"/>
        <v>1</v>
      </c>
      <c r="O597" s="11" t="str">
        <f t="shared" si="122"/>
        <v>2</v>
      </c>
      <c r="P597" s="11" t="str">
        <f t="shared" si="123"/>
        <v>1</v>
      </c>
      <c r="Q597" s="11" t="str">
        <f t="shared" si="124"/>
        <v>4</v>
      </c>
      <c r="R597" s="11" t="str">
        <f t="shared" si="125"/>
        <v>0</v>
      </c>
      <c r="S597" s="11" t="str">
        <f t="shared" si="126"/>
        <v>9</v>
      </c>
      <c r="T597" s="11" t="str">
        <f t="shared" si="127"/>
        <v>2</v>
      </c>
      <c r="U597" s="11" t="str">
        <f t="shared" si="128"/>
        <v>2</v>
      </c>
      <c r="V597" s="11" t="str">
        <f t="shared" si="129"/>
        <v>1</v>
      </c>
      <c r="W597" s="11" t="str">
        <f t="shared" si="130"/>
        <v>5</v>
      </c>
      <c r="X597" s="11" t="str">
        <f t="shared" si="131"/>
        <v>2</v>
      </c>
    </row>
    <row r="598" spans="1:24" x14ac:dyDescent="0.35">
      <c r="A598" s="5">
        <v>14458</v>
      </c>
      <c r="B598" s="5">
        <v>12140922153</v>
      </c>
      <c r="C598" s="5">
        <v>726936</v>
      </c>
      <c r="D598" s="5">
        <v>3763849</v>
      </c>
      <c r="E598" s="6" t="s">
        <v>70</v>
      </c>
      <c r="F598" s="6" t="s">
        <v>71</v>
      </c>
      <c r="G598" s="6" t="s">
        <v>71</v>
      </c>
      <c r="H598" s="7"/>
      <c r="I598" s="35" t="str">
        <f t="shared" si="119"/>
        <v>140922</v>
      </c>
      <c r="J598" s="31" t="str">
        <f t="shared" si="120"/>
        <v>12</v>
      </c>
      <c r="N598" s="12" t="str">
        <f t="shared" si="121"/>
        <v>1</v>
      </c>
      <c r="O598" s="11" t="str">
        <f t="shared" si="122"/>
        <v>2</v>
      </c>
      <c r="P598" s="11" t="str">
        <f t="shared" si="123"/>
        <v>1</v>
      </c>
      <c r="Q598" s="11" t="str">
        <f t="shared" si="124"/>
        <v>4</v>
      </c>
      <c r="R598" s="11" t="str">
        <f t="shared" si="125"/>
        <v>0</v>
      </c>
      <c r="S598" s="11" t="str">
        <f t="shared" si="126"/>
        <v>9</v>
      </c>
      <c r="T598" s="11" t="str">
        <f t="shared" si="127"/>
        <v>2</v>
      </c>
      <c r="U598" s="11" t="str">
        <f t="shared" si="128"/>
        <v>2</v>
      </c>
      <c r="V598" s="11" t="str">
        <f t="shared" si="129"/>
        <v>1</v>
      </c>
      <c r="W598" s="11" t="str">
        <f t="shared" si="130"/>
        <v>5</v>
      </c>
      <c r="X598" s="11" t="str">
        <f t="shared" si="131"/>
        <v>3</v>
      </c>
    </row>
    <row r="599" spans="1:24" x14ac:dyDescent="0.35">
      <c r="A599" s="5">
        <v>14459</v>
      </c>
      <c r="B599" s="5">
        <v>12140922154</v>
      </c>
      <c r="C599" s="5">
        <v>726975</v>
      </c>
      <c r="D599" s="5">
        <v>3763821</v>
      </c>
      <c r="E599" s="6" t="s">
        <v>70</v>
      </c>
      <c r="F599" s="6" t="s">
        <v>71</v>
      </c>
      <c r="G599" s="6" t="s">
        <v>71</v>
      </c>
      <c r="H599" s="7"/>
      <c r="I599" s="35" t="str">
        <f t="shared" si="119"/>
        <v>140922</v>
      </c>
      <c r="J599" s="31" t="str">
        <f t="shared" si="120"/>
        <v>12</v>
      </c>
      <c r="N599" s="12" t="str">
        <f t="shared" si="121"/>
        <v>1</v>
      </c>
      <c r="O599" s="11" t="str">
        <f t="shared" si="122"/>
        <v>2</v>
      </c>
      <c r="P599" s="11" t="str">
        <f t="shared" si="123"/>
        <v>1</v>
      </c>
      <c r="Q599" s="11" t="str">
        <f t="shared" si="124"/>
        <v>4</v>
      </c>
      <c r="R599" s="11" t="str">
        <f t="shared" si="125"/>
        <v>0</v>
      </c>
      <c r="S599" s="11" t="str">
        <f t="shared" si="126"/>
        <v>9</v>
      </c>
      <c r="T599" s="11" t="str">
        <f t="shared" si="127"/>
        <v>2</v>
      </c>
      <c r="U599" s="11" t="str">
        <f t="shared" si="128"/>
        <v>2</v>
      </c>
      <c r="V599" s="11" t="str">
        <f t="shared" si="129"/>
        <v>1</v>
      </c>
      <c r="W599" s="11" t="str">
        <f t="shared" si="130"/>
        <v>5</v>
      </c>
      <c r="X599" s="11" t="str">
        <f t="shared" si="131"/>
        <v>4</v>
      </c>
    </row>
    <row r="600" spans="1:24" x14ac:dyDescent="0.35">
      <c r="A600" s="5">
        <v>14460</v>
      </c>
      <c r="B600" s="5">
        <v>12140922155</v>
      </c>
      <c r="C600" s="5">
        <v>726975.1</v>
      </c>
      <c r="D600" s="5">
        <v>3763821.3</v>
      </c>
      <c r="E600" s="6" t="s">
        <v>70</v>
      </c>
      <c r="F600" s="6" t="s">
        <v>71</v>
      </c>
      <c r="G600" s="6" t="s">
        <v>71</v>
      </c>
      <c r="H600" s="7"/>
      <c r="I600" s="35" t="str">
        <f t="shared" si="119"/>
        <v>140922</v>
      </c>
      <c r="J600" s="31" t="str">
        <f t="shared" si="120"/>
        <v>12</v>
      </c>
      <c r="N600" s="12" t="str">
        <f t="shared" si="121"/>
        <v>1</v>
      </c>
      <c r="O600" s="11" t="str">
        <f t="shared" si="122"/>
        <v>2</v>
      </c>
      <c r="P600" s="11" t="str">
        <f t="shared" si="123"/>
        <v>1</v>
      </c>
      <c r="Q600" s="11" t="str">
        <f t="shared" si="124"/>
        <v>4</v>
      </c>
      <c r="R600" s="11" t="str">
        <f t="shared" si="125"/>
        <v>0</v>
      </c>
      <c r="S600" s="11" t="str">
        <f t="shared" si="126"/>
        <v>9</v>
      </c>
      <c r="T600" s="11" t="str">
        <f t="shared" si="127"/>
        <v>2</v>
      </c>
      <c r="U600" s="11" t="str">
        <f t="shared" si="128"/>
        <v>2</v>
      </c>
      <c r="V600" s="11" t="str">
        <f t="shared" si="129"/>
        <v>1</v>
      </c>
      <c r="W600" s="11" t="str">
        <f t="shared" si="130"/>
        <v>5</v>
      </c>
      <c r="X600" s="11" t="str">
        <f t="shared" si="131"/>
        <v>5</v>
      </c>
    </row>
    <row r="601" spans="1:24" x14ac:dyDescent="0.35">
      <c r="A601" s="5">
        <v>14461</v>
      </c>
      <c r="B601" s="5">
        <v>12140922156</v>
      </c>
      <c r="C601" s="5">
        <v>726975.2</v>
      </c>
      <c r="D601" s="5">
        <v>3763821.4</v>
      </c>
      <c r="E601" s="6" t="s">
        <v>70</v>
      </c>
      <c r="F601" s="6" t="s">
        <v>71</v>
      </c>
      <c r="G601" s="6" t="s">
        <v>71</v>
      </c>
      <c r="H601" s="7"/>
      <c r="I601" s="35" t="str">
        <f t="shared" si="119"/>
        <v>140922</v>
      </c>
      <c r="J601" s="31" t="str">
        <f t="shared" si="120"/>
        <v>12</v>
      </c>
      <c r="N601" s="12" t="str">
        <f t="shared" si="121"/>
        <v>1</v>
      </c>
      <c r="O601" s="11" t="str">
        <f t="shared" si="122"/>
        <v>2</v>
      </c>
      <c r="P601" s="11" t="str">
        <f t="shared" si="123"/>
        <v>1</v>
      </c>
      <c r="Q601" s="11" t="str">
        <f t="shared" si="124"/>
        <v>4</v>
      </c>
      <c r="R601" s="11" t="str">
        <f t="shared" si="125"/>
        <v>0</v>
      </c>
      <c r="S601" s="11" t="str">
        <f t="shared" si="126"/>
        <v>9</v>
      </c>
      <c r="T601" s="11" t="str">
        <f t="shared" si="127"/>
        <v>2</v>
      </c>
      <c r="U601" s="11" t="str">
        <f t="shared" si="128"/>
        <v>2</v>
      </c>
      <c r="V601" s="11" t="str">
        <f t="shared" si="129"/>
        <v>1</v>
      </c>
      <c r="W601" s="11" t="str">
        <f t="shared" si="130"/>
        <v>5</v>
      </c>
      <c r="X601" s="11" t="str">
        <f t="shared" si="131"/>
        <v>6</v>
      </c>
    </row>
    <row r="602" spans="1:24" x14ac:dyDescent="0.35">
      <c r="A602" s="5">
        <v>14462</v>
      </c>
      <c r="B602" s="5">
        <v>12140922157</v>
      </c>
      <c r="C602" s="5">
        <v>726972</v>
      </c>
      <c r="D602" s="5">
        <v>3763840</v>
      </c>
      <c r="E602" s="6" t="s">
        <v>70</v>
      </c>
      <c r="F602" s="6" t="s">
        <v>71</v>
      </c>
      <c r="G602" s="6" t="s">
        <v>71</v>
      </c>
      <c r="H602" s="7"/>
      <c r="I602" s="35" t="str">
        <f t="shared" si="119"/>
        <v>140922</v>
      </c>
      <c r="J602" s="31" t="str">
        <f t="shared" si="120"/>
        <v>12</v>
      </c>
      <c r="N602" s="12" t="str">
        <f t="shared" si="121"/>
        <v>1</v>
      </c>
      <c r="O602" s="11" t="str">
        <f t="shared" si="122"/>
        <v>2</v>
      </c>
      <c r="P602" s="11" t="str">
        <f t="shared" si="123"/>
        <v>1</v>
      </c>
      <c r="Q602" s="11" t="str">
        <f t="shared" si="124"/>
        <v>4</v>
      </c>
      <c r="R602" s="11" t="str">
        <f t="shared" si="125"/>
        <v>0</v>
      </c>
      <c r="S602" s="11" t="str">
        <f t="shared" si="126"/>
        <v>9</v>
      </c>
      <c r="T602" s="11" t="str">
        <f t="shared" si="127"/>
        <v>2</v>
      </c>
      <c r="U602" s="11" t="str">
        <f t="shared" si="128"/>
        <v>2</v>
      </c>
      <c r="V602" s="11" t="str">
        <f t="shared" si="129"/>
        <v>1</v>
      </c>
      <c r="W602" s="11" t="str">
        <f t="shared" si="130"/>
        <v>5</v>
      </c>
      <c r="X602" s="11" t="str">
        <f t="shared" si="131"/>
        <v>7</v>
      </c>
    </row>
    <row r="603" spans="1:24" x14ac:dyDescent="0.35">
      <c r="A603" s="5">
        <v>14463</v>
      </c>
      <c r="B603" s="5">
        <v>12140922158</v>
      </c>
      <c r="C603" s="5">
        <v>726983</v>
      </c>
      <c r="D603" s="5">
        <v>3763870</v>
      </c>
      <c r="E603" s="6" t="s">
        <v>70</v>
      </c>
      <c r="F603" s="6" t="s">
        <v>71</v>
      </c>
      <c r="G603" s="6" t="s">
        <v>71</v>
      </c>
      <c r="H603" s="7"/>
      <c r="I603" s="35" t="str">
        <f t="shared" si="119"/>
        <v>140922</v>
      </c>
      <c r="J603" s="31" t="str">
        <f t="shared" si="120"/>
        <v>12</v>
      </c>
      <c r="N603" s="12" t="str">
        <f t="shared" si="121"/>
        <v>1</v>
      </c>
      <c r="O603" s="11" t="str">
        <f t="shared" si="122"/>
        <v>2</v>
      </c>
      <c r="P603" s="11" t="str">
        <f t="shared" si="123"/>
        <v>1</v>
      </c>
      <c r="Q603" s="11" t="str">
        <f t="shared" si="124"/>
        <v>4</v>
      </c>
      <c r="R603" s="11" t="str">
        <f t="shared" si="125"/>
        <v>0</v>
      </c>
      <c r="S603" s="11" t="str">
        <f t="shared" si="126"/>
        <v>9</v>
      </c>
      <c r="T603" s="11" t="str">
        <f t="shared" si="127"/>
        <v>2</v>
      </c>
      <c r="U603" s="11" t="str">
        <f t="shared" si="128"/>
        <v>2</v>
      </c>
      <c r="V603" s="11" t="str">
        <f t="shared" si="129"/>
        <v>1</v>
      </c>
      <c r="W603" s="11" t="str">
        <f t="shared" si="130"/>
        <v>5</v>
      </c>
      <c r="X603" s="11" t="str">
        <f t="shared" si="131"/>
        <v>8</v>
      </c>
    </row>
    <row r="604" spans="1:24" x14ac:dyDescent="0.35">
      <c r="A604" s="5">
        <v>14464</v>
      </c>
      <c r="B604" s="5">
        <v>12140922159</v>
      </c>
      <c r="C604" s="5">
        <v>726958</v>
      </c>
      <c r="D604" s="5">
        <v>3763887</v>
      </c>
      <c r="E604" s="6" t="s">
        <v>70</v>
      </c>
      <c r="F604" s="6" t="s">
        <v>71</v>
      </c>
      <c r="G604" s="6" t="s">
        <v>71</v>
      </c>
      <c r="H604" s="7"/>
      <c r="I604" s="35" t="str">
        <f t="shared" si="119"/>
        <v>140922</v>
      </c>
      <c r="J604" s="31" t="str">
        <f t="shared" si="120"/>
        <v>12</v>
      </c>
      <c r="N604" s="12" t="str">
        <f t="shared" si="121"/>
        <v>1</v>
      </c>
      <c r="O604" s="11" t="str">
        <f t="shared" si="122"/>
        <v>2</v>
      </c>
      <c r="P604" s="11" t="str">
        <f t="shared" si="123"/>
        <v>1</v>
      </c>
      <c r="Q604" s="11" t="str">
        <f t="shared" si="124"/>
        <v>4</v>
      </c>
      <c r="R604" s="11" t="str">
        <f t="shared" si="125"/>
        <v>0</v>
      </c>
      <c r="S604" s="11" t="str">
        <f t="shared" si="126"/>
        <v>9</v>
      </c>
      <c r="T604" s="11" t="str">
        <f t="shared" si="127"/>
        <v>2</v>
      </c>
      <c r="U604" s="11" t="str">
        <f t="shared" si="128"/>
        <v>2</v>
      </c>
      <c r="V604" s="11" t="str">
        <f t="shared" si="129"/>
        <v>1</v>
      </c>
      <c r="W604" s="11" t="str">
        <f t="shared" si="130"/>
        <v>5</v>
      </c>
      <c r="X604" s="11" t="str">
        <f t="shared" si="131"/>
        <v>9</v>
      </c>
    </row>
    <row r="605" spans="1:24" x14ac:dyDescent="0.35">
      <c r="A605" s="5">
        <v>14465</v>
      </c>
      <c r="B605" s="5">
        <v>12140922160</v>
      </c>
      <c r="C605" s="5">
        <v>726935</v>
      </c>
      <c r="D605" s="5">
        <v>3763893</v>
      </c>
      <c r="E605" s="6" t="s">
        <v>70</v>
      </c>
      <c r="F605" s="6" t="s">
        <v>71</v>
      </c>
      <c r="G605" s="6" t="s">
        <v>71</v>
      </c>
      <c r="H605" s="7"/>
      <c r="I605" s="35" t="str">
        <f t="shared" si="119"/>
        <v>140922</v>
      </c>
      <c r="J605" s="31" t="str">
        <f t="shared" si="120"/>
        <v>12</v>
      </c>
      <c r="N605" s="12" t="str">
        <f t="shared" si="121"/>
        <v>1</v>
      </c>
      <c r="O605" s="11" t="str">
        <f t="shared" si="122"/>
        <v>2</v>
      </c>
      <c r="P605" s="11" t="str">
        <f t="shared" si="123"/>
        <v>1</v>
      </c>
      <c r="Q605" s="11" t="str">
        <f t="shared" si="124"/>
        <v>4</v>
      </c>
      <c r="R605" s="11" t="str">
        <f t="shared" si="125"/>
        <v>0</v>
      </c>
      <c r="S605" s="11" t="str">
        <f t="shared" si="126"/>
        <v>9</v>
      </c>
      <c r="T605" s="11" t="str">
        <f t="shared" si="127"/>
        <v>2</v>
      </c>
      <c r="U605" s="11" t="str">
        <f t="shared" si="128"/>
        <v>2</v>
      </c>
      <c r="V605" s="11" t="str">
        <f t="shared" si="129"/>
        <v>1</v>
      </c>
      <c r="W605" s="11" t="str">
        <f t="shared" si="130"/>
        <v>6</v>
      </c>
      <c r="X605" s="11" t="str">
        <f t="shared" si="131"/>
        <v>0</v>
      </c>
    </row>
    <row r="606" spans="1:24" x14ac:dyDescent="0.35">
      <c r="A606" s="5">
        <v>14466</v>
      </c>
      <c r="B606" s="5">
        <v>12140922161</v>
      </c>
      <c r="C606" s="5">
        <v>726993</v>
      </c>
      <c r="D606" s="5">
        <v>3763884</v>
      </c>
      <c r="E606" s="6" t="s">
        <v>70</v>
      </c>
      <c r="F606" s="6" t="s">
        <v>71</v>
      </c>
      <c r="G606" s="6" t="s">
        <v>71</v>
      </c>
      <c r="H606" s="7"/>
      <c r="I606" s="35" t="str">
        <f t="shared" si="119"/>
        <v>140922</v>
      </c>
      <c r="J606" s="31" t="str">
        <f t="shared" si="120"/>
        <v>12</v>
      </c>
      <c r="N606" s="12" t="str">
        <f t="shared" si="121"/>
        <v>1</v>
      </c>
      <c r="O606" s="11" t="str">
        <f t="shared" si="122"/>
        <v>2</v>
      </c>
      <c r="P606" s="11" t="str">
        <f t="shared" si="123"/>
        <v>1</v>
      </c>
      <c r="Q606" s="11" t="str">
        <f t="shared" si="124"/>
        <v>4</v>
      </c>
      <c r="R606" s="11" t="str">
        <f t="shared" si="125"/>
        <v>0</v>
      </c>
      <c r="S606" s="11" t="str">
        <f t="shared" si="126"/>
        <v>9</v>
      </c>
      <c r="T606" s="11" t="str">
        <f t="shared" si="127"/>
        <v>2</v>
      </c>
      <c r="U606" s="11" t="str">
        <f t="shared" si="128"/>
        <v>2</v>
      </c>
      <c r="V606" s="11" t="str">
        <f t="shared" si="129"/>
        <v>1</v>
      </c>
      <c r="W606" s="11" t="str">
        <f t="shared" si="130"/>
        <v>6</v>
      </c>
      <c r="X606" s="11" t="str">
        <f t="shared" si="131"/>
        <v>1</v>
      </c>
    </row>
    <row r="607" spans="1:24" x14ac:dyDescent="0.35">
      <c r="A607" s="5">
        <v>14467</v>
      </c>
      <c r="B607" s="5">
        <v>12140922162</v>
      </c>
      <c r="C607" s="5">
        <v>727004</v>
      </c>
      <c r="D607" s="5">
        <v>3763920</v>
      </c>
      <c r="E607" s="6" t="s">
        <v>70</v>
      </c>
      <c r="F607" s="6" t="s">
        <v>71</v>
      </c>
      <c r="G607" s="6" t="s">
        <v>71</v>
      </c>
      <c r="H607" s="7"/>
      <c r="I607" s="35" t="str">
        <f t="shared" si="119"/>
        <v>140922</v>
      </c>
      <c r="J607" s="31" t="str">
        <f t="shared" si="120"/>
        <v>12</v>
      </c>
      <c r="N607" s="12" t="str">
        <f t="shared" si="121"/>
        <v>1</v>
      </c>
      <c r="O607" s="11" t="str">
        <f t="shared" si="122"/>
        <v>2</v>
      </c>
      <c r="P607" s="11" t="str">
        <f t="shared" si="123"/>
        <v>1</v>
      </c>
      <c r="Q607" s="11" t="str">
        <f t="shared" si="124"/>
        <v>4</v>
      </c>
      <c r="R607" s="11" t="str">
        <f t="shared" si="125"/>
        <v>0</v>
      </c>
      <c r="S607" s="11" t="str">
        <f t="shared" si="126"/>
        <v>9</v>
      </c>
      <c r="T607" s="11" t="str">
        <f t="shared" si="127"/>
        <v>2</v>
      </c>
      <c r="U607" s="11" t="str">
        <f t="shared" si="128"/>
        <v>2</v>
      </c>
      <c r="V607" s="11" t="str">
        <f t="shared" si="129"/>
        <v>1</v>
      </c>
      <c r="W607" s="11" t="str">
        <f t="shared" si="130"/>
        <v>6</v>
      </c>
      <c r="X607" s="11" t="str">
        <f t="shared" si="131"/>
        <v>2</v>
      </c>
    </row>
    <row r="608" spans="1:24" x14ac:dyDescent="0.35">
      <c r="A608" s="5">
        <v>14468</v>
      </c>
      <c r="B608" s="5">
        <v>12140922163</v>
      </c>
      <c r="C608" s="5">
        <v>726962</v>
      </c>
      <c r="D608" s="5">
        <v>3763798</v>
      </c>
      <c r="E608" s="6" t="s">
        <v>70</v>
      </c>
      <c r="F608" s="6" t="s">
        <v>71</v>
      </c>
      <c r="G608" s="6" t="s">
        <v>71</v>
      </c>
      <c r="H608" s="7"/>
      <c r="I608" s="35" t="str">
        <f t="shared" si="119"/>
        <v>140922</v>
      </c>
      <c r="J608" s="31" t="str">
        <f t="shared" si="120"/>
        <v>12</v>
      </c>
      <c r="N608" s="12" t="str">
        <f t="shared" si="121"/>
        <v>1</v>
      </c>
      <c r="O608" s="11" t="str">
        <f t="shared" si="122"/>
        <v>2</v>
      </c>
      <c r="P608" s="11" t="str">
        <f t="shared" si="123"/>
        <v>1</v>
      </c>
      <c r="Q608" s="11" t="str">
        <f t="shared" si="124"/>
        <v>4</v>
      </c>
      <c r="R608" s="11" t="str">
        <f t="shared" si="125"/>
        <v>0</v>
      </c>
      <c r="S608" s="11" t="str">
        <f t="shared" si="126"/>
        <v>9</v>
      </c>
      <c r="T608" s="11" t="str">
        <f t="shared" si="127"/>
        <v>2</v>
      </c>
      <c r="U608" s="11" t="str">
        <f t="shared" si="128"/>
        <v>2</v>
      </c>
      <c r="V608" s="11" t="str">
        <f t="shared" si="129"/>
        <v>1</v>
      </c>
      <c r="W608" s="11" t="str">
        <f t="shared" si="130"/>
        <v>6</v>
      </c>
      <c r="X608" s="11" t="str">
        <f t="shared" si="131"/>
        <v>3</v>
      </c>
    </row>
    <row r="609" spans="1:24" x14ac:dyDescent="0.35">
      <c r="A609" s="5">
        <v>14469</v>
      </c>
      <c r="B609" s="5">
        <v>12140922164</v>
      </c>
      <c r="C609" s="5">
        <v>726959</v>
      </c>
      <c r="D609" s="5">
        <v>3763778</v>
      </c>
      <c r="E609" s="6" t="s">
        <v>70</v>
      </c>
      <c r="F609" s="6" t="s">
        <v>71</v>
      </c>
      <c r="G609" s="6" t="s">
        <v>71</v>
      </c>
      <c r="H609" s="7"/>
      <c r="I609" s="35" t="str">
        <f t="shared" si="119"/>
        <v>140922</v>
      </c>
      <c r="J609" s="31" t="str">
        <f t="shared" si="120"/>
        <v>12</v>
      </c>
      <c r="N609" s="12" t="str">
        <f t="shared" si="121"/>
        <v>1</v>
      </c>
      <c r="O609" s="11" t="str">
        <f t="shared" si="122"/>
        <v>2</v>
      </c>
      <c r="P609" s="11" t="str">
        <f t="shared" si="123"/>
        <v>1</v>
      </c>
      <c r="Q609" s="11" t="str">
        <f t="shared" si="124"/>
        <v>4</v>
      </c>
      <c r="R609" s="11" t="str">
        <f t="shared" si="125"/>
        <v>0</v>
      </c>
      <c r="S609" s="11" t="str">
        <f t="shared" si="126"/>
        <v>9</v>
      </c>
      <c r="T609" s="11" t="str">
        <f t="shared" si="127"/>
        <v>2</v>
      </c>
      <c r="U609" s="11" t="str">
        <f t="shared" si="128"/>
        <v>2</v>
      </c>
      <c r="V609" s="11" t="str">
        <f t="shared" si="129"/>
        <v>1</v>
      </c>
      <c r="W609" s="11" t="str">
        <f t="shared" si="130"/>
        <v>6</v>
      </c>
      <c r="X609" s="11" t="str">
        <f t="shared" si="131"/>
        <v>4</v>
      </c>
    </row>
    <row r="610" spans="1:24" x14ac:dyDescent="0.35">
      <c r="A610" s="5">
        <v>14470</v>
      </c>
      <c r="B610" s="5">
        <v>12140922165</v>
      </c>
      <c r="C610" s="5">
        <v>726942</v>
      </c>
      <c r="D610" s="5">
        <v>3763746</v>
      </c>
      <c r="E610" s="6" t="s">
        <v>70</v>
      </c>
      <c r="F610" s="6" t="s">
        <v>71</v>
      </c>
      <c r="G610" s="6" t="s">
        <v>71</v>
      </c>
      <c r="H610" s="7"/>
      <c r="I610" s="35" t="str">
        <f t="shared" si="119"/>
        <v>140922</v>
      </c>
      <c r="J610" s="31" t="str">
        <f t="shared" si="120"/>
        <v>12</v>
      </c>
      <c r="N610" s="12" t="str">
        <f t="shared" si="121"/>
        <v>1</v>
      </c>
      <c r="O610" s="11" t="str">
        <f t="shared" si="122"/>
        <v>2</v>
      </c>
      <c r="P610" s="11" t="str">
        <f t="shared" si="123"/>
        <v>1</v>
      </c>
      <c r="Q610" s="11" t="str">
        <f t="shared" si="124"/>
        <v>4</v>
      </c>
      <c r="R610" s="11" t="str">
        <f t="shared" si="125"/>
        <v>0</v>
      </c>
      <c r="S610" s="11" t="str">
        <f t="shared" si="126"/>
        <v>9</v>
      </c>
      <c r="T610" s="11" t="str">
        <f t="shared" si="127"/>
        <v>2</v>
      </c>
      <c r="U610" s="11" t="str">
        <f t="shared" si="128"/>
        <v>2</v>
      </c>
      <c r="V610" s="11" t="str">
        <f t="shared" si="129"/>
        <v>1</v>
      </c>
      <c r="W610" s="11" t="str">
        <f t="shared" si="130"/>
        <v>6</v>
      </c>
      <c r="X610" s="11" t="str">
        <f t="shared" si="131"/>
        <v>5</v>
      </c>
    </row>
    <row r="611" spans="1:24" x14ac:dyDescent="0.35">
      <c r="A611" s="5">
        <v>14471</v>
      </c>
      <c r="B611" s="5">
        <v>12140922166</v>
      </c>
      <c r="C611" s="5">
        <v>726942.1</v>
      </c>
      <c r="D611" s="5">
        <v>3763746.3</v>
      </c>
      <c r="E611" s="6" t="s">
        <v>70</v>
      </c>
      <c r="F611" s="6" t="s">
        <v>71</v>
      </c>
      <c r="G611" s="6" t="s">
        <v>71</v>
      </c>
      <c r="H611" s="7"/>
      <c r="I611" s="35" t="str">
        <f t="shared" si="119"/>
        <v>140922</v>
      </c>
      <c r="J611" s="31" t="str">
        <f t="shared" si="120"/>
        <v>12</v>
      </c>
      <c r="N611" s="12" t="str">
        <f t="shared" si="121"/>
        <v>1</v>
      </c>
      <c r="O611" s="11" t="str">
        <f t="shared" si="122"/>
        <v>2</v>
      </c>
      <c r="P611" s="11" t="str">
        <f t="shared" si="123"/>
        <v>1</v>
      </c>
      <c r="Q611" s="11" t="str">
        <f t="shared" si="124"/>
        <v>4</v>
      </c>
      <c r="R611" s="11" t="str">
        <f t="shared" si="125"/>
        <v>0</v>
      </c>
      <c r="S611" s="11" t="str">
        <f t="shared" si="126"/>
        <v>9</v>
      </c>
      <c r="T611" s="11" t="str">
        <f t="shared" si="127"/>
        <v>2</v>
      </c>
      <c r="U611" s="11" t="str">
        <f t="shared" si="128"/>
        <v>2</v>
      </c>
      <c r="V611" s="11" t="str">
        <f t="shared" si="129"/>
        <v>1</v>
      </c>
      <c r="W611" s="11" t="str">
        <f t="shared" si="130"/>
        <v>6</v>
      </c>
      <c r="X611" s="11" t="str">
        <f t="shared" si="131"/>
        <v>6</v>
      </c>
    </row>
    <row r="612" spans="1:24" x14ac:dyDescent="0.35">
      <c r="A612" s="5">
        <v>14472</v>
      </c>
      <c r="B612" s="5">
        <v>12140922167</v>
      </c>
      <c r="C612" s="5">
        <v>726942.2</v>
      </c>
      <c r="D612" s="5">
        <v>3763746.4</v>
      </c>
      <c r="E612" s="6" t="s">
        <v>70</v>
      </c>
      <c r="F612" s="6" t="s">
        <v>71</v>
      </c>
      <c r="G612" s="6" t="s">
        <v>71</v>
      </c>
      <c r="H612" s="7"/>
      <c r="I612" s="35" t="str">
        <f t="shared" si="119"/>
        <v>140922</v>
      </c>
      <c r="J612" s="31" t="str">
        <f t="shared" si="120"/>
        <v>12</v>
      </c>
      <c r="N612" s="12" t="str">
        <f t="shared" si="121"/>
        <v>1</v>
      </c>
      <c r="O612" s="11" t="str">
        <f t="shared" si="122"/>
        <v>2</v>
      </c>
      <c r="P612" s="11" t="str">
        <f t="shared" si="123"/>
        <v>1</v>
      </c>
      <c r="Q612" s="11" t="str">
        <f t="shared" si="124"/>
        <v>4</v>
      </c>
      <c r="R612" s="11" t="str">
        <f t="shared" si="125"/>
        <v>0</v>
      </c>
      <c r="S612" s="11" t="str">
        <f t="shared" si="126"/>
        <v>9</v>
      </c>
      <c r="T612" s="11" t="str">
        <f t="shared" si="127"/>
        <v>2</v>
      </c>
      <c r="U612" s="11" t="str">
        <f t="shared" si="128"/>
        <v>2</v>
      </c>
      <c r="V612" s="11" t="str">
        <f t="shared" si="129"/>
        <v>1</v>
      </c>
      <c r="W612" s="11" t="str">
        <f t="shared" si="130"/>
        <v>6</v>
      </c>
      <c r="X612" s="11" t="str">
        <f t="shared" si="131"/>
        <v>7</v>
      </c>
    </row>
    <row r="613" spans="1:24" x14ac:dyDescent="0.35">
      <c r="A613" s="5">
        <v>14473</v>
      </c>
      <c r="B613" s="5">
        <v>12140922168</v>
      </c>
      <c r="C613" s="5">
        <v>726906</v>
      </c>
      <c r="D613" s="5">
        <v>3763767</v>
      </c>
      <c r="E613" s="6" t="s">
        <v>70</v>
      </c>
      <c r="F613" s="6" t="s">
        <v>71</v>
      </c>
      <c r="G613" s="6" t="s">
        <v>71</v>
      </c>
      <c r="H613" s="7"/>
      <c r="I613" s="35" t="str">
        <f t="shared" si="119"/>
        <v>140922</v>
      </c>
      <c r="J613" s="31" t="str">
        <f t="shared" si="120"/>
        <v>12</v>
      </c>
      <c r="N613" s="12" t="str">
        <f t="shared" si="121"/>
        <v>1</v>
      </c>
      <c r="O613" s="11" t="str">
        <f t="shared" si="122"/>
        <v>2</v>
      </c>
      <c r="P613" s="11" t="str">
        <f t="shared" si="123"/>
        <v>1</v>
      </c>
      <c r="Q613" s="11" t="str">
        <f t="shared" si="124"/>
        <v>4</v>
      </c>
      <c r="R613" s="11" t="str">
        <f t="shared" si="125"/>
        <v>0</v>
      </c>
      <c r="S613" s="11" t="str">
        <f t="shared" si="126"/>
        <v>9</v>
      </c>
      <c r="T613" s="11" t="str">
        <f t="shared" si="127"/>
        <v>2</v>
      </c>
      <c r="U613" s="11" t="str">
        <f t="shared" si="128"/>
        <v>2</v>
      </c>
      <c r="V613" s="11" t="str">
        <f t="shared" si="129"/>
        <v>1</v>
      </c>
      <c r="W613" s="11" t="str">
        <f t="shared" si="130"/>
        <v>6</v>
      </c>
      <c r="X613" s="11" t="str">
        <f t="shared" si="131"/>
        <v>8</v>
      </c>
    </row>
    <row r="614" spans="1:24" x14ac:dyDescent="0.35">
      <c r="A614" s="5">
        <v>14474</v>
      </c>
      <c r="B614" s="5">
        <v>12140922169</v>
      </c>
      <c r="C614" s="5">
        <v>726864</v>
      </c>
      <c r="D614" s="5">
        <v>3763786</v>
      </c>
      <c r="E614" s="6" t="s">
        <v>70</v>
      </c>
      <c r="F614" s="6" t="s">
        <v>71</v>
      </c>
      <c r="G614" s="6" t="s">
        <v>71</v>
      </c>
      <c r="H614" s="7"/>
      <c r="I614" s="35" t="str">
        <f t="shared" si="119"/>
        <v>140922</v>
      </c>
      <c r="J614" s="31" t="str">
        <f t="shared" si="120"/>
        <v>12</v>
      </c>
      <c r="N614" s="12" t="str">
        <f t="shared" si="121"/>
        <v>1</v>
      </c>
      <c r="O614" s="11" t="str">
        <f t="shared" si="122"/>
        <v>2</v>
      </c>
      <c r="P614" s="11" t="str">
        <f t="shared" si="123"/>
        <v>1</v>
      </c>
      <c r="Q614" s="11" t="str">
        <f t="shared" si="124"/>
        <v>4</v>
      </c>
      <c r="R614" s="11" t="str">
        <f t="shared" si="125"/>
        <v>0</v>
      </c>
      <c r="S614" s="11" t="str">
        <f t="shared" si="126"/>
        <v>9</v>
      </c>
      <c r="T614" s="11" t="str">
        <f t="shared" si="127"/>
        <v>2</v>
      </c>
      <c r="U614" s="11" t="str">
        <f t="shared" si="128"/>
        <v>2</v>
      </c>
      <c r="V614" s="11" t="str">
        <f t="shared" si="129"/>
        <v>1</v>
      </c>
      <c r="W614" s="11" t="str">
        <f t="shared" si="130"/>
        <v>6</v>
      </c>
      <c r="X614" s="11" t="str">
        <f t="shared" si="131"/>
        <v>9</v>
      </c>
    </row>
    <row r="615" spans="1:24" x14ac:dyDescent="0.35">
      <c r="A615" s="5">
        <v>14475</v>
      </c>
      <c r="B615" s="5">
        <v>12140922170</v>
      </c>
      <c r="C615" s="5">
        <v>726829</v>
      </c>
      <c r="D615" s="5">
        <v>3763805</v>
      </c>
      <c r="E615" s="6" t="s">
        <v>70</v>
      </c>
      <c r="F615" s="6" t="s">
        <v>71</v>
      </c>
      <c r="G615" s="6" t="s">
        <v>71</v>
      </c>
      <c r="H615" s="7"/>
      <c r="I615" s="35" t="str">
        <f t="shared" si="119"/>
        <v>140922</v>
      </c>
      <c r="J615" s="31" t="str">
        <f t="shared" si="120"/>
        <v>12</v>
      </c>
      <c r="N615" s="12" t="str">
        <f t="shared" si="121"/>
        <v>1</v>
      </c>
      <c r="O615" s="11" t="str">
        <f t="shared" si="122"/>
        <v>2</v>
      </c>
      <c r="P615" s="11" t="str">
        <f t="shared" si="123"/>
        <v>1</v>
      </c>
      <c r="Q615" s="11" t="str">
        <f t="shared" si="124"/>
        <v>4</v>
      </c>
      <c r="R615" s="11" t="str">
        <f t="shared" si="125"/>
        <v>0</v>
      </c>
      <c r="S615" s="11" t="str">
        <f t="shared" si="126"/>
        <v>9</v>
      </c>
      <c r="T615" s="11" t="str">
        <f t="shared" si="127"/>
        <v>2</v>
      </c>
      <c r="U615" s="11" t="str">
        <f t="shared" si="128"/>
        <v>2</v>
      </c>
      <c r="V615" s="11" t="str">
        <f t="shared" si="129"/>
        <v>1</v>
      </c>
      <c r="W615" s="11" t="str">
        <f t="shared" si="130"/>
        <v>7</v>
      </c>
      <c r="X615" s="11" t="str">
        <f t="shared" si="131"/>
        <v>0</v>
      </c>
    </row>
    <row r="616" spans="1:24" x14ac:dyDescent="0.35">
      <c r="A616" s="5">
        <v>14476</v>
      </c>
      <c r="B616" s="5">
        <v>12140922171</v>
      </c>
      <c r="C616" s="5">
        <v>726925</v>
      </c>
      <c r="D616" s="5">
        <v>3763701</v>
      </c>
      <c r="E616" s="6" t="s">
        <v>70</v>
      </c>
      <c r="F616" s="6" t="s">
        <v>71</v>
      </c>
      <c r="G616" s="6" t="s">
        <v>71</v>
      </c>
      <c r="H616" s="7"/>
      <c r="I616" s="35" t="str">
        <f t="shared" si="119"/>
        <v>140922</v>
      </c>
      <c r="J616" s="31" t="str">
        <f t="shared" si="120"/>
        <v>12</v>
      </c>
      <c r="N616" s="12" t="str">
        <f t="shared" si="121"/>
        <v>1</v>
      </c>
      <c r="O616" s="11" t="str">
        <f t="shared" si="122"/>
        <v>2</v>
      </c>
      <c r="P616" s="11" t="str">
        <f t="shared" si="123"/>
        <v>1</v>
      </c>
      <c r="Q616" s="11" t="str">
        <f t="shared" si="124"/>
        <v>4</v>
      </c>
      <c r="R616" s="11" t="str">
        <f t="shared" si="125"/>
        <v>0</v>
      </c>
      <c r="S616" s="11" t="str">
        <f t="shared" si="126"/>
        <v>9</v>
      </c>
      <c r="T616" s="11" t="str">
        <f t="shared" si="127"/>
        <v>2</v>
      </c>
      <c r="U616" s="11" t="str">
        <f t="shared" si="128"/>
        <v>2</v>
      </c>
      <c r="V616" s="11" t="str">
        <f t="shared" si="129"/>
        <v>1</v>
      </c>
      <c r="W616" s="11" t="str">
        <f t="shared" si="130"/>
        <v>7</v>
      </c>
      <c r="X616" s="11" t="str">
        <f t="shared" si="131"/>
        <v>1</v>
      </c>
    </row>
    <row r="617" spans="1:24" x14ac:dyDescent="0.35">
      <c r="A617" s="5">
        <v>14477</v>
      </c>
      <c r="B617" s="5">
        <v>12140922172</v>
      </c>
      <c r="C617" s="5">
        <v>726907</v>
      </c>
      <c r="D617" s="5">
        <v>3763662</v>
      </c>
      <c r="E617" s="6" t="s">
        <v>70</v>
      </c>
      <c r="F617" s="6" t="s">
        <v>71</v>
      </c>
      <c r="G617" s="6" t="s">
        <v>71</v>
      </c>
      <c r="H617" s="7"/>
      <c r="I617" s="35" t="str">
        <f t="shared" si="119"/>
        <v>140922</v>
      </c>
      <c r="J617" s="31" t="str">
        <f t="shared" si="120"/>
        <v>12</v>
      </c>
      <c r="N617" s="12" t="str">
        <f t="shared" si="121"/>
        <v>1</v>
      </c>
      <c r="O617" s="11" t="str">
        <f t="shared" si="122"/>
        <v>2</v>
      </c>
      <c r="P617" s="11" t="str">
        <f t="shared" si="123"/>
        <v>1</v>
      </c>
      <c r="Q617" s="11" t="str">
        <f t="shared" si="124"/>
        <v>4</v>
      </c>
      <c r="R617" s="11" t="str">
        <f t="shared" si="125"/>
        <v>0</v>
      </c>
      <c r="S617" s="11" t="str">
        <f t="shared" si="126"/>
        <v>9</v>
      </c>
      <c r="T617" s="11" t="str">
        <f t="shared" si="127"/>
        <v>2</v>
      </c>
      <c r="U617" s="11" t="str">
        <f t="shared" si="128"/>
        <v>2</v>
      </c>
      <c r="V617" s="11" t="str">
        <f t="shared" si="129"/>
        <v>1</v>
      </c>
      <c r="W617" s="11" t="str">
        <f t="shared" si="130"/>
        <v>7</v>
      </c>
      <c r="X617" s="11" t="str">
        <f t="shared" si="131"/>
        <v>2</v>
      </c>
    </row>
    <row r="618" spans="1:24" x14ac:dyDescent="0.35">
      <c r="A618" s="5">
        <v>14478</v>
      </c>
      <c r="B618" s="5">
        <v>12140922173</v>
      </c>
      <c r="C618" s="5">
        <v>726902</v>
      </c>
      <c r="D618" s="5">
        <v>3763660</v>
      </c>
      <c r="E618" s="6" t="s">
        <v>70</v>
      </c>
      <c r="F618" s="6" t="s">
        <v>71</v>
      </c>
      <c r="G618" s="6" t="s">
        <v>71</v>
      </c>
      <c r="H618" s="7"/>
      <c r="I618" s="35" t="str">
        <f t="shared" si="119"/>
        <v>140922</v>
      </c>
      <c r="J618" s="31" t="str">
        <f t="shared" si="120"/>
        <v>12</v>
      </c>
      <c r="N618" s="12" t="str">
        <f t="shared" si="121"/>
        <v>1</v>
      </c>
      <c r="O618" s="11" t="str">
        <f t="shared" si="122"/>
        <v>2</v>
      </c>
      <c r="P618" s="11" t="str">
        <f t="shared" si="123"/>
        <v>1</v>
      </c>
      <c r="Q618" s="11" t="str">
        <f t="shared" si="124"/>
        <v>4</v>
      </c>
      <c r="R618" s="11" t="str">
        <f t="shared" si="125"/>
        <v>0</v>
      </c>
      <c r="S618" s="11" t="str">
        <f t="shared" si="126"/>
        <v>9</v>
      </c>
      <c r="T618" s="11" t="str">
        <f t="shared" si="127"/>
        <v>2</v>
      </c>
      <c r="U618" s="11" t="str">
        <f t="shared" si="128"/>
        <v>2</v>
      </c>
      <c r="V618" s="11" t="str">
        <f t="shared" si="129"/>
        <v>1</v>
      </c>
      <c r="W618" s="11" t="str">
        <f t="shared" si="130"/>
        <v>7</v>
      </c>
      <c r="X618" s="11" t="str">
        <f t="shared" si="131"/>
        <v>3</v>
      </c>
    </row>
    <row r="619" spans="1:24" x14ac:dyDescent="0.35">
      <c r="A619" s="5">
        <v>14479</v>
      </c>
      <c r="B619" s="5">
        <v>12140922174</v>
      </c>
      <c r="C619" s="5">
        <v>726903</v>
      </c>
      <c r="D619" s="5">
        <v>3763661</v>
      </c>
      <c r="E619" s="6" t="s">
        <v>70</v>
      </c>
      <c r="F619" s="6" t="s">
        <v>71</v>
      </c>
      <c r="G619" s="6" t="s">
        <v>71</v>
      </c>
      <c r="H619" s="7"/>
      <c r="I619" s="35" t="str">
        <f t="shared" si="119"/>
        <v>140922</v>
      </c>
      <c r="J619" s="31" t="str">
        <f t="shared" si="120"/>
        <v>12</v>
      </c>
      <c r="N619" s="12" t="str">
        <f t="shared" si="121"/>
        <v>1</v>
      </c>
      <c r="O619" s="11" t="str">
        <f t="shared" si="122"/>
        <v>2</v>
      </c>
      <c r="P619" s="11" t="str">
        <f t="shared" si="123"/>
        <v>1</v>
      </c>
      <c r="Q619" s="11" t="str">
        <f t="shared" si="124"/>
        <v>4</v>
      </c>
      <c r="R619" s="11" t="str">
        <f t="shared" si="125"/>
        <v>0</v>
      </c>
      <c r="S619" s="11" t="str">
        <f t="shared" si="126"/>
        <v>9</v>
      </c>
      <c r="T619" s="11" t="str">
        <f t="shared" si="127"/>
        <v>2</v>
      </c>
      <c r="U619" s="11" t="str">
        <f t="shared" si="128"/>
        <v>2</v>
      </c>
      <c r="V619" s="11" t="str">
        <f t="shared" si="129"/>
        <v>1</v>
      </c>
      <c r="W619" s="11" t="str">
        <f t="shared" si="130"/>
        <v>7</v>
      </c>
      <c r="X619" s="11" t="str">
        <f t="shared" si="131"/>
        <v>4</v>
      </c>
    </row>
    <row r="620" spans="1:24" x14ac:dyDescent="0.35">
      <c r="A620" s="5">
        <v>14480</v>
      </c>
      <c r="B620" s="5">
        <v>12140922175</v>
      </c>
      <c r="C620" s="5">
        <v>726862</v>
      </c>
      <c r="D620" s="5">
        <v>3763685</v>
      </c>
      <c r="E620" s="6" t="s">
        <v>70</v>
      </c>
      <c r="F620" s="6" t="s">
        <v>71</v>
      </c>
      <c r="G620" s="6" t="s">
        <v>71</v>
      </c>
      <c r="H620" s="7"/>
      <c r="I620" s="35" t="str">
        <f t="shared" si="119"/>
        <v>140922</v>
      </c>
      <c r="J620" s="31" t="str">
        <f t="shared" si="120"/>
        <v>12</v>
      </c>
      <c r="N620" s="12" t="str">
        <f t="shared" si="121"/>
        <v>1</v>
      </c>
      <c r="O620" s="11" t="str">
        <f t="shared" si="122"/>
        <v>2</v>
      </c>
      <c r="P620" s="11" t="str">
        <f t="shared" si="123"/>
        <v>1</v>
      </c>
      <c r="Q620" s="11" t="str">
        <f t="shared" si="124"/>
        <v>4</v>
      </c>
      <c r="R620" s="11" t="str">
        <f t="shared" si="125"/>
        <v>0</v>
      </c>
      <c r="S620" s="11" t="str">
        <f t="shared" si="126"/>
        <v>9</v>
      </c>
      <c r="T620" s="11" t="str">
        <f t="shared" si="127"/>
        <v>2</v>
      </c>
      <c r="U620" s="11" t="str">
        <f t="shared" si="128"/>
        <v>2</v>
      </c>
      <c r="V620" s="11" t="str">
        <f t="shared" si="129"/>
        <v>1</v>
      </c>
      <c r="W620" s="11" t="str">
        <f t="shared" si="130"/>
        <v>7</v>
      </c>
      <c r="X620" s="11" t="str">
        <f t="shared" si="131"/>
        <v>5</v>
      </c>
    </row>
    <row r="621" spans="1:24" x14ac:dyDescent="0.35">
      <c r="A621" s="5">
        <v>14481</v>
      </c>
      <c r="B621" s="5">
        <v>12140922176</v>
      </c>
      <c r="C621" s="5">
        <v>726826</v>
      </c>
      <c r="D621" s="5">
        <v>3763706</v>
      </c>
      <c r="E621" s="6" t="s">
        <v>70</v>
      </c>
      <c r="F621" s="6" t="s">
        <v>71</v>
      </c>
      <c r="G621" s="6" t="s">
        <v>71</v>
      </c>
      <c r="H621" s="7"/>
      <c r="I621" s="35" t="str">
        <f t="shared" si="119"/>
        <v>140922</v>
      </c>
      <c r="J621" s="31" t="str">
        <f t="shared" si="120"/>
        <v>12</v>
      </c>
      <c r="N621" s="12" t="str">
        <f t="shared" si="121"/>
        <v>1</v>
      </c>
      <c r="O621" s="11" t="str">
        <f t="shared" si="122"/>
        <v>2</v>
      </c>
      <c r="P621" s="11" t="str">
        <f t="shared" si="123"/>
        <v>1</v>
      </c>
      <c r="Q621" s="11" t="str">
        <f t="shared" si="124"/>
        <v>4</v>
      </c>
      <c r="R621" s="11" t="str">
        <f t="shared" si="125"/>
        <v>0</v>
      </c>
      <c r="S621" s="11" t="str">
        <f t="shared" si="126"/>
        <v>9</v>
      </c>
      <c r="T621" s="11" t="str">
        <f t="shared" si="127"/>
        <v>2</v>
      </c>
      <c r="U621" s="11" t="str">
        <f t="shared" si="128"/>
        <v>2</v>
      </c>
      <c r="V621" s="11" t="str">
        <f t="shared" si="129"/>
        <v>1</v>
      </c>
      <c r="W621" s="11" t="str">
        <f t="shared" si="130"/>
        <v>7</v>
      </c>
      <c r="X621" s="11" t="str">
        <f t="shared" si="131"/>
        <v>6</v>
      </c>
    </row>
    <row r="622" spans="1:24" x14ac:dyDescent="0.35">
      <c r="A622" s="5">
        <v>14482</v>
      </c>
      <c r="B622" s="5">
        <v>12140922177</v>
      </c>
      <c r="C622" s="5">
        <v>726797</v>
      </c>
      <c r="D622" s="5">
        <v>3763731</v>
      </c>
      <c r="E622" s="6" t="s">
        <v>70</v>
      </c>
      <c r="F622" s="6" t="s">
        <v>71</v>
      </c>
      <c r="G622" s="6" t="s">
        <v>71</v>
      </c>
      <c r="H622" s="7"/>
      <c r="I622" s="35" t="str">
        <f t="shared" si="119"/>
        <v>140922</v>
      </c>
      <c r="J622" s="31" t="str">
        <f t="shared" si="120"/>
        <v>12</v>
      </c>
      <c r="N622" s="12" t="str">
        <f t="shared" si="121"/>
        <v>1</v>
      </c>
      <c r="O622" s="11" t="str">
        <f t="shared" si="122"/>
        <v>2</v>
      </c>
      <c r="P622" s="11" t="str">
        <f t="shared" si="123"/>
        <v>1</v>
      </c>
      <c r="Q622" s="11" t="str">
        <f t="shared" si="124"/>
        <v>4</v>
      </c>
      <c r="R622" s="11" t="str">
        <f t="shared" si="125"/>
        <v>0</v>
      </c>
      <c r="S622" s="11" t="str">
        <f t="shared" si="126"/>
        <v>9</v>
      </c>
      <c r="T622" s="11" t="str">
        <f t="shared" si="127"/>
        <v>2</v>
      </c>
      <c r="U622" s="11" t="str">
        <f t="shared" si="128"/>
        <v>2</v>
      </c>
      <c r="V622" s="11" t="str">
        <f t="shared" si="129"/>
        <v>1</v>
      </c>
      <c r="W622" s="11" t="str">
        <f t="shared" si="130"/>
        <v>7</v>
      </c>
      <c r="X622" s="11" t="str">
        <f t="shared" si="131"/>
        <v>7</v>
      </c>
    </row>
    <row r="623" spans="1:24" x14ac:dyDescent="0.35">
      <c r="A623" s="5">
        <v>14483</v>
      </c>
      <c r="B623" s="5">
        <v>12140922178</v>
      </c>
      <c r="C623" s="5">
        <v>726886</v>
      </c>
      <c r="D623" s="5">
        <v>3763727</v>
      </c>
      <c r="E623" s="6" t="s">
        <v>70</v>
      </c>
      <c r="F623" s="6" t="s">
        <v>71</v>
      </c>
      <c r="G623" s="6" t="s">
        <v>71</v>
      </c>
      <c r="H623" s="7"/>
      <c r="I623" s="35" t="str">
        <f t="shared" si="119"/>
        <v>140922</v>
      </c>
      <c r="J623" s="31" t="str">
        <f t="shared" si="120"/>
        <v>12</v>
      </c>
      <c r="N623" s="12" t="str">
        <f t="shared" si="121"/>
        <v>1</v>
      </c>
      <c r="O623" s="11" t="str">
        <f t="shared" si="122"/>
        <v>2</v>
      </c>
      <c r="P623" s="11" t="str">
        <f t="shared" si="123"/>
        <v>1</v>
      </c>
      <c r="Q623" s="11" t="str">
        <f t="shared" si="124"/>
        <v>4</v>
      </c>
      <c r="R623" s="11" t="str">
        <f t="shared" si="125"/>
        <v>0</v>
      </c>
      <c r="S623" s="11" t="str">
        <f t="shared" si="126"/>
        <v>9</v>
      </c>
      <c r="T623" s="11" t="str">
        <f t="shared" si="127"/>
        <v>2</v>
      </c>
      <c r="U623" s="11" t="str">
        <f t="shared" si="128"/>
        <v>2</v>
      </c>
      <c r="V623" s="11" t="str">
        <f t="shared" si="129"/>
        <v>1</v>
      </c>
      <c r="W623" s="11" t="str">
        <f t="shared" si="130"/>
        <v>7</v>
      </c>
      <c r="X623" s="11" t="str">
        <f t="shared" si="131"/>
        <v>8</v>
      </c>
    </row>
    <row r="624" spans="1:24" x14ac:dyDescent="0.35">
      <c r="A624" s="5">
        <v>14484</v>
      </c>
      <c r="B624" s="5">
        <v>12140922179</v>
      </c>
      <c r="C624" s="5">
        <v>726916</v>
      </c>
      <c r="D624" s="5">
        <v>3763659</v>
      </c>
      <c r="E624" s="6" t="s">
        <v>70</v>
      </c>
      <c r="F624" s="6" t="s">
        <v>71</v>
      </c>
      <c r="G624" s="6" t="s">
        <v>71</v>
      </c>
      <c r="H624" s="7"/>
      <c r="I624" s="35" t="str">
        <f t="shared" si="119"/>
        <v>140922</v>
      </c>
      <c r="J624" s="31" t="str">
        <f t="shared" si="120"/>
        <v>12</v>
      </c>
      <c r="N624" s="12" t="str">
        <f t="shared" si="121"/>
        <v>1</v>
      </c>
      <c r="O624" s="11" t="str">
        <f t="shared" si="122"/>
        <v>2</v>
      </c>
      <c r="P624" s="11" t="str">
        <f t="shared" si="123"/>
        <v>1</v>
      </c>
      <c r="Q624" s="11" t="str">
        <f t="shared" si="124"/>
        <v>4</v>
      </c>
      <c r="R624" s="11" t="str">
        <f t="shared" si="125"/>
        <v>0</v>
      </c>
      <c r="S624" s="11" t="str">
        <f t="shared" si="126"/>
        <v>9</v>
      </c>
      <c r="T624" s="11" t="str">
        <f t="shared" si="127"/>
        <v>2</v>
      </c>
      <c r="U624" s="11" t="str">
        <f t="shared" si="128"/>
        <v>2</v>
      </c>
      <c r="V624" s="11" t="str">
        <f t="shared" si="129"/>
        <v>1</v>
      </c>
      <c r="W624" s="11" t="str">
        <f t="shared" si="130"/>
        <v>7</v>
      </c>
      <c r="X624" s="11" t="str">
        <f t="shared" si="131"/>
        <v>9</v>
      </c>
    </row>
    <row r="625" spans="1:24" x14ac:dyDescent="0.35">
      <c r="A625" s="5">
        <v>14485</v>
      </c>
      <c r="B625" s="5">
        <v>12140922180</v>
      </c>
      <c r="C625" s="5">
        <v>726916</v>
      </c>
      <c r="D625" s="5">
        <v>3763662</v>
      </c>
      <c r="E625" s="6" t="s">
        <v>70</v>
      </c>
      <c r="F625" s="6" t="s">
        <v>71</v>
      </c>
      <c r="G625" s="6" t="s">
        <v>71</v>
      </c>
      <c r="H625" s="7"/>
      <c r="I625" s="35" t="str">
        <f t="shared" si="119"/>
        <v>140922</v>
      </c>
      <c r="J625" s="31" t="str">
        <f t="shared" si="120"/>
        <v>12</v>
      </c>
      <c r="N625" s="12" t="str">
        <f t="shared" si="121"/>
        <v>1</v>
      </c>
      <c r="O625" s="11" t="str">
        <f t="shared" si="122"/>
        <v>2</v>
      </c>
      <c r="P625" s="11" t="str">
        <f t="shared" si="123"/>
        <v>1</v>
      </c>
      <c r="Q625" s="11" t="str">
        <f t="shared" si="124"/>
        <v>4</v>
      </c>
      <c r="R625" s="11" t="str">
        <f t="shared" si="125"/>
        <v>0</v>
      </c>
      <c r="S625" s="11" t="str">
        <f t="shared" si="126"/>
        <v>9</v>
      </c>
      <c r="T625" s="11" t="str">
        <f t="shared" si="127"/>
        <v>2</v>
      </c>
      <c r="U625" s="11" t="str">
        <f t="shared" si="128"/>
        <v>2</v>
      </c>
      <c r="V625" s="11" t="str">
        <f t="shared" si="129"/>
        <v>1</v>
      </c>
      <c r="W625" s="11" t="str">
        <f t="shared" si="130"/>
        <v>8</v>
      </c>
      <c r="X625" s="11" t="str">
        <f t="shared" si="131"/>
        <v>0</v>
      </c>
    </row>
    <row r="626" spans="1:24" x14ac:dyDescent="0.35">
      <c r="A626" s="5">
        <v>14486</v>
      </c>
      <c r="B626" s="5">
        <v>12140922181</v>
      </c>
      <c r="C626" s="5">
        <v>726917</v>
      </c>
      <c r="D626" s="5">
        <v>3763662</v>
      </c>
      <c r="E626" s="6" t="s">
        <v>70</v>
      </c>
      <c r="F626" s="6" t="s">
        <v>71</v>
      </c>
      <c r="G626" s="6" t="s">
        <v>71</v>
      </c>
      <c r="H626" s="7"/>
      <c r="I626" s="35" t="str">
        <f t="shared" si="119"/>
        <v>140922</v>
      </c>
      <c r="J626" s="31" t="str">
        <f t="shared" si="120"/>
        <v>12</v>
      </c>
      <c r="N626" s="12" t="str">
        <f t="shared" si="121"/>
        <v>1</v>
      </c>
      <c r="O626" s="11" t="str">
        <f t="shared" si="122"/>
        <v>2</v>
      </c>
      <c r="P626" s="11" t="str">
        <f t="shared" si="123"/>
        <v>1</v>
      </c>
      <c r="Q626" s="11" t="str">
        <f t="shared" si="124"/>
        <v>4</v>
      </c>
      <c r="R626" s="11" t="str">
        <f t="shared" si="125"/>
        <v>0</v>
      </c>
      <c r="S626" s="11" t="str">
        <f t="shared" si="126"/>
        <v>9</v>
      </c>
      <c r="T626" s="11" t="str">
        <f t="shared" si="127"/>
        <v>2</v>
      </c>
      <c r="U626" s="11" t="str">
        <f t="shared" si="128"/>
        <v>2</v>
      </c>
      <c r="V626" s="11" t="str">
        <f t="shared" si="129"/>
        <v>1</v>
      </c>
      <c r="W626" s="11" t="str">
        <f t="shared" si="130"/>
        <v>8</v>
      </c>
      <c r="X626" s="11" t="str">
        <f t="shared" si="131"/>
        <v>1</v>
      </c>
    </row>
    <row r="627" spans="1:24" x14ac:dyDescent="0.35">
      <c r="A627" s="5">
        <v>14487</v>
      </c>
      <c r="B627" s="5">
        <v>12140922182</v>
      </c>
      <c r="C627" s="5">
        <v>726960</v>
      </c>
      <c r="D627" s="5">
        <v>3763640</v>
      </c>
      <c r="E627" s="6" t="s">
        <v>70</v>
      </c>
      <c r="F627" s="6" t="s">
        <v>71</v>
      </c>
      <c r="G627" s="6" t="s">
        <v>71</v>
      </c>
      <c r="H627" s="7"/>
      <c r="I627" s="35" t="str">
        <f t="shared" si="119"/>
        <v>140922</v>
      </c>
      <c r="J627" s="31" t="str">
        <f t="shared" si="120"/>
        <v>12</v>
      </c>
      <c r="N627" s="12" t="str">
        <f t="shared" si="121"/>
        <v>1</v>
      </c>
      <c r="O627" s="11" t="str">
        <f t="shared" si="122"/>
        <v>2</v>
      </c>
      <c r="P627" s="11" t="str">
        <f t="shared" si="123"/>
        <v>1</v>
      </c>
      <c r="Q627" s="11" t="str">
        <f t="shared" si="124"/>
        <v>4</v>
      </c>
      <c r="R627" s="11" t="str">
        <f t="shared" si="125"/>
        <v>0</v>
      </c>
      <c r="S627" s="11" t="str">
        <f t="shared" si="126"/>
        <v>9</v>
      </c>
      <c r="T627" s="11" t="str">
        <f t="shared" si="127"/>
        <v>2</v>
      </c>
      <c r="U627" s="11" t="str">
        <f t="shared" si="128"/>
        <v>2</v>
      </c>
      <c r="V627" s="11" t="str">
        <f t="shared" si="129"/>
        <v>1</v>
      </c>
      <c r="W627" s="11" t="str">
        <f t="shared" si="130"/>
        <v>8</v>
      </c>
      <c r="X627" s="11" t="str">
        <f t="shared" si="131"/>
        <v>2</v>
      </c>
    </row>
    <row r="628" spans="1:24" x14ac:dyDescent="0.35">
      <c r="A628" s="5">
        <v>14488</v>
      </c>
      <c r="B628" s="5">
        <v>12140922183</v>
      </c>
      <c r="C628" s="5">
        <v>726962</v>
      </c>
      <c r="D628" s="5">
        <v>3763641</v>
      </c>
      <c r="E628" s="6" t="s">
        <v>70</v>
      </c>
      <c r="F628" s="6" t="s">
        <v>71</v>
      </c>
      <c r="G628" s="6" t="s">
        <v>71</v>
      </c>
      <c r="H628" s="7"/>
      <c r="I628" s="35" t="str">
        <f t="shared" si="119"/>
        <v>140922</v>
      </c>
      <c r="J628" s="31" t="str">
        <f t="shared" si="120"/>
        <v>12</v>
      </c>
      <c r="N628" s="12" t="str">
        <f t="shared" si="121"/>
        <v>1</v>
      </c>
      <c r="O628" s="11" t="str">
        <f t="shared" si="122"/>
        <v>2</v>
      </c>
      <c r="P628" s="11" t="str">
        <f t="shared" si="123"/>
        <v>1</v>
      </c>
      <c r="Q628" s="11" t="str">
        <f t="shared" si="124"/>
        <v>4</v>
      </c>
      <c r="R628" s="11" t="str">
        <f t="shared" si="125"/>
        <v>0</v>
      </c>
      <c r="S628" s="11" t="str">
        <f t="shared" si="126"/>
        <v>9</v>
      </c>
      <c r="T628" s="11" t="str">
        <f t="shared" si="127"/>
        <v>2</v>
      </c>
      <c r="U628" s="11" t="str">
        <f t="shared" si="128"/>
        <v>2</v>
      </c>
      <c r="V628" s="11" t="str">
        <f t="shared" si="129"/>
        <v>1</v>
      </c>
      <c r="W628" s="11" t="str">
        <f t="shared" si="130"/>
        <v>8</v>
      </c>
      <c r="X628" s="11" t="str">
        <f t="shared" si="131"/>
        <v>3</v>
      </c>
    </row>
    <row r="629" spans="1:24" x14ac:dyDescent="0.35">
      <c r="A629" s="5">
        <v>14489</v>
      </c>
      <c r="B629" s="5">
        <v>12140922184</v>
      </c>
      <c r="C629" s="5">
        <v>726960</v>
      </c>
      <c r="D629" s="5">
        <v>3763641</v>
      </c>
      <c r="E629" s="6" t="s">
        <v>70</v>
      </c>
      <c r="F629" s="6" t="s">
        <v>71</v>
      </c>
      <c r="G629" s="6" t="s">
        <v>71</v>
      </c>
      <c r="H629" s="7"/>
      <c r="I629" s="35" t="str">
        <f t="shared" si="119"/>
        <v>140922</v>
      </c>
      <c r="J629" s="31" t="str">
        <f t="shared" si="120"/>
        <v>12</v>
      </c>
      <c r="N629" s="12" t="str">
        <f t="shared" si="121"/>
        <v>1</v>
      </c>
      <c r="O629" s="11" t="str">
        <f t="shared" si="122"/>
        <v>2</v>
      </c>
      <c r="P629" s="11" t="str">
        <f t="shared" si="123"/>
        <v>1</v>
      </c>
      <c r="Q629" s="11" t="str">
        <f t="shared" si="124"/>
        <v>4</v>
      </c>
      <c r="R629" s="11" t="str">
        <f t="shared" si="125"/>
        <v>0</v>
      </c>
      <c r="S629" s="11" t="str">
        <f t="shared" si="126"/>
        <v>9</v>
      </c>
      <c r="T629" s="11" t="str">
        <f t="shared" si="127"/>
        <v>2</v>
      </c>
      <c r="U629" s="11" t="str">
        <f t="shared" si="128"/>
        <v>2</v>
      </c>
      <c r="V629" s="11" t="str">
        <f t="shared" si="129"/>
        <v>1</v>
      </c>
      <c r="W629" s="11" t="str">
        <f t="shared" si="130"/>
        <v>8</v>
      </c>
      <c r="X629" s="11" t="str">
        <f t="shared" si="131"/>
        <v>4</v>
      </c>
    </row>
    <row r="630" spans="1:24" s="19" customFormat="1" x14ac:dyDescent="0.35">
      <c r="A630" s="8">
        <v>14490</v>
      </c>
      <c r="B630" s="8">
        <v>12150922185</v>
      </c>
      <c r="C630" s="8">
        <v>726881</v>
      </c>
      <c r="D630" s="8">
        <v>3763615</v>
      </c>
      <c r="E630" s="22" t="s">
        <v>70</v>
      </c>
      <c r="F630" s="22" t="s">
        <v>71</v>
      </c>
      <c r="G630" s="22" t="s">
        <v>71</v>
      </c>
      <c r="H630" s="23"/>
      <c r="I630" s="35" t="str">
        <f t="shared" si="119"/>
        <v>150922</v>
      </c>
      <c r="J630" s="31" t="str">
        <f t="shared" si="120"/>
        <v>12</v>
      </c>
      <c r="N630" s="24" t="str">
        <f t="shared" si="121"/>
        <v>1</v>
      </c>
      <c r="O630" s="25" t="str">
        <f t="shared" si="122"/>
        <v>2</v>
      </c>
      <c r="P630" s="25" t="str">
        <f t="shared" si="123"/>
        <v>1</v>
      </c>
      <c r="Q630" s="25" t="str">
        <f t="shared" si="124"/>
        <v>5</v>
      </c>
      <c r="R630" s="25" t="str">
        <f t="shared" si="125"/>
        <v>0</v>
      </c>
      <c r="S630" s="25" t="str">
        <f t="shared" si="126"/>
        <v>9</v>
      </c>
      <c r="T630" s="25" t="str">
        <f t="shared" si="127"/>
        <v>2</v>
      </c>
      <c r="U630" s="25" t="str">
        <f t="shared" si="128"/>
        <v>2</v>
      </c>
      <c r="V630" s="25" t="str">
        <f t="shared" si="129"/>
        <v>1</v>
      </c>
      <c r="W630" s="25" t="str">
        <f t="shared" si="130"/>
        <v>8</v>
      </c>
      <c r="X630" s="25" t="str">
        <f t="shared" si="131"/>
        <v>5</v>
      </c>
    </row>
    <row r="631" spans="1:24" x14ac:dyDescent="0.35">
      <c r="A631" s="5">
        <v>14491</v>
      </c>
      <c r="B631" s="5">
        <v>12150922186</v>
      </c>
      <c r="C631" s="5">
        <v>726881</v>
      </c>
      <c r="D631" s="5">
        <v>3763614</v>
      </c>
      <c r="E631" s="6" t="s">
        <v>70</v>
      </c>
      <c r="F631" s="6" t="s">
        <v>71</v>
      </c>
      <c r="G631" s="6" t="s">
        <v>71</v>
      </c>
      <c r="H631" s="7"/>
      <c r="I631" s="35" t="str">
        <f t="shared" si="119"/>
        <v>150922</v>
      </c>
      <c r="J631" s="31" t="str">
        <f t="shared" si="120"/>
        <v>12</v>
      </c>
      <c r="N631" s="12" t="str">
        <f t="shared" si="121"/>
        <v>1</v>
      </c>
      <c r="O631" s="11" t="str">
        <f t="shared" si="122"/>
        <v>2</v>
      </c>
      <c r="P631" s="11" t="str">
        <f t="shared" si="123"/>
        <v>1</v>
      </c>
      <c r="Q631" s="11" t="str">
        <f t="shared" si="124"/>
        <v>5</v>
      </c>
      <c r="R631" s="11" t="str">
        <f t="shared" si="125"/>
        <v>0</v>
      </c>
      <c r="S631" s="11" t="str">
        <f t="shared" si="126"/>
        <v>9</v>
      </c>
      <c r="T631" s="11" t="str">
        <f t="shared" si="127"/>
        <v>2</v>
      </c>
      <c r="U631" s="11" t="str">
        <f t="shared" si="128"/>
        <v>2</v>
      </c>
      <c r="V631" s="11" t="str">
        <f t="shared" si="129"/>
        <v>1</v>
      </c>
      <c r="W631" s="11" t="str">
        <f t="shared" si="130"/>
        <v>8</v>
      </c>
      <c r="X631" s="11" t="str">
        <f t="shared" si="131"/>
        <v>6</v>
      </c>
    </row>
    <row r="632" spans="1:24" x14ac:dyDescent="0.35">
      <c r="A632" s="5">
        <v>14492</v>
      </c>
      <c r="B632" s="5">
        <v>12150922187</v>
      </c>
      <c r="C632" s="5">
        <v>726880</v>
      </c>
      <c r="D632" s="5">
        <v>3763612</v>
      </c>
      <c r="E632" s="6" t="s">
        <v>70</v>
      </c>
      <c r="F632" s="6" t="s">
        <v>71</v>
      </c>
      <c r="G632" s="6" t="s">
        <v>71</v>
      </c>
      <c r="H632" s="7"/>
      <c r="I632" s="35" t="str">
        <f t="shared" si="119"/>
        <v>150922</v>
      </c>
      <c r="J632" s="31" t="str">
        <f t="shared" si="120"/>
        <v>12</v>
      </c>
      <c r="N632" s="12" t="str">
        <f t="shared" si="121"/>
        <v>1</v>
      </c>
      <c r="O632" s="11" t="str">
        <f t="shared" si="122"/>
        <v>2</v>
      </c>
      <c r="P632" s="11" t="str">
        <f t="shared" si="123"/>
        <v>1</v>
      </c>
      <c r="Q632" s="11" t="str">
        <f t="shared" si="124"/>
        <v>5</v>
      </c>
      <c r="R632" s="11" t="str">
        <f t="shared" si="125"/>
        <v>0</v>
      </c>
      <c r="S632" s="11" t="str">
        <f t="shared" si="126"/>
        <v>9</v>
      </c>
      <c r="T632" s="11" t="str">
        <f t="shared" si="127"/>
        <v>2</v>
      </c>
      <c r="U632" s="11" t="str">
        <f t="shared" si="128"/>
        <v>2</v>
      </c>
      <c r="V632" s="11" t="str">
        <f t="shared" si="129"/>
        <v>1</v>
      </c>
      <c r="W632" s="11" t="str">
        <f t="shared" si="130"/>
        <v>8</v>
      </c>
      <c r="X632" s="11" t="str">
        <f t="shared" si="131"/>
        <v>7</v>
      </c>
    </row>
    <row r="633" spans="1:24" x14ac:dyDescent="0.35">
      <c r="A633" s="5">
        <v>14493</v>
      </c>
      <c r="B633" s="5">
        <v>12150922188</v>
      </c>
      <c r="C633" s="5">
        <v>726842</v>
      </c>
      <c r="D633" s="5">
        <v>3763631</v>
      </c>
      <c r="E633" s="6" t="s">
        <v>70</v>
      </c>
      <c r="F633" s="6" t="s">
        <v>71</v>
      </c>
      <c r="G633" s="6" t="s">
        <v>71</v>
      </c>
      <c r="H633" s="7"/>
      <c r="I633" s="35" t="str">
        <f t="shared" si="119"/>
        <v>150922</v>
      </c>
      <c r="J633" s="31" t="str">
        <f t="shared" si="120"/>
        <v>12</v>
      </c>
      <c r="N633" s="12" t="str">
        <f t="shared" si="121"/>
        <v>1</v>
      </c>
      <c r="O633" s="11" t="str">
        <f t="shared" si="122"/>
        <v>2</v>
      </c>
      <c r="P633" s="11" t="str">
        <f t="shared" si="123"/>
        <v>1</v>
      </c>
      <c r="Q633" s="11" t="str">
        <f t="shared" si="124"/>
        <v>5</v>
      </c>
      <c r="R633" s="11" t="str">
        <f t="shared" si="125"/>
        <v>0</v>
      </c>
      <c r="S633" s="11" t="str">
        <f t="shared" si="126"/>
        <v>9</v>
      </c>
      <c r="T633" s="11" t="str">
        <f t="shared" si="127"/>
        <v>2</v>
      </c>
      <c r="U633" s="11" t="str">
        <f t="shared" si="128"/>
        <v>2</v>
      </c>
      <c r="V633" s="11" t="str">
        <f t="shared" si="129"/>
        <v>1</v>
      </c>
      <c r="W633" s="11" t="str">
        <f t="shared" si="130"/>
        <v>8</v>
      </c>
      <c r="X633" s="11" t="str">
        <f t="shared" si="131"/>
        <v>8</v>
      </c>
    </row>
    <row r="634" spans="1:24" x14ac:dyDescent="0.35">
      <c r="A634" s="5">
        <v>14494</v>
      </c>
      <c r="B634" s="5">
        <v>12150922189</v>
      </c>
      <c r="C634" s="5">
        <v>726810</v>
      </c>
      <c r="D634" s="5">
        <v>3763651</v>
      </c>
      <c r="E634" s="6" t="s">
        <v>70</v>
      </c>
      <c r="F634" s="6" t="s">
        <v>71</v>
      </c>
      <c r="G634" s="6" t="s">
        <v>71</v>
      </c>
      <c r="H634" s="7"/>
      <c r="I634" s="35" t="str">
        <f t="shared" si="119"/>
        <v>150922</v>
      </c>
      <c r="J634" s="31" t="str">
        <f t="shared" si="120"/>
        <v>12</v>
      </c>
      <c r="N634" s="12" t="str">
        <f t="shared" si="121"/>
        <v>1</v>
      </c>
      <c r="O634" s="11" t="str">
        <f t="shared" si="122"/>
        <v>2</v>
      </c>
      <c r="P634" s="11" t="str">
        <f t="shared" si="123"/>
        <v>1</v>
      </c>
      <c r="Q634" s="11" t="str">
        <f t="shared" si="124"/>
        <v>5</v>
      </c>
      <c r="R634" s="11" t="str">
        <f t="shared" si="125"/>
        <v>0</v>
      </c>
      <c r="S634" s="11" t="str">
        <f t="shared" si="126"/>
        <v>9</v>
      </c>
      <c r="T634" s="11" t="str">
        <f t="shared" si="127"/>
        <v>2</v>
      </c>
      <c r="U634" s="11" t="str">
        <f t="shared" si="128"/>
        <v>2</v>
      </c>
      <c r="V634" s="11" t="str">
        <f t="shared" si="129"/>
        <v>1</v>
      </c>
      <c r="W634" s="11" t="str">
        <f t="shared" si="130"/>
        <v>8</v>
      </c>
      <c r="X634" s="11" t="str">
        <f t="shared" si="131"/>
        <v>9</v>
      </c>
    </row>
    <row r="635" spans="1:24" x14ac:dyDescent="0.35">
      <c r="A635" s="5">
        <v>14495</v>
      </c>
      <c r="B635" s="5">
        <v>12150922190</v>
      </c>
      <c r="C635" s="5">
        <v>726769</v>
      </c>
      <c r="D635" s="5">
        <v>3763681</v>
      </c>
      <c r="E635" s="6" t="s">
        <v>70</v>
      </c>
      <c r="F635" s="6" t="s">
        <v>71</v>
      </c>
      <c r="G635" s="6" t="s">
        <v>71</v>
      </c>
      <c r="H635" s="7"/>
      <c r="I635" s="35" t="str">
        <f t="shared" si="119"/>
        <v>150922</v>
      </c>
      <c r="J635" s="31" t="str">
        <f t="shared" si="120"/>
        <v>12</v>
      </c>
      <c r="N635" s="12" t="str">
        <f t="shared" si="121"/>
        <v>1</v>
      </c>
      <c r="O635" s="11" t="str">
        <f t="shared" si="122"/>
        <v>2</v>
      </c>
      <c r="P635" s="11" t="str">
        <f t="shared" si="123"/>
        <v>1</v>
      </c>
      <c r="Q635" s="11" t="str">
        <f t="shared" si="124"/>
        <v>5</v>
      </c>
      <c r="R635" s="11" t="str">
        <f t="shared" si="125"/>
        <v>0</v>
      </c>
      <c r="S635" s="11" t="str">
        <f t="shared" si="126"/>
        <v>9</v>
      </c>
      <c r="T635" s="11" t="str">
        <f t="shared" si="127"/>
        <v>2</v>
      </c>
      <c r="U635" s="11" t="str">
        <f t="shared" si="128"/>
        <v>2</v>
      </c>
      <c r="V635" s="11" t="str">
        <f t="shared" si="129"/>
        <v>1</v>
      </c>
      <c r="W635" s="11" t="str">
        <f t="shared" si="130"/>
        <v>9</v>
      </c>
      <c r="X635" s="11" t="str">
        <f t="shared" si="131"/>
        <v>0</v>
      </c>
    </row>
    <row r="636" spans="1:24" x14ac:dyDescent="0.35">
      <c r="A636" s="5">
        <v>14496</v>
      </c>
      <c r="B636" s="5">
        <v>12150922191</v>
      </c>
      <c r="C636" s="5">
        <v>726723</v>
      </c>
      <c r="D636" s="5">
        <v>3763715</v>
      </c>
      <c r="E636" s="6" t="s">
        <v>70</v>
      </c>
      <c r="F636" s="6" t="s">
        <v>71</v>
      </c>
      <c r="G636" s="6" t="s">
        <v>71</v>
      </c>
      <c r="H636" s="7"/>
      <c r="I636" s="35" t="str">
        <f t="shared" si="119"/>
        <v>150922</v>
      </c>
      <c r="J636" s="31" t="str">
        <f t="shared" si="120"/>
        <v>12</v>
      </c>
      <c r="N636" s="12" t="str">
        <f t="shared" si="121"/>
        <v>1</v>
      </c>
      <c r="O636" s="11" t="str">
        <f t="shared" si="122"/>
        <v>2</v>
      </c>
      <c r="P636" s="11" t="str">
        <f t="shared" si="123"/>
        <v>1</v>
      </c>
      <c r="Q636" s="11" t="str">
        <f t="shared" si="124"/>
        <v>5</v>
      </c>
      <c r="R636" s="11" t="str">
        <f t="shared" si="125"/>
        <v>0</v>
      </c>
      <c r="S636" s="11" t="str">
        <f t="shared" si="126"/>
        <v>9</v>
      </c>
      <c r="T636" s="11" t="str">
        <f t="shared" si="127"/>
        <v>2</v>
      </c>
      <c r="U636" s="11" t="str">
        <f t="shared" si="128"/>
        <v>2</v>
      </c>
      <c r="V636" s="11" t="str">
        <f t="shared" si="129"/>
        <v>1</v>
      </c>
      <c r="W636" s="11" t="str">
        <f t="shared" si="130"/>
        <v>9</v>
      </c>
      <c r="X636" s="11" t="str">
        <f t="shared" si="131"/>
        <v>1</v>
      </c>
    </row>
    <row r="637" spans="1:24" x14ac:dyDescent="0.35">
      <c r="A637" s="5">
        <v>14497</v>
      </c>
      <c r="B637" s="5">
        <v>12150922192</v>
      </c>
      <c r="C637" s="5">
        <v>726869</v>
      </c>
      <c r="D637" s="5">
        <v>3763582</v>
      </c>
      <c r="E637" s="6" t="s">
        <v>70</v>
      </c>
      <c r="F637" s="6" t="s">
        <v>71</v>
      </c>
      <c r="G637" s="6" t="s">
        <v>71</v>
      </c>
      <c r="H637" s="7"/>
      <c r="I637" s="35" t="str">
        <f t="shared" si="119"/>
        <v>150922</v>
      </c>
      <c r="J637" s="31" t="str">
        <f t="shared" si="120"/>
        <v>12</v>
      </c>
      <c r="N637" s="12" t="str">
        <f t="shared" si="121"/>
        <v>1</v>
      </c>
      <c r="O637" s="11" t="str">
        <f t="shared" si="122"/>
        <v>2</v>
      </c>
      <c r="P637" s="11" t="str">
        <f t="shared" si="123"/>
        <v>1</v>
      </c>
      <c r="Q637" s="11" t="str">
        <f t="shared" si="124"/>
        <v>5</v>
      </c>
      <c r="R637" s="11" t="str">
        <f t="shared" si="125"/>
        <v>0</v>
      </c>
      <c r="S637" s="11" t="str">
        <f t="shared" si="126"/>
        <v>9</v>
      </c>
      <c r="T637" s="11" t="str">
        <f t="shared" si="127"/>
        <v>2</v>
      </c>
      <c r="U637" s="11" t="str">
        <f t="shared" si="128"/>
        <v>2</v>
      </c>
      <c r="V637" s="11" t="str">
        <f t="shared" si="129"/>
        <v>1</v>
      </c>
      <c r="W637" s="11" t="str">
        <f t="shared" si="130"/>
        <v>9</v>
      </c>
      <c r="X637" s="11" t="str">
        <f t="shared" si="131"/>
        <v>2</v>
      </c>
    </row>
    <row r="638" spans="1:24" x14ac:dyDescent="0.35">
      <c r="A638" s="5">
        <v>14498</v>
      </c>
      <c r="B638" s="5">
        <v>12150922193</v>
      </c>
      <c r="C638" s="5">
        <v>726869</v>
      </c>
      <c r="D638" s="5">
        <v>3763581</v>
      </c>
      <c r="E638" s="6" t="s">
        <v>70</v>
      </c>
      <c r="F638" s="6" t="s">
        <v>71</v>
      </c>
      <c r="G638" s="6" t="s">
        <v>71</v>
      </c>
      <c r="H638" s="7"/>
      <c r="I638" s="35" t="str">
        <f t="shared" si="119"/>
        <v>150922</v>
      </c>
      <c r="J638" s="31" t="str">
        <f t="shared" si="120"/>
        <v>12</v>
      </c>
      <c r="N638" s="12" t="str">
        <f t="shared" si="121"/>
        <v>1</v>
      </c>
      <c r="O638" s="11" t="str">
        <f t="shared" si="122"/>
        <v>2</v>
      </c>
      <c r="P638" s="11" t="str">
        <f t="shared" si="123"/>
        <v>1</v>
      </c>
      <c r="Q638" s="11" t="str">
        <f t="shared" si="124"/>
        <v>5</v>
      </c>
      <c r="R638" s="11" t="str">
        <f t="shared" si="125"/>
        <v>0</v>
      </c>
      <c r="S638" s="11" t="str">
        <f t="shared" si="126"/>
        <v>9</v>
      </c>
      <c r="T638" s="11" t="str">
        <f t="shared" si="127"/>
        <v>2</v>
      </c>
      <c r="U638" s="11" t="str">
        <f t="shared" si="128"/>
        <v>2</v>
      </c>
      <c r="V638" s="11" t="str">
        <f t="shared" si="129"/>
        <v>1</v>
      </c>
      <c r="W638" s="11" t="str">
        <f t="shared" si="130"/>
        <v>9</v>
      </c>
      <c r="X638" s="11" t="str">
        <f t="shared" si="131"/>
        <v>3</v>
      </c>
    </row>
    <row r="639" spans="1:24" x14ac:dyDescent="0.35">
      <c r="A639" s="5">
        <v>14499</v>
      </c>
      <c r="B639" s="5">
        <v>12150922194</v>
      </c>
      <c r="C639" s="5">
        <v>726867</v>
      </c>
      <c r="D639" s="5">
        <v>3763579</v>
      </c>
      <c r="E639" s="6" t="s">
        <v>70</v>
      </c>
      <c r="F639" s="6" t="s">
        <v>71</v>
      </c>
      <c r="G639" s="6" t="s">
        <v>71</v>
      </c>
      <c r="H639" s="7"/>
      <c r="I639" s="35" t="str">
        <f t="shared" si="119"/>
        <v>150922</v>
      </c>
      <c r="J639" s="31" t="str">
        <f t="shared" si="120"/>
        <v>12</v>
      </c>
      <c r="N639" s="12" t="str">
        <f t="shared" si="121"/>
        <v>1</v>
      </c>
      <c r="O639" s="11" t="str">
        <f t="shared" si="122"/>
        <v>2</v>
      </c>
      <c r="P639" s="11" t="str">
        <f t="shared" si="123"/>
        <v>1</v>
      </c>
      <c r="Q639" s="11" t="str">
        <f t="shared" si="124"/>
        <v>5</v>
      </c>
      <c r="R639" s="11" t="str">
        <f t="shared" si="125"/>
        <v>0</v>
      </c>
      <c r="S639" s="11" t="str">
        <f t="shared" si="126"/>
        <v>9</v>
      </c>
      <c r="T639" s="11" t="str">
        <f t="shared" si="127"/>
        <v>2</v>
      </c>
      <c r="U639" s="11" t="str">
        <f t="shared" si="128"/>
        <v>2</v>
      </c>
      <c r="V639" s="11" t="str">
        <f t="shared" si="129"/>
        <v>1</v>
      </c>
      <c r="W639" s="11" t="str">
        <f t="shared" si="130"/>
        <v>9</v>
      </c>
      <c r="X639" s="11" t="str">
        <f t="shared" si="131"/>
        <v>4</v>
      </c>
    </row>
    <row r="640" spans="1:24" x14ac:dyDescent="0.35">
      <c r="A640" s="5">
        <v>14500</v>
      </c>
      <c r="B640" s="5">
        <v>12150922195</v>
      </c>
      <c r="C640" s="5">
        <v>726859</v>
      </c>
      <c r="D640" s="5">
        <v>3763564</v>
      </c>
      <c r="E640" s="6" t="s">
        <v>70</v>
      </c>
      <c r="F640" s="6" t="s">
        <v>71</v>
      </c>
      <c r="G640" s="6" t="s">
        <v>71</v>
      </c>
      <c r="H640" s="7"/>
      <c r="I640" s="35" t="str">
        <f t="shared" si="119"/>
        <v>150922</v>
      </c>
      <c r="J640" s="31" t="str">
        <f t="shared" si="120"/>
        <v>12</v>
      </c>
      <c r="N640" s="12" t="str">
        <f t="shared" si="121"/>
        <v>1</v>
      </c>
      <c r="O640" s="11" t="str">
        <f t="shared" si="122"/>
        <v>2</v>
      </c>
      <c r="P640" s="11" t="str">
        <f t="shared" si="123"/>
        <v>1</v>
      </c>
      <c r="Q640" s="11" t="str">
        <f t="shared" si="124"/>
        <v>5</v>
      </c>
      <c r="R640" s="11" t="str">
        <f t="shared" si="125"/>
        <v>0</v>
      </c>
      <c r="S640" s="11" t="str">
        <f t="shared" si="126"/>
        <v>9</v>
      </c>
      <c r="T640" s="11" t="str">
        <f t="shared" si="127"/>
        <v>2</v>
      </c>
      <c r="U640" s="11" t="str">
        <f t="shared" si="128"/>
        <v>2</v>
      </c>
      <c r="V640" s="11" t="str">
        <f t="shared" si="129"/>
        <v>1</v>
      </c>
      <c r="W640" s="11" t="str">
        <f t="shared" si="130"/>
        <v>9</v>
      </c>
      <c r="X640" s="11" t="str">
        <f t="shared" si="131"/>
        <v>5</v>
      </c>
    </row>
    <row r="641" spans="1:24" x14ac:dyDescent="0.35">
      <c r="A641" s="5">
        <v>14501</v>
      </c>
      <c r="B641" s="5">
        <v>12150922196</v>
      </c>
      <c r="C641" s="5">
        <v>726901</v>
      </c>
      <c r="D641" s="5">
        <v>3763546</v>
      </c>
      <c r="E641" s="6" t="s">
        <v>70</v>
      </c>
      <c r="F641" s="6" t="s">
        <v>71</v>
      </c>
      <c r="G641" s="6" t="s">
        <v>71</v>
      </c>
      <c r="H641" s="7"/>
      <c r="I641" s="35" t="str">
        <f t="shared" si="119"/>
        <v>150922</v>
      </c>
      <c r="J641" s="31" t="str">
        <f t="shared" si="120"/>
        <v>12</v>
      </c>
      <c r="N641" s="12" t="str">
        <f t="shared" si="121"/>
        <v>1</v>
      </c>
      <c r="O641" s="11" t="str">
        <f t="shared" si="122"/>
        <v>2</v>
      </c>
      <c r="P641" s="11" t="str">
        <f t="shared" si="123"/>
        <v>1</v>
      </c>
      <c r="Q641" s="11" t="str">
        <f t="shared" si="124"/>
        <v>5</v>
      </c>
      <c r="R641" s="11" t="str">
        <f t="shared" si="125"/>
        <v>0</v>
      </c>
      <c r="S641" s="11" t="str">
        <f t="shared" si="126"/>
        <v>9</v>
      </c>
      <c r="T641" s="11" t="str">
        <f t="shared" si="127"/>
        <v>2</v>
      </c>
      <c r="U641" s="11" t="str">
        <f t="shared" si="128"/>
        <v>2</v>
      </c>
      <c r="V641" s="11" t="str">
        <f t="shared" si="129"/>
        <v>1</v>
      </c>
      <c r="W641" s="11" t="str">
        <f t="shared" si="130"/>
        <v>9</v>
      </c>
      <c r="X641" s="11" t="str">
        <f t="shared" si="131"/>
        <v>6</v>
      </c>
    </row>
    <row r="642" spans="1:24" x14ac:dyDescent="0.35">
      <c r="A642" s="5">
        <v>14502</v>
      </c>
      <c r="B642" s="5">
        <v>12150922197</v>
      </c>
      <c r="C642" s="5">
        <v>726941</v>
      </c>
      <c r="D642" s="5">
        <v>3763527</v>
      </c>
      <c r="E642" s="6" t="s">
        <v>70</v>
      </c>
      <c r="F642" s="6" t="s">
        <v>71</v>
      </c>
      <c r="G642" s="6" t="s">
        <v>71</v>
      </c>
      <c r="H642" s="7"/>
      <c r="I642" s="35" t="str">
        <f t="shared" si="119"/>
        <v>150922</v>
      </c>
      <c r="J642" s="31" t="str">
        <f t="shared" si="120"/>
        <v>12</v>
      </c>
      <c r="N642" s="12" t="str">
        <f t="shared" si="121"/>
        <v>1</v>
      </c>
      <c r="O642" s="11" t="str">
        <f t="shared" si="122"/>
        <v>2</v>
      </c>
      <c r="P642" s="11" t="str">
        <f t="shared" si="123"/>
        <v>1</v>
      </c>
      <c r="Q642" s="11" t="str">
        <f t="shared" si="124"/>
        <v>5</v>
      </c>
      <c r="R642" s="11" t="str">
        <f t="shared" si="125"/>
        <v>0</v>
      </c>
      <c r="S642" s="11" t="str">
        <f t="shared" si="126"/>
        <v>9</v>
      </c>
      <c r="T642" s="11" t="str">
        <f t="shared" si="127"/>
        <v>2</v>
      </c>
      <c r="U642" s="11" t="str">
        <f t="shared" si="128"/>
        <v>2</v>
      </c>
      <c r="V642" s="11" t="str">
        <f t="shared" si="129"/>
        <v>1</v>
      </c>
      <c r="W642" s="11" t="str">
        <f t="shared" si="130"/>
        <v>9</v>
      </c>
      <c r="X642" s="11" t="str">
        <f t="shared" si="131"/>
        <v>7</v>
      </c>
    </row>
    <row r="643" spans="1:24" x14ac:dyDescent="0.35">
      <c r="A643" s="5">
        <v>14503</v>
      </c>
      <c r="B643" s="5">
        <v>12150922198</v>
      </c>
      <c r="C643" s="5">
        <v>726837</v>
      </c>
      <c r="D643" s="5">
        <v>3763515</v>
      </c>
      <c r="E643" s="6" t="s">
        <v>70</v>
      </c>
      <c r="F643" s="6" t="s">
        <v>71</v>
      </c>
      <c r="G643" s="6" t="s">
        <v>71</v>
      </c>
      <c r="H643" s="7"/>
      <c r="I643" s="35" t="str">
        <f t="shared" ref="I643:I706" si="132">MID(B643,IF(LEN(B643)=10,2,3),6)</f>
        <v>150922</v>
      </c>
      <c r="J643" s="31" t="str">
        <f t="shared" ref="J643:J706" si="133">TEXT(MID(B643,1,IF(LEN(B643)=10,1,2)),"00")</f>
        <v>12</v>
      </c>
      <c r="N643" s="12" t="str">
        <f t="shared" ref="N643:N706" si="134">IFERROR(MID($B643,LEN($B643)-10,1),0)</f>
        <v>1</v>
      </c>
      <c r="O643" s="11" t="str">
        <f t="shared" ref="O643:O706" si="135">MID($B643,LEN($B643)-9,1)</f>
        <v>2</v>
      </c>
      <c r="P643" s="11" t="str">
        <f t="shared" ref="P643:P706" si="136">MID($B643,LEN($B643)-8,1)</f>
        <v>1</v>
      </c>
      <c r="Q643" s="11" t="str">
        <f t="shared" ref="Q643:Q706" si="137">MID($B643,LEN($B643)-7,1)</f>
        <v>5</v>
      </c>
      <c r="R643" s="11" t="str">
        <f t="shared" ref="R643:R706" si="138">MID($B643,LEN($B643)-6,1)</f>
        <v>0</v>
      </c>
      <c r="S643" s="11" t="str">
        <f t="shared" ref="S643:S706" si="139">MID($B643,LEN($B643)-5,1)</f>
        <v>9</v>
      </c>
      <c r="T643" s="11" t="str">
        <f t="shared" ref="T643:T706" si="140">MID($B643,LEN($B643)-4,1)</f>
        <v>2</v>
      </c>
      <c r="U643" s="11" t="str">
        <f t="shared" ref="U643:U706" si="141">MID($B643,LEN($B643)-3,1)</f>
        <v>2</v>
      </c>
      <c r="V643" s="11" t="str">
        <f t="shared" ref="V643:V706" si="142">MID($B643,LEN($B643)-2,1)</f>
        <v>1</v>
      </c>
      <c r="W643" s="11" t="str">
        <f t="shared" ref="W643:W706" si="143">MID($B643,LEN($B643)-1,1)</f>
        <v>9</v>
      </c>
      <c r="X643" s="11" t="str">
        <f t="shared" ref="X643:X706" si="144">MID($B643,LEN($B643)-0,1)</f>
        <v>8</v>
      </c>
    </row>
    <row r="644" spans="1:24" x14ac:dyDescent="0.35">
      <c r="A644" s="5">
        <v>14504</v>
      </c>
      <c r="B644" s="5">
        <v>12150922199</v>
      </c>
      <c r="C644" s="5">
        <v>726837.1</v>
      </c>
      <c r="D644" s="5">
        <v>3763515.3</v>
      </c>
      <c r="E644" s="6" t="s">
        <v>70</v>
      </c>
      <c r="F644" s="6" t="s">
        <v>71</v>
      </c>
      <c r="G644" s="6" t="s">
        <v>71</v>
      </c>
      <c r="H644" s="7"/>
      <c r="I644" s="35" t="str">
        <f t="shared" si="132"/>
        <v>150922</v>
      </c>
      <c r="J644" s="31" t="str">
        <f t="shared" si="133"/>
        <v>12</v>
      </c>
      <c r="N644" s="12" t="str">
        <f t="shared" si="134"/>
        <v>1</v>
      </c>
      <c r="O644" s="11" t="str">
        <f t="shared" si="135"/>
        <v>2</v>
      </c>
      <c r="P644" s="11" t="str">
        <f t="shared" si="136"/>
        <v>1</v>
      </c>
      <c r="Q644" s="11" t="str">
        <f t="shared" si="137"/>
        <v>5</v>
      </c>
      <c r="R644" s="11" t="str">
        <f t="shared" si="138"/>
        <v>0</v>
      </c>
      <c r="S644" s="11" t="str">
        <f t="shared" si="139"/>
        <v>9</v>
      </c>
      <c r="T644" s="11" t="str">
        <f t="shared" si="140"/>
        <v>2</v>
      </c>
      <c r="U644" s="11" t="str">
        <f t="shared" si="141"/>
        <v>2</v>
      </c>
      <c r="V644" s="11" t="str">
        <f t="shared" si="142"/>
        <v>1</v>
      </c>
      <c r="W644" s="11" t="str">
        <f t="shared" si="143"/>
        <v>9</v>
      </c>
      <c r="X644" s="11" t="str">
        <f t="shared" si="144"/>
        <v>9</v>
      </c>
    </row>
    <row r="645" spans="1:24" x14ac:dyDescent="0.35">
      <c r="A645" s="5">
        <v>14505</v>
      </c>
      <c r="B645" s="5">
        <v>12150922200</v>
      </c>
      <c r="C645" s="5">
        <v>726837.2</v>
      </c>
      <c r="D645" s="5">
        <v>3763515.4</v>
      </c>
      <c r="E645" s="6" t="s">
        <v>70</v>
      </c>
      <c r="F645" s="6" t="s">
        <v>71</v>
      </c>
      <c r="G645" s="6" t="s">
        <v>71</v>
      </c>
      <c r="H645" s="7"/>
      <c r="I645" s="35" t="str">
        <f t="shared" si="132"/>
        <v>150922</v>
      </c>
      <c r="J645" s="31" t="str">
        <f t="shared" si="133"/>
        <v>12</v>
      </c>
      <c r="N645" s="12" t="str">
        <f t="shared" si="134"/>
        <v>1</v>
      </c>
      <c r="O645" s="11" t="str">
        <f t="shared" si="135"/>
        <v>2</v>
      </c>
      <c r="P645" s="11" t="str">
        <f t="shared" si="136"/>
        <v>1</v>
      </c>
      <c r="Q645" s="11" t="str">
        <f t="shared" si="137"/>
        <v>5</v>
      </c>
      <c r="R645" s="11" t="str">
        <f t="shared" si="138"/>
        <v>0</v>
      </c>
      <c r="S645" s="11" t="str">
        <f t="shared" si="139"/>
        <v>9</v>
      </c>
      <c r="T645" s="11" t="str">
        <f t="shared" si="140"/>
        <v>2</v>
      </c>
      <c r="U645" s="11" t="str">
        <f t="shared" si="141"/>
        <v>2</v>
      </c>
      <c r="V645" s="11" t="str">
        <f t="shared" si="142"/>
        <v>2</v>
      </c>
      <c r="W645" s="11" t="str">
        <f t="shared" si="143"/>
        <v>0</v>
      </c>
      <c r="X645" s="11" t="str">
        <f t="shared" si="144"/>
        <v>0</v>
      </c>
    </row>
    <row r="646" spans="1:24" x14ac:dyDescent="0.35">
      <c r="A646" s="5">
        <v>14506</v>
      </c>
      <c r="B646" s="5">
        <v>12150922201</v>
      </c>
      <c r="C646" s="5">
        <v>726820</v>
      </c>
      <c r="D646" s="5">
        <v>3763583</v>
      </c>
      <c r="E646" s="6" t="s">
        <v>70</v>
      </c>
      <c r="F646" s="6" t="s">
        <v>71</v>
      </c>
      <c r="G646" s="6" t="s">
        <v>71</v>
      </c>
      <c r="H646" s="7"/>
      <c r="I646" s="35" t="str">
        <f t="shared" si="132"/>
        <v>150922</v>
      </c>
      <c r="J646" s="31" t="str">
        <f t="shared" si="133"/>
        <v>12</v>
      </c>
      <c r="N646" s="12" t="str">
        <f t="shared" si="134"/>
        <v>1</v>
      </c>
      <c r="O646" s="11" t="str">
        <f t="shared" si="135"/>
        <v>2</v>
      </c>
      <c r="P646" s="11" t="str">
        <f t="shared" si="136"/>
        <v>1</v>
      </c>
      <c r="Q646" s="11" t="str">
        <f t="shared" si="137"/>
        <v>5</v>
      </c>
      <c r="R646" s="11" t="str">
        <f t="shared" si="138"/>
        <v>0</v>
      </c>
      <c r="S646" s="11" t="str">
        <f t="shared" si="139"/>
        <v>9</v>
      </c>
      <c r="T646" s="11" t="str">
        <f t="shared" si="140"/>
        <v>2</v>
      </c>
      <c r="U646" s="11" t="str">
        <f t="shared" si="141"/>
        <v>2</v>
      </c>
      <c r="V646" s="11" t="str">
        <f t="shared" si="142"/>
        <v>2</v>
      </c>
      <c r="W646" s="11" t="str">
        <f t="shared" si="143"/>
        <v>0</v>
      </c>
      <c r="X646" s="11" t="str">
        <f t="shared" si="144"/>
        <v>1</v>
      </c>
    </row>
    <row r="647" spans="1:24" x14ac:dyDescent="0.35">
      <c r="A647" s="5">
        <v>14507</v>
      </c>
      <c r="B647" s="5">
        <v>12150922202</v>
      </c>
      <c r="C647" s="5">
        <v>726782</v>
      </c>
      <c r="D647" s="5">
        <v>3763604</v>
      </c>
      <c r="E647" s="6" t="s">
        <v>70</v>
      </c>
      <c r="F647" s="6" t="s">
        <v>71</v>
      </c>
      <c r="G647" s="6" t="s">
        <v>71</v>
      </c>
      <c r="H647" s="7"/>
      <c r="I647" s="35" t="str">
        <f t="shared" si="132"/>
        <v>150922</v>
      </c>
      <c r="J647" s="31" t="str">
        <f t="shared" si="133"/>
        <v>12</v>
      </c>
      <c r="N647" s="12" t="str">
        <f t="shared" si="134"/>
        <v>1</v>
      </c>
      <c r="O647" s="11" t="str">
        <f t="shared" si="135"/>
        <v>2</v>
      </c>
      <c r="P647" s="11" t="str">
        <f t="shared" si="136"/>
        <v>1</v>
      </c>
      <c r="Q647" s="11" t="str">
        <f t="shared" si="137"/>
        <v>5</v>
      </c>
      <c r="R647" s="11" t="str">
        <f t="shared" si="138"/>
        <v>0</v>
      </c>
      <c r="S647" s="11" t="str">
        <f t="shared" si="139"/>
        <v>9</v>
      </c>
      <c r="T647" s="11" t="str">
        <f t="shared" si="140"/>
        <v>2</v>
      </c>
      <c r="U647" s="11" t="str">
        <f t="shared" si="141"/>
        <v>2</v>
      </c>
      <c r="V647" s="11" t="str">
        <f t="shared" si="142"/>
        <v>2</v>
      </c>
      <c r="W647" s="11" t="str">
        <f t="shared" si="143"/>
        <v>0</v>
      </c>
      <c r="X647" s="11" t="str">
        <f t="shared" si="144"/>
        <v>2</v>
      </c>
    </row>
    <row r="648" spans="1:24" x14ac:dyDescent="0.35">
      <c r="A648" s="5">
        <v>14508</v>
      </c>
      <c r="B648" s="5">
        <v>12150922203</v>
      </c>
      <c r="C648" s="5">
        <v>726739</v>
      </c>
      <c r="D648" s="5">
        <v>3763631</v>
      </c>
      <c r="E648" s="6" t="s">
        <v>70</v>
      </c>
      <c r="F648" s="6" t="s">
        <v>71</v>
      </c>
      <c r="G648" s="6" t="s">
        <v>71</v>
      </c>
      <c r="H648" s="7"/>
      <c r="I648" s="35" t="str">
        <f t="shared" si="132"/>
        <v>150922</v>
      </c>
      <c r="J648" s="31" t="str">
        <f t="shared" si="133"/>
        <v>12</v>
      </c>
      <c r="N648" s="12" t="str">
        <f t="shared" si="134"/>
        <v>1</v>
      </c>
      <c r="O648" s="11" t="str">
        <f t="shared" si="135"/>
        <v>2</v>
      </c>
      <c r="P648" s="11" t="str">
        <f t="shared" si="136"/>
        <v>1</v>
      </c>
      <c r="Q648" s="11" t="str">
        <f t="shared" si="137"/>
        <v>5</v>
      </c>
      <c r="R648" s="11" t="str">
        <f t="shared" si="138"/>
        <v>0</v>
      </c>
      <c r="S648" s="11" t="str">
        <f t="shared" si="139"/>
        <v>9</v>
      </c>
      <c r="T648" s="11" t="str">
        <f t="shared" si="140"/>
        <v>2</v>
      </c>
      <c r="U648" s="11" t="str">
        <f t="shared" si="141"/>
        <v>2</v>
      </c>
      <c r="V648" s="11" t="str">
        <f t="shared" si="142"/>
        <v>2</v>
      </c>
      <c r="W648" s="11" t="str">
        <f t="shared" si="143"/>
        <v>0</v>
      </c>
      <c r="X648" s="11" t="str">
        <f t="shared" si="144"/>
        <v>3</v>
      </c>
    </row>
    <row r="649" spans="1:24" x14ac:dyDescent="0.35">
      <c r="A649" s="5">
        <v>14509</v>
      </c>
      <c r="B649" s="5">
        <v>12150922204</v>
      </c>
      <c r="C649" s="5">
        <v>726879</v>
      </c>
      <c r="D649" s="5">
        <v>3763501</v>
      </c>
      <c r="E649" s="6" t="s">
        <v>70</v>
      </c>
      <c r="F649" s="6" t="s">
        <v>71</v>
      </c>
      <c r="G649" s="6" t="s">
        <v>71</v>
      </c>
      <c r="H649" s="7"/>
      <c r="I649" s="35" t="str">
        <f t="shared" si="132"/>
        <v>150922</v>
      </c>
      <c r="J649" s="31" t="str">
        <f t="shared" si="133"/>
        <v>12</v>
      </c>
      <c r="N649" s="12" t="str">
        <f t="shared" si="134"/>
        <v>1</v>
      </c>
      <c r="O649" s="11" t="str">
        <f t="shared" si="135"/>
        <v>2</v>
      </c>
      <c r="P649" s="11" t="str">
        <f t="shared" si="136"/>
        <v>1</v>
      </c>
      <c r="Q649" s="11" t="str">
        <f t="shared" si="137"/>
        <v>5</v>
      </c>
      <c r="R649" s="11" t="str">
        <f t="shared" si="138"/>
        <v>0</v>
      </c>
      <c r="S649" s="11" t="str">
        <f t="shared" si="139"/>
        <v>9</v>
      </c>
      <c r="T649" s="11" t="str">
        <f t="shared" si="140"/>
        <v>2</v>
      </c>
      <c r="U649" s="11" t="str">
        <f t="shared" si="141"/>
        <v>2</v>
      </c>
      <c r="V649" s="11" t="str">
        <f t="shared" si="142"/>
        <v>2</v>
      </c>
      <c r="W649" s="11" t="str">
        <f t="shared" si="143"/>
        <v>0</v>
      </c>
      <c r="X649" s="11" t="str">
        <f t="shared" si="144"/>
        <v>4</v>
      </c>
    </row>
    <row r="650" spans="1:24" x14ac:dyDescent="0.35">
      <c r="A650" s="5">
        <v>14510</v>
      </c>
      <c r="B650" s="5">
        <v>12150922205</v>
      </c>
      <c r="C650" s="5">
        <v>726921</v>
      </c>
      <c r="D650" s="5">
        <v>3763483</v>
      </c>
      <c r="E650" s="6" t="s">
        <v>70</v>
      </c>
      <c r="F650" s="6" t="s">
        <v>71</v>
      </c>
      <c r="G650" s="6" t="s">
        <v>71</v>
      </c>
      <c r="H650" s="7"/>
      <c r="I650" s="35" t="str">
        <f t="shared" si="132"/>
        <v>150922</v>
      </c>
      <c r="J650" s="31" t="str">
        <f t="shared" si="133"/>
        <v>12</v>
      </c>
      <c r="N650" s="12" t="str">
        <f t="shared" si="134"/>
        <v>1</v>
      </c>
      <c r="O650" s="11" t="str">
        <f t="shared" si="135"/>
        <v>2</v>
      </c>
      <c r="P650" s="11" t="str">
        <f t="shared" si="136"/>
        <v>1</v>
      </c>
      <c r="Q650" s="11" t="str">
        <f t="shared" si="137"/>
        <v>5</v>
      </c>
      <c r="R650" s="11" t="str">
        <f t="shared" si="138"/>
        <v>0</v>
      </c>
      <c r="S650" s="11" t="str">
        <f t="shared" si="139"/>
        <v>9</v>
      </c>
      <c r="T650" s="11" t="str">
        <f t="shared" si="140"/>
        <v>2</v>
      </c>
      <c r="U650" s="11" t="str">
        <f t="shared" si="141"/>
        <v>2</v>
      </c>
      <c r="V650" s="11" t="str">
        <f t="shared" si="142"/>
        <v>2</v>
      </c>
      <c r="W650" s="11" t="str">
        <f t="shared" si="143"/>
        <v>0</v>
      </c>
      <c r="X650" s="11" t="str">
        <f t="shared" si="144"/>
        <v>5</v>
      </c>
    </row>
    <row r="651" spans="1:24" x14ac:dyDescent="0.35">
      <c r="A651" s="5">
        <v>14511</v>
      </c>
      <c r="B651" s="5">
        <v>12150922206</v>
      </c>
      <c r="C651" s="5">
        <v>726965</v>
      </c>
      <c r="D651" s="5">
        <v>3763461</v>
      </c>
      <c r="E651" s="6" t="s">
        <v>70</v>
      </c>
      <c r="F651" s="6" t="s">
        <v>71</v>
      </c>
      <c r="G651" s="6" t="s">
        <v>71</v>
      </c>
      <c r="H651" s="7"/>
      <c r="I651" s="35" t="str">
        <f t="shared" si="132"/>
        <v>150922</v>
      </c>
      <c r="J651" s="31" t="str">
        <f t="shared" si="133"/>
        <v>12</v>
      </c>
      <c r="N651" s="12" t="str">
        <f t="shared" si="134"/>
        <v>1</v>
      </c>
      <c r="O651" s="11" t="str">
        <f t="shared" si="135"/>
        <v>2</v>
      </c>
      <c r="P651" s="11" t="str">
        <f t="shared" si="136"/>
        <v>1</v>
      </c>
      <c r="Q651" s="11" t="str">
        <f t="shared" si="137"/>
        <v>5</v>
      </c>
      <c r="R651" s="11" t="str">
        <f t="shared" si="138"/>
        <v>0</v>
      </c>
      <c r="S651" s="11" t="str">
        <f t="shared" si="139"/>
        <v>9</v>
      </c>
      <c r="T651" s="11" t="str">
        <f t="shared" si="140"/>
        <v>2</v>
      </c>
      <c r="U651" s="11" t="str">
        <f t="shared" si="141"/>
        <v>2</v>
      </c>
      <c r="V651" s="11" t="str">
        <f t="shared" si="142"/>
        <v>2</v>
      </c>
      <c r="W651" s="11" t="str">
        <f t="shared" si="143"/>
        <v>0</v>
      </c>
      <c r="X651" s="11" t="str">
        <f t="shared" si="144"/>
        <v>6</v>
      </c>
    </row>
    <row r="652" spans="1:24" x14ac:dyDescent="0.35">
      <c r="A652" s="5">
        <v>14512</v>
      </c>
      <c r="B652" s="5">
        <v>12150922207</v>
      </c>
      <c r="C652" s="5">
        <v>726796</v>
      </c>
      <c r="D652" s="5">
        <v>3763537</v>
      </c>
      <c r="E652" s="6" t="s">
        <v>70</v>
      </c>
      <c r="F652" s="6" t="s">
        <v>71</v>
      </c>
      <c r="G652" s="6" t="s">
        <v>71</v>
      </c>
      <c r="H652" s="7"/>
      <c r="I652" s="35" t="str">
        <f t="shared" si="132"/>
        <v>150922</v>
      </c>
      <c r="J652" s="31" t="str">
        <f t="shared" si="133"/>
        <v>12</v>
      </c>
      <c r="N652" s="12" t="str">
        <f t="shared" si="134"/>
        <v>1</v>
      </c>
      <c r="O652" s="11" t="str">
        <f t="shared" si="135"/>
        <v>2</v>
      </c>
      <c r="P652" s="11" t="str">
        <f t="shared" si="136"/>
        <v>1</v>
      </c>
      <c r="Q652" s="11" t="str">
        <f t="shared" si="137"/>
        <v>5</v>
      </c>
      <c r="R652" s="11" t="str">
        <f t="shared" si="138"/>
        <v>0</v>
      </c>
      <c r="S652" s="11" t="str">
        <f t="shared" si="139"/>
        <v>9</v>
      </c>
      <c r="T652" s="11" t="str">
        <f t="shared" si="140"/>
        <v>2</v>
      </c>
      <c r="U652" s="11" t="str">
        <f t="shared" si="141"/>
        <v>2</v>
      </c>
      <c r="V652" s="11" t="str">
        <f t="shared" si="142"/>
        <v>2</v>
      </c>
      <c r="W652" s="11" t="str">
        <f t="shared" si="143"/>
        <v>0</v>
      </c>
      <c r="X652" s="11" t="str">
        <f t="shared" si="144"/>
        <v>7</v>
      </c>
    </row>
    <row r="653" spans="1:24" x14ac:dyDescent="0.35">
      <c r="A653" s="5">
        <v>14513</v>
      </c>
      <c r="B653" s="5">
        <v>12150922208</v>
      </c>
      <c r="C653" s="5">
        <v>726748</v>
      </c>
      <c r="D653" s="5">
        <v>3763559</v>
      </c>
      <c r="E653" s="6" t="s">
        <v>70</v>
      </c>
      <c r="F653" s="6" t="s">
        <v>71</v>
      </c>
      <c r="G653" s="6" t="s">
        <v>71</v>
      </c>
      <c r="H653" s="7"/>
      <c r="I653" s="35" t="str">
        <f t="shared" si="132"/>
        <v>150922</v>
      </c>
      <c r="J653" s="31" t="str">
        <f t="shared" si="133"/>
        <v>12</v>
      </c>
      <c r="N653" s="12" t="str">
        <f t="shared" si="134"/>
        <v>1</v>
      </c>
      <c r="O653" s="11" t="str">
        <f t="shared" si="135"/>
        <v>2</v>
      </c>
      <c r="P653" s="11" t="str">
        <f t="shared" si="136"/>
        <v>1</v>
      </c>
      <c r="Q653" s="11" t="str">
        <f t="shared" si="137"/>
        <v>5</v>
      </c>
      <c r="R653" s="11" t="str">
        <f t="shared" si="138"/>
        <v>0</v>
      </c>
      <c r="S653" s="11" t="str">
        <f t="shared" si="139"/>
        <v>9</v>
      </c>
      <c r="T653" s="11" t="str">
        <f t="shared" si="140"/>
        <v>2</v>
      </c>
      <c r="U653" s="11" t="str">
        <f t="shared" si="141"/>
        <v>2</v>
      </c>
      <c r="V653" s="11" t="str">
        <f t="shared" si="142"/>
        <v>2</v>
      </c>
      <c r="W653" s="11" t="str">
        <f t="shared" si="143"/>
        <v>0</v>
      </c>
      <c r="X653" s="11" t="str">
        <f t="shared" si="144"/>
        <v>8</v>
      </c>
    </row>
    <row r="654" spans="1:24" x14ac:dyDescent="0.35">
      <c r="A654" s="5">
        <v>14514</v>
      </c>
      <c r="B654" s="5">
        <v>12150922209</v>
      </c>
      <c r="C654" s="5">
        <v>726702</v>
      </c>
      <c r="D654" s="5">
        <v>3763602</v>
      </c>
      <c r="E654" s="6" t="s">
        <v>70</v>
      </c>
      <c r="F654" s="6" t="s">
        <v>71</v>
      </c>
      <c r="G654" s="6" t="s">
        <v>71</v>
      </c>
      <c r="H654" s="7"/>
      <c r="I654" s="35" t="str">
        <f t="shared" si="132"/>
        <v>150922</v>
      </c>
      <c r="J654" s="31" t="str">
        <f t="shared" si="133"/>
        <v>12</v>
      </c>
      <c r="N654" s="12" t="str">
        <f t="shared" si="134"/>
        <v>1</v>
      </c>
      <c r="O654" s="11" t="str">
        <f t="shared" si="135"/>
        <v>2</v>
      </c>
      <c r="P654" s="11" t="str">
        <f t="shared" si="136"/>
        <v>1</v>
      </c>
      <c r="Q654" s="11" t="str">
        <f t="shared" si="137"/>
        <v>5</v>
      </c>
      <c r="R654" s="11" t="str">
        <f t="shared" si="138"/>
        <v>0</v>
      </c>
      <c r="S654" s="11" t="str">
        <f t="shared" si="139"/>
        <v>9</v>
      </c>
      <c r="T654" s="11" t="str">
        <f t="shared" si="140"/>
        <v>2</v>
      </c>
      <c r="U654" s="11" t="str">
        <f t="shared" si="141"/>
        <v>2</v>
      </c>
      <c r="V654" s="11" t="str">
        <f t="shared" si="142"/>
        <v>2</v>
      </c>
      <c r="W654" s="11" t="str">
        <f t="shared" si="143"/>
        <v>0</v>
      </c>
      <c r="X654" s="11" t="str">
        <f t="shared" si="144"/>
        <v>9</v>
      </c>
    </row>
    <row r="655" spans="1:24" x14ac:dyDescent="0.35">
      <c r="A655" s="5">
        <v>14515</v>
      </c>
      <c r="B655" s="5">
        <v>12150922210</v>
      </c>
      <c r="C655" s="5">
        <v>726679</v>
      </c>
      <c r="D655" s="5">
        <v>3763621</v>
      </c>
      <c r="E655" s="6" t="s">
        <v>70</v>
      </c>
      <c r="F655" s="6" t="s">
        <v>71</v>
      </c>
      <c r="G655" s="6" t="s">
        <v>71</v>
      </c>
      <c r="H655" s="7"/>
      <c r="I655" s="35" t="str">
        <f t="shared" si="132"/>
        <v>150922</v>
      </c>
      <c r="J655" s="31" t="str">
        <f t="shared" si="133"/>
        <v>12</v>
      </c>
      <c r="N655" s="12" t="str">
        <f t="shared" si="134"/>
        <v>1</v>
      </c>
      <c r="O655" s="11" t="str">
        <f t="shared" si="135"/>
        <v>2</v>
      </c>
      <c r="P655" s="11" t="str">
        <f t="shared" si="136"/>
        <v>1</v>
      </c>
      <c r="Q655" s="11" t="str">
        <f t="shared" si="137"/>
        <v>5</v>
      </c>
      <c r="R655" s="11" t="str">
        <f t="shared" si="138"/>
        <v>0</v>
      </c>
      <c r="S655" s="11" t="str">
        <f t="shared" si="139"/>
        <v>9</v>
      </c>
      <c r="T655" s="11" t="str">
        <f t="shared" si="140"/>
        <v>2</v>
      </c>
      <c r="U655" s="11" t="str">
        <f t="shared" si="141"/>
        <v>2</v>
      </c>
      <c r="V655" s="11" t="str">
        <f t="shared" si="142"/>
        <v>2</v>
      </c>
      <c r="W655" s="11" t="str">
        <f t="shared" si="143"/>
        <v>1</v>
      </c>
      <c r="X655" s="11" t="str">
        <f t="shared" si="144"/>
        <v>0</v>
      </c>
    </row>
    <row r="656" spans="1:24" x14ac:dyDescent="0.35">
      <c r="A656" s="5">
        <v>14516</v>
      </c>
      <c r="B656" s="5">
        <v>12150922211</v>
      </c>
      <c r="C656" s="5">
        <v>726663</v>
      </c>
      <c r="D656" s="5">
        <v>3763640</v>
      </c>
      <c r="E656" s="6" t="s">
        <v>70</v>
      </c>
      <c r="F656" s="6" t="s">
        <v>71</v>
      </c>
      <c r="G656" s="6" t="s">
        <v>71</v>
      </c>
      <c r="H656" s="7"/>
      <c r="I656" s="35" t="str">
        <f t="shared" si="132"/>
        <v>150922</v>
      </c>
      <c r="J656" s="31" t="str">
        <f t="shared" si="133"/>
        <v>12</v>
      </c>
      <c r="N656" s="12" t="str">
        <f t="shared" si="134"/>
        <v>1</v>
      </c>
      <c r="O656" s="11" t="str">
        <f t="shared" si="135"/>
        <v>2</v>
      </c>
      <c r="P656" s="11" t="str">
        <f t="shared" si="136"/>
        <v>1</v>
      </c>
      <c r="Q656" s="11" t="str">
        <f t="shared" si="137"/>
        <v>5</v>
      </c>
      <c r="R656" s="11" t="str">
        <f t="shared" si="138"/>
        <v>0</v>
      </c>
      <c r="S656" s="11" t="str">
        <f t="shared" si="139"/>
        <v>9</v>
      </c>
      <c r="T656" s="11" t="str">
        <f t="shared" si="140"/>
        <v>2</v>
      </c>
      <c r="U656" s="11" t="str">
        <f t="shared" si="141"/>
        <v>2</v>
      </c>
      <c r="V656" s="11" t="str">
        <f t="shared" si="142"/>
        <v>2</v>
      </c>
      <c r="W656" s="11" t="str">
        <f t="shared" si="143"/>
        <v>1</v>
      </c>
      <c r="X656" s="11" t="str">
        <f t="shared" si="144"/>
        <v>1</v>
      </c>
    </row>
    <row r="657" spans="1:24" x14ac:dyDescent="0.35">
      <c r="A657" s="5">
        <v>14517</v>
      </c>
      <c r="B657" s="5">
        <v>12150922212</v>
      </c>
      <c r="C657" s="5">
        <v>726710</v>
      </c>
      <c r="D657" s="5">
        <v>3763663</v>
      </c>
      <c r="E657" s="6" t="s">
        <v>70</v>
      </c>
      <c r="F657" s="6" t="s">
        <v>71</v>
      </c>
      <c r="G657" s="6" t="s">
        <v>71</v>
      </c>
      <c r="H657" s="7"/>
      <c r="I657" s="35" t="str">
        <f t="shared" si="132"/>
        <v>150922</v>
      </c>
      <c r="J657" s="31" t="str">
        <f t="shared" si="133"/>
        <v>12</v>
      </c>
      <c r="N657" s="12" t="str">
        <f t="shared" si="134"/>
        <v>1</v>
      </c>
      <c r="O657" s="11" t="str">
        <f t="shared" si="135"/>
        <v>2</v>
      </c>
      <c r="P657" s="11" t="str">
        <f t="shared" si="136"/>
        <v>1</v>
      </c>
      <c r="Q657" s="11" t="str">
        <f t="shared" si="137"/>
        <v>5</v>
      </c>
      <c r="R657" s="11" t="str">
        <f t="shared" si="138"/>
        <v>0</v>
      </c>
      <c r="S657" s="11" t="str">
        <f t="shared" si="139"/>
        <v>9</v>
      </c>
      <c r="T657" s="11" t="str">
        <f t="shared" si="140"/>
        <v>2</v>
      </c>
      <c r="U657" s="11" t="str">
        <f t="shared" si="141"/>
        <v>2</v>
      </c>
      <c r="V657" s="11" t="str">
        <f t="shared" si="142"/>
        <v>2</v>
      </c>
      <c r="W657" s="11" t="str">
        <f t="shared" si="143"/>
        <v>1</v>
      </c>
      <c r="X657" s="11" t="str">
        <f t="shared" si="144"/>
        <v>2</v>
      </c>
    </row>
    <row r="658" spans="1:24" x14ac:dyDescent="0.35">
      <c r="A658" s="5">
        <v>14518</v>
      </c>
      <c r="B658" s="5">
        <v>12150922213</v>
      </c>
      <c r="C658" s="5">
        <v>726710.1</v>
      </c>
      <c r="D658" s="5">
        <v>3763663.3</v>
      </c>
      <c r="E658" s="6" t="s">
        <v>70</v>
      </c>
      <c r="F658" s="6" t="s">
        <v>71</v>
      </c>
      <c r="G658" s="6" t="s">
        <v>71</v>
      </c>
      <c r="H658" s="7"/>
      <c r="I658" s="35" t="str">
        <f t="shared" si="132"/>
        <v>150922</v>
      </c>
      <c r="J658" s="31" t="str">
        <f t="shared" si="133"/>
        <v>12</v>
      </c>
      <c r="N658" s="12" t="str">
        <f t="shared" si="134"/>
        <v>1</v>
      </c>
      <c r="O658" s="11" t="str">
        <f t="shared" si="135"/>
        <v>2</v>
      </c>
      <c r="P658" s="11" t="str">
        <f t="shared" si="136"/>
        <v>1</v>
      </c>
      <c r="Q658" s="11" t="str">
        <f t="shared" si="137"/>
        <v>5</v>
      </c>
      <c r="R658" s="11" t="str">
        <f t="shared" si="138"/>
        <v>0</v>
      </c>
      <c r="S658" s="11" t="str">
        <f t="shared" si="139"/>
        <v>9</v>
      </c>
      <c r="T658" s="11" t="str">
        <f t="shared" si="140"/>
        <v>2</v>
      </c>
      <c r="U658" s="11" t="str">
        <f t="shared" si="141"/>
        <v>2</v>
      </c>
      <c r="V658" s="11" t="str">
        <f t="shared" si="142"/>
        <v>2</v>
      </c>
      <c r="W658" s="11" t="str">
        <f t="shared" si="143"/>
        <v>1</v>
      </c>
      <c r="X658" s="11" t="str">
        <f t="shared" si="144"/>
        <v>3</v>
      </c>
    </row>
    <row r="659" spans="1:24" x14ac:dyDescent="0.35">
      <c r="A659" s="5">
        <v>14519</v>
      </c>
      <c r="B659" s="5">
        <v>12150922214</v>
      </c>
      <c r="C659" s="5">
        <v>726710.2</v>
      </c>
      <c r="D659" s="5">
        <v>3763663.5</v>
      </c>
      <c r="E659" s="6" t="s">
        <v>70</v>
      </c>
      <c r="F659" s="6" t="s">
        <v>71</v>
      </c>
      <c r="G659" s="6" t="s">
        <v>71</v>
      </c>
      <c r="H659" s="7"/>
      <c r="I659" s="35" t="str">
        <f t="shared" si="132"/>
        <v>150922</v>
      </c>
      <c r="J659" s="31" t="str">
        <f t="shared" si="133"/>
        <v>12</v>
      </c>
      <c r="N659" s="12" t="str">
        <f t="shared" si="134"/>
        <v>1</v>
      </c>
      <c r="O659" s="11" t="str">
        <f t="shared" si="135"/>
        <v>2</v>
      </c>
      <c r="P659" s="11" t="str">
        <f t="shared" si="136"/>
        <v>1</v>
      </c>
      <c r="Q659" s="11" t="str">
        <f t="shared" si="137"/>
        <v>5</v>
      </c>
      <c r="R659" s="11" t="str">
        <f t="shared" si="138"/>
        <v>0</v>
      </c>
      <c r="S659" s="11" t="str">
        <f t="shared" si="139"/>
        <v>9</v>
      </c>
      <c r="T659" s="11" t="str">
        <f t="shared" si="140"/>
        <v>2</v>
      </c>
      <c r="U659" s="11" t="str">
        <f t="shared" si="141"/>
        <v>2</v>
      </c>
      <c r="V659" s="11" t="str">
        <f t="shared" si="142"/>
        <v>2</v>
      </c>
      <c r="W659" s="11" t="str">
        <f t="shared" si="143"/>
        <v>1</v>
      </c>
      <c r="X659" s="11" t="str">
        <f t="shared" si="144"/>
        <v>4</v>
      </c>
    </row>
    <row r="660" spans="1:24" x14ac:dyDescent="0.35">
      <c r="A660" s="5">
        <v>14520</v>
      </c>
      <c r="B660" s="5">
        <v>12150922215</v>
      </c>
      <c r="C660" s="5">
        <v>726817</v>
      </c>
      <c r="D660" s="5">
        <v>3763469</v>
      </c>
      <c r="E660" s="6" t="s">
        <v>70</v>
      </c>
      <c r="F660" s="6" t="s">
        <v>71</v>
      </c>
      <c r="G660" s="6" t="s">
        <v>71</v>
      </c>
      <c r="H660" s="7"/>
      <c r="I660" s="35" t="str">
        <f t="shared" si="132"/>
        <v>150922</v>
      </c>
      <c r="J660" s="31" t="str">
        <f t="shared" si="133"/>
        <v>12</v>
      </c>
      <c r="N660" s="12" t="str">
        <f t="shared" si="134"/>
        <v>1</v>
      </c>
      <c r="O660" s="11" t="str">
        <f t="shared" si="135"/>
        <v>2</v>
      </c>
      <c r="P660" s="11" t="str">
        <f t="shared" si="136"/>
        <v>1</v>
      </c>
      <c r="Q660" s="11" t="str">
        <f t="shared" si="137"/>
        <v>5</v>
      </c>
      <c r="R660" s="11" t="str">
        <f t="shared" si="138"/>
        <v>0</v>
      </c>
      <c r="S660" s="11" t="str">
        <f t="shared" si="139"/>
        <v>9</v>
      </c>
      <c r="T660" s="11" t="str">
        <f t="shared" si="140"/>
        <v>2</v>
      </c>
      <c r="U660" s="11" t="str">
        <f t="shared" si="141"/>
        <v>2</v>
      </c>
      <c r="V660" s="11" t="str">
        <f t="shared" si="142"/>
        <v>2</v>
      </c>
      <c r="W660" s="11" t="str">
        <f t="shared" si="143"/>
        <v>1</v>
      </c>
      <c r="X660" s="11" t="str">
        <f t="shared" si="144"/>
        <v>5</v>
      </c>
    </row>
    <row r="661" spans="1:24" x14ac:dyDescent="0.35">
      <c r="A661" s="5">
        <v>14521</v>
      </c>
      <c r="B661" s="5">
        <v>12150922216</v>
      </c>
      <c r="C661" s="5">
        <v>726815</v>
      </c>
      <c r="D661" s="5">
        <v>3763464</v>
      </c>
      <c r="E661" s="6" t="s">
        <v>70</v>
      </c>
      <c r="F661" s="6" t="s">
        <v>71</v>
      </c>
      <c r="G661" s="6" t="s">
        <v>71</v>
      </c>
      <c r="H661" s="7"/>
      <c r="I661" s="35" t="str">
        <f t="shared" si="132"/>
        <v>150922</v>
      </c>
      <c r="J661" s="31" t="str">
        <f t="shared" si="133"/>
        <v>12</v>
      </c>
      <c r="N661" s="12" t="str">
        <f t="shared" si="134"/>
        <v>1</v>
      </c>
      <c r="O661" s="11" t="str">
        <f t="shared" si="135"/>
        <v>2</v>
      </c>
      <c r="P661" s="11" t="str">
        <f t="shared" si="136"/>
        <v>1</v>
      </c>
      <c r="Q661" s="11" t="str">
        <f t="shared" si="137"/>
        <v>5</v>
      </c>
      <c r="R661" s="11" t="str">
        <f t="shared" si="138"/>
        <v>0</v>
      </c>
      <c r="S661" s="11" t="str">
        <f t="shared" si="139"/>
        <v>9</v>
      </c>
      <c r="T661" s="11" t="str">
        <f t="shared" si="140"/>
        <v>2</v>
      </c>
      <c r="U661" s="11" t="str">
        <f t="shared" si="141"/>
        <v>2</v>
      </c>
      <c r="V661" s="11" t="str">
        <f t="shared" si="142"/>
        <v>2</v>
      </c>
      <c r="W661" s="11" t="str">
        <f t="shared" si="143"/>
        <v>1</v>
      </c>
      <c r="X661" s="11" t="str">
        <f t="shared" si="144"/>
        <v>6</v>
      </c>
    </row>
    <row r="662" spans="1:24" x14ac:dyDescent="0.35">
      <c r="A662" s="5">
        <v>14522</v>
      </c>
      <c r="B662" s="5">
        <v>12150922217</v>
      </c>
      <c r="C662" s="5">
        <v>726814</v>
      </c>
      <c r="D662" s="5">
        <v>3763464</v>
      </c>
      <c r="E662" s="6" t="s">
        <v>70</v>
      </c>
      <c r="F662" s="6" t="s">
        <v>71</v>
      </c>
      <c r="G662" s="6" t="s">
        <v>71</v>
      </c>
      <c r="H662" s="7"/>
      <c r="I662" s="35" t="str">
        <f t="shared" si="132"/>
        <v>150922</v>
      </c>
      <c r="J662" s="31" t="str">
        <f t="shared" si="133"/>
        <v>12</v>
      </c>
      <c r="N662" s="12" t="str">
        <f t="shared" si="134"/>
        <v>1</v>
      </c>
      <c r="O662" s="11" t="str">
        <f t="shared" si="135"/>
        <v>2</v>
      </c>
      <c r="P662" s="11" t="str">
        <f t="shared" si="136"/>
        <v>1</v>
      </c>
      <c r="Q662" s="11" t="str">
        <f t="shared" si="137"/>
        <v>5</v>
      </c>
      <c r="R662" s="11" t="str">
        <f t="shared" si="138"/>
        <v>0</v>
      </c>
      <c r="S662" s="11" t="str">
        <f t="shared" si="139"/>
        <v>9</v>
      </c>
      <c r="T662" s="11" t="str">
        <f t="shared" si="140"/>
        <v>2</v>
      </c>
      <c r="U662" s="11" t="str">
        <f t="shared" si="141"/>
        <v>2</v>
      </c>
      <c r="V662" s="11" t="str">
        <f t="shared" si="142"/>
        <v>2</v>
      </c>
      <c r="W662" s="11" t="str">
        <f t="shared" si="143"/>
        <v>1</v>
      </c>
      <c r="X662" s="11" t="str">
        <f t="shared" si="144"/>
        <v>7</v>
      </c>
    </row>
    <row r="663" spans="1:24" x14ac:dyDescent="0.35">
      <c r="A663" s="5">
        <v>14523</v>
      </c>
      <c r="B663" s="5">
        <v>12150922218</v>
      </c>
      <c r="C663" s="5">
        <v>726858</v>
      </c>
      <c r="D663" s="5">
        <v>3763449</v>
      </c>
      <c r="E663" s="6" t="s">
        <v>70</v>
      </c>
      <c r="F663" s="6" t="s">
        <v>71</v>
      </c>
      <c r="G663" s="6" t="s">
        <v>71</v>
      </c>
      <c r="H663" s="7"/>
      <c r="I663" s="35" t="str">
        <f t="shared" si="132"/>
        <v>150922</v>
      </c>
      <c r="J663" s="31" t="str">
        <f t="shared" si="133"/>
        <v>12</v>
      </c>
      <c r="N663" s="12" t="str">
        <f t="shared" si="134"/>
        <v>1</v>
      </c>
      <c r="O663" s="11" t="str">
        <f t="shared" si="135"/>
        <v>2</v>
      </c>
      <c r="P663" s="11" t="str">
        <f t="shared" si="136"/>
        <v>1</v>
      </c>
      <c r="Q663" s="11" t="str">
        <f t="shared" si="137"/>
        <v>5</v>
      </c>
      <c r="R663" s="11" t="str">
        <f t="shared" si="138"/>
        <v>0</v>
      </c>
      <c r="S663" s="11" t="str">
        <f t="shared" si="139"/>
        <v>9</v>
      </c>
      <c r="T663" s="11" t="str">
        <f t="shared" si="140"/>
        <v>2</v>
      </c>
      <c r="U663" s="11" t="str">
        <f t="shared" si="141"/>
        <v>2</v>
      </c>
      <c r="V663" s="11" t="str">
        <f t="shared" si="142"/>
        <v>2</v>
      </c>
      <c r="W663" s="11" t="str">
        <f t="shared" si="143"/>
        <v>1</v>
      </c>
      <c r="X663" s="11" t="str">
        <f t="shared" si="144"/>
        <v>8</v>
      </c>
    </row>
    <row r="664" spans="1:24" x14ac:dyDescent="0.35">
      <c r="A664" s="5">
        <v>14524</v>
      </c>
      <c r="B664" s="5">
        <v>12150922219</v>
      </c>
      <c r="C664" s="5">
        <v>726899</v>
      </c>
      <c r="D664" s="5">
        <v>3763441</v>
      </c>
      <c r="E664" s="6" t="s">
        <v>70</v>
      </c>
      <c r="F664" s="6" t="s">
        <v>71</v>
      </c>
      <c r="G664" s="6" t="s">
        <v>71</v>
      </c>
      <c r="H664" s="7"/>
      <c r="I664" s="35" t="str">
        <f t="shared" si="132"/>
        <v>150922</v>
      </c>
      <c r="J664" s="31" t="str">
        <f t="shared" si="133"/>
        <v>12</v>
      </c>
      <c r="N664" s="12" t="str">
        <f t="shared" si="134"/>
        <v>1</v>
      </c>
      <c r="O664" s="11" t="str">
        <f t="shared" si="135"/>
        <v>2</v>
      </c>
      <c r="P664" s="11" t="str">
        <f t="shared" si="136"/>
        <v>1</v>
      </c>
      <c r="Q664" s="11" t="str">
        <f t="shared" si="137"/>
        <v>5</v>
      </c>
      <c r="R664" s="11" t="str">
        <f t="shared" si="138"/>
        <v>0</v>
      </c>
      <c r="S664" s="11" t="str">
        <f t="shared" si="139"/>
        <v>9</v>
      </c>
      <c r="T664" s="11" t="str">
        <f t="shared" si="140"/>
        <v>2</v>
      </c>
      <c r="U664" s="11" t="str">
        <f t="shared" si="141"/>
        <v>2</v>
      </c>
      <c r="V664" s="11" t="str">
        <f t="shared" si="142"/>
        <v>2</v>
      </c>
      <c r="W664" s="11" t="str">
        <f t="shared" si="143"/>
        <v>1</v>
      </c>
      <c r="X664" s="11" t="str">
        <f t="shared" si="144"/>
        <v>9</v>
      </c>
    </row>
    <row r="665" spans="1:24" x14ac:dyDescent="0.35">
      <c r="A665" s="5">
        <v>14525</v>
      </c>
      <c r="B665" s="5">
        <v>12150922220</v>
      </c>
      <c r="C665" s="5">
        <v>726941</v>
      </c>
      <c r="D665" s="5">
        <v>3763415</v>
      </c>
      <c r="E665" s="6" t="s">
        <v>70</v>
      </c>
      <c r="F665" s="6" t="s">
        <v>71</v>
      </c>
      <c r="G665" s="6" t="s">
        <v>71</v>
      </c>
      <c r="H665" s="7"/>
      <c r="I665" s="35" t="str">
        <f t="shared" si="132"/>
        <v>150922</v>
      </c>
      <c r="J665" s="31" t="str">
        <f t="shared" si="133"/>
        <v>12</v>
      </c>
      <c r="N665" s="12" t="str">
        <f t="shared" si="134"/>
        <v>1</v>
      </c>
      <c r="O665" s="11" t="str">
        <f t="shared" si="135"/>
        <v>2</v>
      </c>
      <c r="P665" s="11" t="str">
        <f t="shared" si="136"/>
        <v>1</v>
      </c>
      <c r="Q665" s="11" t="str">
        <f t="shared" si="137"/>
        <v>5</v>
      </c>
      <c r="R665" s="11" t="str">
        <f t="shared" si="138"/>
        <v>0</v>
      </c>
      <c r="S665" s="11" t="str">
        <f t="shared" si="139"/>
        <v>9</v>
      </c>
      <c r="T665" s="11" t="str">
        <f t="shared" si="140"/>
        <v>2</v>
      </c>
      <c r="U665" s="11" t="str">
        <f t="shared" si="141"/>
        <v>2</v>
      </c>
      <c r="V665" s="11" t="str">
        <f t="shared" si="142"/>
        <v>2</v>
      </c>
      <c r="W665" s="11" t="str">
        <f t="shared" si="143"/>
        <v>2</v>
      </c>
      <c r="X665" s="11" t="str">
        <f t="shared" si="144"/>
        <v>0</v>
      </c>
    </row>
    <row r="666" spans="1:24" x14ac:dyDescent="0.35">
      <c r="A666" s="5">
        <v>14526</v>
      </c>
      <c r="B666" s="5">
        <v>12150922221</v>
      </c>
      <c r="C666" s="5">
        <v>726792</v>
      </c>
      <c r="D666" s="5">
        <v>3763415</v>
      </c>
      <c r="E666" s="6" t="s">
        <v>70</v>
      </c>
      <c r="F666" s="6" t="s">
        <v>71</v>
      </c>
      <c r="G666" s="6" t="s">
        <v>71</v>
      </c>
      <c r="H666" s="7"/>
      <c r="I666" s="35" t="str">
        <f t="shared" si="132"/>
        <v>150922</v>
      </c>
      <c r="J666" s="31" t="str">
        <f t="shared" si="133"/>
        <v>12</v>
      </c>
      <c r="N666" s="12" t="str">
        <f t="shared" si="134"/>
        <v>1</v>
      </c>
      <c r="O666" s="11" t="str">
        <f t="shared" si="135"/>
        <v>2</v>
      </c>
      <c r="P666" s="11" t="str">
        <f t="shared" si="136"/>
        <v>1</v>
      </c>
      <c r="Q666" s="11" t="str">
        <f t="shared" si="137"/>
        <v>5</v>
      </c>
      <c r="R666" s="11" t="str">
        <f t="shared" si="138"/>
        <v>0</v>
      </c>
      <c r="S666" s="11" t="str">
        <f t="shared" si="139"/>
        <v>9</v>
      </c>
      <c r="T666" s="11" t="str">
        <f t="shared" si="140"/>
        <v>2</v>
      </c>
      <c r="U666" s="11" t="str">
        <f t="shared" si="141"/>
        <v>2</v>
      </c>
      <c r="V666" s="11" t="str">
        <f t="shared" si="142"/>
        <v>2</v>
      </c>
      <c r="W666" s="11" t="str">
        <f t="shared" si="143"/>
        <v>2</v>
      </c>
      <c r="X666" s="11" t="str">
        <f t="shared" si="144"/>
        <v>1</v>
      </c>
    </row>
    <row r="667" spans="1:24" x14ac:dyDescent="0.35">
      <c r="A667" s="5">
        <v>14527</v>
      </c>
      <c r="B667" s="5">
        <v>12150922222</v>
      </c>
      <c r="C667" s="5">
        <v>726789</v>
      </c>
      <c r="D667" s="5">
        <v>3763414</v>
      </c>
      <c r="E667" s="6" t="s">
        <v>70</v>
      </c>
      <c r="F667" s="6" t="s">
        <v>71</v>
      </c>
      <c r="G667" s="6" t="s">
        <v>71</v>
      </c>
      <c r="H667" s="7"/>
      <c r="I667" s="35" t="str">
        <f t="shared" si="132"/>
        <v>150922</v>
      </c>
      <c r="J667" s="31" t="str">
        <f t="shared" si="133"/>
        <v>12</v>
      </c>
      <c r="N667" s="12" t="str">
        <f t="shared" si="134"/>
        <v>1</v>
      </c>
      <c r="O667" s="11" t="str">
        <f t="shared" si="135"/>
        <v>2</v>
      </c>
      <c r="P667" s="11" t="str">
        <f t="shared" si="136"/>
        <v>1</v>
      </c>
      <c r="Q667" s="11" t="str">
        <f t="shared" si="137"/>
        <v>5</v>
      </c>
      <c r="R667" s="11" t="str">
        <f t="shared" si="138"/>
        <v>0</v>
      </c>
      <c r="S667" s="11" t="str">
        <f t="shared" si="139"/>
        <v>9</v>
      </c>
      <c r="T667" s="11" t="str">
        <f t="shared" si="140"/>
        <v>2</v>
      </c>
      <c r="U667" s="11" t="str">
        <f t="shared" si="141"/>
        <v>2</v>
      </c>
      <c r="V667" s="11" t="str">
        <f t="shared" si="142"/>
        <v>2</v>
      </c>
      <c r="W667" s="11" t="str">
        <f t="shared" si="143"/>
        <v>2</v>
      </c>
      <c r="X667" s="11" t="str">
        <f t="shared" si="144"/>
        <v>2</v>
      </c>
    </row>
    <row r="668" spans="1:24" x14ac:dyDescent="0.35">
      <c r="A668" s="5">
        <v>14528</v>
      </c>
      <c r="B668" s="5">
        <v>12150922223</v>
      </c>
      <c r="C668" s="5">
        <v>726789</v>
      </c>
      <c r="D668" s="5">
        <v>3763413</v>
      </c>
      <c r="E668" s="6" t="s">
        <v>70</v>
      </c>
      <c r="F668" s="6" t="s">
        <v>71</v>
      </c>
      <c r="G668" s="6" t="s">
        <v>71</v>
      </c>
      <c r="H668" s="7"/>
      <c r="I668" s="35" t="str">
        <f t="shared" si="132"/>
        <v>150922</v>
      </c>
      <c r="J668" s="31" t="str">
        <f t="shared" si="133"/>
        <v>12</v>
      </c>
      <c r="N668" s="12" t="str">
        <f t="shared" si="134"/>
        <v>1</v>
      </c>
      <c r="O668" s="11" t="str">
        <f t="shared" si="135"/>
        <v>2</v>
      </c>
      <c r="P668" s="11" t="str">
        <f t="shared" si="136"/>
        <v>1</v>
      </c>
      <c r="Q668" s="11" t="str">
        <f t="shared" si="137"/>
        <v>5</v>
      </c>
      <c r="R668" s="11" t="str">
        <f t="shared" si="138"/>
        <v>0</v>
      </c>
      <c r="S668" s="11" t="str">
        <f t="shared" si="139"/>
        <v>9</v>
      </c>
      <c r="T668" s="11" t="str">
        <f t="shared" si="140"/>
        <v>2</v>
      </c>
      <c r="U668" s="11" t="str">
        <f t="shared" si="141"/>
        <v>2</v>
      </c>
      <c r="V668" s="11" t="str">
        <f t="shared" si="142"/>
        <v>2</v>
      </c>
      <c r="W668" s="11" t="str">
        <f t="shared" si="143"/>
        <v>2</v>
      </c>
      <c r="X668" s="11" t="str">
        <f t="shared" si="144"/>
        <v>3</v>
      </c>
    </row>
    <row r="669" spans="1:24" x14ac:dyDescent="0.35">
      <c r="A669" s="5">
        <v>14529</v>
      </c>
      <c r="B669" s="5">
        <v>12150922224</v>
      </c>
      <c r="C669" s="5">
        <v>726831</v>
      </c>
      <c r="D669" s="5">
        <v>3763398</v>
      </c>
      <c r="E669" s="6" t="s">
        <v>70</v>
      </c>
      <c r="F669" s="6" t="s">
        <v>71</v>
      </c>
      <c r="G669" s="6" t="s">
        <v>71</v>
      </c>
      <c r="H669" s="7"/>
      <c r="I669" s="35" t="str">
        <f t="shared" si="132"/>
        <v>150922</v>
      </c>
      <c r="J669" s="31" t="str">
        <f t="shared" si="133"/>
        <v>12</v>
      </c>
      <c r="N669" s="12" t="str">
        <f t="shared" si="134"/>
        <v>1</v>
      </c>
      <c r="O669" s="11" t="str">
        <f t="shared" si="135"/>
        <v>2</v>
      </c>
      <c r="P669" s="11" t="str">
        <f t="shared" si="136"/>
        <v>1</v>
      </c>
      <c r="Q669" s="11" t="str">
        <f t="shared" si="137"/>
        <v>5</v>
      </c>
      <c r="R669" s="11" t="str">
        <f t="shared" si="138"/>
        <v>0</v>
      </c>
      <c r="S669" s="11" t="str">
        <f t="shared" si="139"/>
        <v>9</v>
      </c>
      <c r="T669" s="11" t="str">
        <f t="shared" si="140"/>
        <v>2</v>
      </c>
      <c r="U669" s="11" t="str">
        <f t="shared" si="141"/>
        <v>2</v>
      </c>
      <c r="V669" s="11" t="str">
        <f t="shared" si="142"/>
        <v>2</v>
      </c>
      <c r="W669" s="11" t="str">
        <f t="shared" si="143"/>
        <v>2</v>
      </c>
      <c r="X669" s="11" t="str">
        <f t="shared" si="144"/>
        <v>4</v>
      </c>
    </row>
    <row r="670" spans="1:24" x14ac:dyDescent="0.35">
      <c r="A670" s="5">
        <v>14530</v>
      </c>
      <c r="B670" s="5">
        <v>12150922225</v>
      </c>
      <c r="C670" s="5">
        <v>726873</v>
      </c>
      <c r="D670" s="5">
        <v>3763383</v>
      </c>
      <c r="E670" s="6" t="s">
        <v>70</v>
      </c>
      <c r="F670" s="6" t="s">
        <v>71</v>
      </c>
      <c r="G670" s="6" t="s">
        <v>71</v>
      </c>
      <c r="H670" s="7"/>
      <c r="I670" s="35" t="str">
        <f t="shared" si="132"/>
        <v>150922</v>
      </c>
      <c r="J670" s="31" t="str">
        <f t="shared" si="133"/>
        <v>12</v>
      </c>
      <c r="N670" s="12" t="str">
        <f t="shared" si="134"/>
        <v>1</v>
      </c>
      <c r="O670" s="11" t="str">
        <f t="shared" si="135"/>
        <v>2</v>
      </c>
      <c r="P670" s="11" t="str">
        <f t="shared" si="136"/>
        <v>1</v>
      </c>
      <c r="Q670" s="11" t="str">
        <f t="shared" si="137"/>
        <v>5</v>
      </c>
      <c r="R670" s="11" t="str">
        <f t="shared" si="138"/>
        <v>0</v>
      </c>
      <c r="S670" s="11" t="str">
        <f t="shared" si="139"/>
        <v>9</v>
      </c>
      <c r="T670" s="11" t="str">
        <f t="shared" si="140"/>
        <v>2</v>
      </c>
      <c r="U670" s="11" t="str">
        <f t="shared" si="141"/>
        <v>2</v>
      </c>
      <c r="V670" s="11" t="str">
        <f t="shared" si="142"/>
        <v>2</v>
      </c>
      <c r="W670" s="11" t="str">
        <f t="shared" si="143"/>
        <v>2</v>
      </c>
      <c r="X670" s="11" t="str">
        <f t="shared" si="144"/>
        <v>5</v>
      </c>
    </row>
    <row r="671" spans="1:24" x14ac:dyDescent="0.35">
      <c r="A671" s="5">
        <v>14531</v>
      </c>
      <c r="B671" s="5">
        <v>12150922226</v>
      </c>
      <c r="C671" s="5">
        <v>726913</v>
      </c>
      <c r="D671" s="5">
        <v>3763361</v>
      </c>
      <c r="E671" s="6" t="s">
        <v>70</v>
      </c>
      <c r="F671" s="6" t="s">
        <v>71</v>
      </c>
      <c r="G671" s="6" t="s">
        <v>71</v>
      </c>
      <c r="H671" s="7"/>
      <c r="I671" s="35" t="str">
        <f t="shared" si="132"/>
        <v>150922</v>
      </c>
      <c r="J671" s="31" t="str">
        <f t="shared" si="133"/>
        <v>12</v>
      </c>
      <c r="N671" s="12" t="str">
        <f t="shared" si="134"/>
        <v>1</v>
      </c>
      <c r="O671" s="11" t="str">
        <f t="shared" si="135"/>
        <v>2</v>
      </c>
      <c r="P671" s="11" t="str">
        <f t="shared" si="136"/>
        <v>1</v>
      </c>
      <c r="Q671" s="11" t="str">
        <f t="shared" si="137"/>
        <v>5</v>
      </c>
      <c r="R671" s="11" t="str">
        <f t="shared" si="138"/>
        <v>0</v>
      </c>
      <c r="S671" s="11" t="str">
        <f t="shared" si="139"/>
        <v>9</v>
      </c>
      <c r="T671" s="11" t="str">
        <f t="shared" si="140"/>
        <v>2</v>
      </c>
      <c r="U671" s="11" t="str">
        <f t="shared" si="141"/>
        <v>2</v>
      </c>
      <c r="V671" s="11" t="str">
        <f t="shared" si="142"/>
        <v>2</v>
      </c>
      <c r="W671" s="11" t="str">
        <f t="shared" si="143"/>
        <v>2</v>
      </c>
      <c r="X671" s="11" t="str">
        <f t="shared" si="144"/>
        <v>6</v>
      </c>
    </row>
    <row r="672" spans="1:24" x14ac:dyDescent="0.35">
      <c r="A672" s="5">
        <v>14532</v>
      </c>
      <c r="B672" s="5">
        <v>12150922227</v>
      </c>
      <c r="C672" s="5">
        <v>726755</v>
      </c>
      <c r="D672" s="5">
        <v>3763436</v>
      </c>
      <c r="E672" s="6" t="s">
        <v>70</v>
      </c>
      <c r="F672" s="6" t="s">
        <v>71</v>
      </c>
      <c r="G672" s="6" t="s">
        <v>71</v>
      </c>
      <c r="H672" s="7"/>
      <c r="I672" s="35" t="str">
        <f t="shared" si="132"/>
        <v>150922</v>
      </c>
      <c r="J672" s="31" t="str">
        <f t="shared" si="133"/>
        <v>12</v>
      </c>
      <c r="N672" s="12" t="str">
        <f t="shared" si="134"/>
        <v>1</v>
      </c>
      <c r="O672" s="11" t="str">
        <f t="shared" si="135"/>
        <v>2</v>
      </c>
      <c r="P672" s="11" t="str">
        <f t="shared" si="136"/>
        <v>1</v>
      </c>
      <c r="Q672" s="11" t="str">
        <f t="shared" si="137"/>
        <v>5</v>
      </c>
      <c r="R672" s="11" t="str">
        <f t="shared" si="138"/>
        <v>0</v>
      </c>
      <c r="S672" s="11" t="str">
        <f t="shared" si="139"/>
        <v>9</v>
      </c>
      <c r="T672" s="11" t="str">
        <f t="shared" si="140"/>
        <v>2</v>
      </c>
      <c r="U672" s="11" t="str">
        <f t="shared" si="141"/>
        <v>2</v>
      </c>
      <c r="V672" s="11" t="str">
        <f t="shared" si="142"/>
        <v>2</v>
      </c>
      <c r="W672" s="11" t="str">
        <f t="shared" si="143"/>
        <v>2</v>
      </c>
      <c r="X672" s="11" t="str">
        <f t="shared" si="144"/>
        <v>7</v>
      </c>
    </row>
    <row r="673" spans="1:24" x14ac:dyDescent="0.35">
      <c r="A673" s="5">
        <v>14533</v>
      </c>
      <c r="B673" s="5">
        <v>12150922228</v>
      </c>
      <c r="C673" s="5">
        <v>726752</v>
      </c>
      <c r="D673" s="5">
        <v>3763437</v>
      </c>
      <c r="E673" s="6" t="s">
        <v>70</v>
      </c>
      <c r="F673" s="6" t="s">
        <v>71</v>
      </c>
      <c r="G673" s="6" t="s">
        <v>71</v>
      </c>
      <c r="H673" s="7"/>
      <c r="I673" s="35" t="str">
        <f t="shared" si="132"/>
        <v>150922</v>
      </c>
      <c r="J673" s="31" t="str">
        <f t="shared" si="133"/>
        <v>12</v>
      </c>
      <c r="N673" s="12" t="str">
        <f t="shared" si="134"/>
        <v>1</v>
      </c>
      <c r="O673" s="11" t="str">
        <f t="shared" si="135"/>
        <v>2</v>
      </c>
      <c r="P673" s="11" t="str">
        <f t="shared" si="136"/>
        <v>1</v>
      </c>
      <c r="Q673" s="11" t="str">
        <f t="shared" si="137"/>
        <v>5</v>
      </c>
      <c r="R673" s="11" t="str">
        <f t="shared" si="138"/>
        <v>0</v>
      </c>
      <c r="S673" s="11" t="str">
        <f t="shared" si="139"/>
        <v>9</v>
      </c>
      <c r="T673" s="11" t="str">
        <f t="shared" si="140"/>
        <v>2</v>
      </c>
      <c r="U673" s="11" t="str">
        <f t="shared" si="141"/>
        <v>2</v>
      </c>
      <c r="V673" s="11" t="str">
        <f t="shared" si="142"/>
        <v>2</v>
      </c>
      <c r="W673" s="11" t="str">
        <f t="shared" si="143"/>
        <v>2</v>
      </c>
      <c r="X673" s="11" t="str">
        <f t="shared" si="144"/>
        <v>8</v>
      </c>
    </row>
    <row r="674" spans="1:24" x14ac:dyDescent="0.35">
      <c r="A674" s="5">
        <v>14534</v>
      </c>
      <c r="B674" s="5">
        <v>12150922229</v>
      </c>
      <c r="C674" s="5">
        <v>726754</v>
      </c>
      <c r="D674" s="5">
        <v>3763436</v>
      </c>
      <c r="E674" s="6" t="s">
        <v>70</v>
      </c>
      <c r="F674" s="6" t="s">
        <v>71</v>
      </c>
      <c r="G674" s="6" t="s">
        <v>71</v>
      </c>
      <c r="H674" s="7"/>
      <c r="I674" s="35" t="str">
        <f t="shared" si="132"/>
        <v>150922</v>
      </c>
      <c r="J674" s="31" t="str">
        <f t="shared" si="133"/>
        <v>12</v>
      </c>
      <c r="N674" s="12" t="str">
        <f t="shared" si="134"/>
        <v>1</v>
      </c>
      <c r="O674" s="11" t="str">
        <f t="shared" si="135"/>
        <v>2</v>
      </c>
      <c r="P674" s="11" t="str">
        <f t="shared" si="136"/>
        <v>1</v>
      </c>
      <c r="Q674" s="11" t="str">
        <f t="shared" si="137"/>
        <v>5</v>
      </c>
      <c r="R674" s="11" t="str">
        <f t="shared" si="138"/>
        <v>0</v>
      </c>
      <c r="S674" s="11" t="str">
        <f t="shared" si="139"/>
        <v>9</v>
      </c>
      <c r="T674" s="11" t="str">
        <f t="shared" si="140"/>
        <v>2</v>
      </c>
      <c r="U674" s="11" t="str">
        <f t="shared" si="141"/>
        <v>2</v>
      </c>
      <c r="V674" s="11" t="str">
        <f t="shared" si="142"/>
        <v>2</v>
      </c>
      <c r="W674" s="11" t="str">
        <f t="shared" si="143"/>
        <v>2</v>
      </c>
      <c r="X674" s="11" t="str">
        <f t="shared" si="144"/>
        <v>9</v>
      </c>
    </row>
    <row r="675" spans="1:24" x14ac:dyDescent="0.35">
      <c r="A675" s="5">
        <v>14535</v>
      </c>
      <c r="B675" s="5">
        <v>12150922230</v>
      </c>
      <c r="C675" s="5">
        <v>726704</v>
      </c>
      <c r="D675" s="5">
        <v>3763461</v>
      </c>
      <c r="E675" s="6" t="s">
        <v>70</v>
      </c>
      <c r="F675" s="6" t="s">
        <v>71</v>
      </c>
      <c r="G675" s="6" t="s">
        <v>71</v>
      </c>
      <c r="H675" s="7"/>
      <c r="I675" s="35" t="str">
        <f t="shared" si="132"/>
        <v>150922</v>
      </c>
      <c r="J675" s="31" t="str">
        <f t="shared" si="133"/>
        <v>12</v>
      </c>
      <c r="N675" s="12" t="str">
        <f t="shared" si="134"/>
        <v>1</v>
      </c>
      <c r="O675" s="11" t="str">
        <f t="shared" si="135"/>
        <v>2</v>
      </c>
      <c r="P675" s="11" t="str">
        <f t="shared" si="136"/>
        <v>1</v>
      </c>
      <c r="Q675" s="11" t="str">
        <f t="shared" si="137"/>
        <v>5</v>
      </c>
      <c r="R675" s="11" t="str">
        <f t="shared" si="138"/>
        <v>0</v>
      </c>
      <c r="S675" s="11" t="str">
        <f t="shared" si="139"/>
        <v>9</v>
      </c>
      <c r="T675" s="11" t="str">
        <f t="shared" si="140"/>
        <v>2</v>
      </c>
      <c r="U675" s="11" t="str">
        <f t="shared" si="141"/>
        <v>2</v>
      </c>
      <c r="V675" s="11" t="str">
        <f t="shared" si="142"/>
        <v>2</v>
      </c>
      <c r="W675" s="11" t="str">
        <f t="shared" si="143"/>
        <v>3</v>
      </c>
      <c r="X675" s="11" t="str">
        <f t="shared" si="144"/>
        <v>0</v>
      </c>
    </row>
    <row r="676" spans="1:24" x14ac:dyDescent="0.35">
      <c r="A676" s="5">
        <v>14536</v>
      </c>
      <c r="B676" s="5">
        <v>12150922231</v>
      </c>
      <c r="C676" s="5">
        <v>726668</v>
      </c>
      <c r="D676" s="5">
        <v>3763484</v>
      </c>
      <c r="E676" s="6" t="s">
        <v>70</v>
      </c>
      <c r="F676" s="6" t="s">
        <v>71</v>
      </c>
      <c r="G676" s="6" t="s">
        <v>71</v>
      </c>
      <c r="H676" s="7"/>
      <c r="I676" s="35" t="str">
        <f t="shared" si="132"/>
        <v>150922</v>
      </c>
      <c r="J676" s="31" t="str">
        <f t="shared" si="133"/>
        <v>12</v>
      </c>
      <c r="N676" s="12" t="str">
        <f t="shared" si="134"/>
        <v>1</v>
      </c>
      <c r="O676" s="11" t="str">
        <f t="shared" si="135"/>
        <v>2</v>
      </c>
      <c r="P676" s="11" t="str">
        <f t="shared" si="136"/>
        <v>1</v>
      </c>
      <c r="Q676" s="11" t="str">
        <f t="shared" si="137"/>
        <v>5</v>
      </c>
      <c r="R676" s="11" t="str">
        <f t="shared" si="138"/>
        <v>0</v>
      </c>
      <c r="S676" s="11" t="str">
        <f t="shared" si="139"/>
        <v>9</v>
      </c>
      <c r="T676" s="11" t="str">
        <f t="shared" si="140"/>
        <v>2</v>
      </c>
      <c r="U676" s="11" t="str">
        <f t="shared" si="141"/>
        <v>2</v>
      </c>
      <c r="V676" s="11" t="str">
        <f t="shared" si="142"/>
        <v>2</v>
      </c>
      <c r="W676" s="11" t="str">
        <f t="shared" si="143"/>
        <v>3</v>
      </c>
      <c r="X676" s="11" t="str">
        <f t="shared" si="144"/>
        <v>1</v>
      </c>
    </row>
    <row r="677" spans="1:24" x14ac:dyDescent="0.35">
      <c r="A677" s="5">
        <v>14537</v>
      </c>
      <c r="B677" s="5">
        <v>12150922232</v>
      </c>
      <c r="C677" s="5">
        <v>726627</v>
      </c>
      <c r="D677" s="5">
        <v>3763516</v>
      </c>
      <c r="E677" s="6" t="s">
        <v>70</v>
      </c>
      <c r="F677" s="6" t="s">
        <v>70</v>
      </c>
      <c r="G677" s="6" t="s">
        <v>70</v>
      </c>
      <c r="H677" s="7"/>
      <c r="I677" s="35" t="str">
        <f t="shared" si="132"/>
        <v>150922</v>
      </c>
      <c r="J677" s="31" t="str">
        <f t="shared" si="133"/>
        <v>12</v>
      </c>
      <c r="N677" s="12" t="str">
        <f t="shared" si="134"/>
        <v>1</v>
      </c>
      <c r="O677" s="11" t="str">
        <f t="shared" si="135"/>
        <v>2</v>
      </c>
      <c r="P677" s="11" t="str">
        <f t="shared" si="136"/>
        <v>1</v>
      </c>
      <c r="Q677" s="11" t="str">
        <f t="shared" si="137"/>
        <v>5</v>
      </c>
      <c r="R677" s="11" t="str">
        <f t="shared" si="138"/>
        <v>0</v>
      </c>
      <c r="S677" s="11" t="str">
        <f t="shared" si="139"/>
        <v>9</v>
      </c>
      <c r="T677" s="11" t="str">
        <f t="shared" si="140"/>
        <v>2</v>
      </c>
      <c r="U677" s="11" t="str">
        <f t="shared" si="141"/>
        <v>2</v>
      </c>
      <c r="V677" s="11" t="str">
        <f t="shared" si="142"/>
        <v>2</v>
      </c>
      <c r="W677" s="11" t="str">
        <f t="shared" si="143"/>
        <v>3</v>
      </c>
      <c r="X677" s="11" t="str">
        <f t="shared" si="144"/>
        <v>2</v>
      </c>
    </row>
    <row r="678" spans="1:24" x14ac:dyDescent="0.35">
      <c r="A678" s="5">
        <v>14538</v>
      </c>
      <c r="B678" s="5">
        <v>12150922233</v>
      </c>
      <c r="C678" s="5">
        <v>726767</v>
      </c>
      <c r="D678" s="5">
        <v>3763377</v>
      </c>
      <c r="E678" s="6" t="s">
        <v>70</v>
      </c>
      <c r="F678" s="6" t="s">
        <v>71</v>
      </c>
      <c r="G678" s="6" t="s">
        <v>71</v>
      </c>
      <c r="H678" s="7"/>
      <c r="I678" s="35" t="str">
        <f t="shared" si="132"/>
        <v>150922</v>
      </c>
      <c r="J678" s="31" t="str">
        <f t="shared" si="133"/>
        <v>12</v>
      </c>
      <c r="N678" s="12" t="str">
        <f t="shared" si="134"/>
        <v>1</v>
      </c>
      <c r="O678" s="11" t="str">
        <f t="shared" si="135"/>
        <v>2</v>
      </c>
      <c r="P678" s="11" t="str">
        <f t="shared" si="136"/>
        <v>1</v>
      </c>
      <c r="Q678" s="11" t="str">
        <f t="shared" si="137"/>
        <v>5</v>
      </c>
      <c r="R678" s="11" t="str">
        <f t="shared" si="138"/>
        <v>0</v>
      </c>
      <c r="S678" s="11" t="str">
        <f t="shared" si="139"/>
        <v>9</v>
      </c>
      <c r="T678" s="11" t="str">
        <f t="shared" si="140"/>
        <v>2</v>
      </c>
      <c r="U678" s="11" t="str">
        <f t="shared" si="141"/>
        <v>2</v>
      </c>
      <c r="V678" s="11" t="str">
        <f t="shared" si="142"/>
        <v>2</v>
      </c>
      <c r="W678" s="11" t="str">
        <f t="shared" si="143"/>
        <v>3</v>
      </c>
      <c r="X678" s="11" t="str">
        <f t="shared" si="144"/>
        <v>3</v>
      </c>
    </row>
    <row r="679" spans="1:24" x14ac:dyDescent="0.35">
      <c r="A679" s="5">
        <v>14539</v>
      </c>
      <c r="B679" s="5">
        <v>12150922234</v>
      </c>
      <c r="C679" s="5">
        <v>726765</v>
      </c>
      <c r="D679" s="5">
        <v>3763361</v>
      </c>
      <c r="E679" s="6" t="s">
        <v>70</v>
      </c>
      <c r="F679" s="6" t="s">
        <v>71</v>
      </c>
      <c r="G679" s="6" t="s">
        <v>71</v>
      </c>
      <c r="H679" s="7"/>
      <c r="I679" s="35" t="str">
        <f t="shared" si="132"/>
        <v>150922</v>
      </c>
      <c r="J679" s="31" t="str">
        <f t="shared" si="133"/>
        <v>12</v>
      </c>
      <c r="N679" s="12" t="str">
        <f t="shared" si="134"/>
        <v>1</v>
      </c>
      <c r="O679" s="11" t="str">
        <f t="shared" si="135"/>
        <v>2</v>
      </c>
      <c r="P679" s="11" t="str">
        <f t="shared" si="136"/>
        <v>1</v>
      </c>
      <c r="Q679" s="11" t="str">
        <f t="shared" si="137"/>
        <v>5</v>
      </c>
      <c r="R679" s="11" t="str">
        <f t="shared" si="138"/>
        <v>0</v>
      </c>
      <c r="S679" s="11" t="str">
        <f t="shared" si="139"/>
        <v>9</v>
      </c>
      <c r="T679" s="11" t="str">
        <f t="shared" si="140"/>
        <v>2</v>
      </c>
      <c r="U679" s="11" t="str">
        <f t="shared" si="141"/>
        <v>2</v>
      </c>
      <c r="V679" s="11" t="str">
        <f t="shared" si="142"/>
        <v>2</v>
      </c>
      <c r="W679" s="11" t="str">
        <f t="shared" si="143"/>
        <v>3</v>
      </c>
      <c r="X679" s="11" t="str">
        <f t="shared" si="144"/>
        <v>4</v>
      </c>
    </row>
    <row r="680" spans="1:24" x14ac:dyDescent="0.35">
      <c r="A680" s="5">
        <v>14540</v>
      </c>
      <c r="B680" s="5">
        <v>12150922235</v>
      </c>
      <c r="C680" s="5">
        <v>726727</v>
      </c>
      <c r="D680" s="5">
        <v>3763377</v>
      </c>
      <c r="E680" s="6" t="s">
        <v>70</v>
      </c>
      <c r="F680" s="6" t="s">
        <v>71</v>
      </c>
      <c r="G680" s="6" t="s">
        <v>71</v>
      </c>
      <c r="H680" s="7"/>
      <c r="I680" s="35" t="str">
        <f t="shared" si="132"/>
        <v>150922</v>
      </c>
      <c r="J680" s="31" t="str">
        <f t="shared" si="133"/>
        <v>12</v>
      </c>
      <c r="N680" s="12" t="str">
        <f t="shared" si="134"/>
        <v>1</v>
      </c>
      <c r="O680" s="11" t="str">
        <f t="shared" si="135"/>
        <v>2</v>
      </c>
      <c r="P680" s="11" t="str">
        <f t="shared" si="136"/>
        <v>1</v>
      </c>
      <c r="Q680" s="11" t="str">
        <f t="shared" si="137"/>
        <v>5</v>
      </c>
      <c r="R680" s="11" t="str">
        <f t="shared" si="138"/>
        <v>0</v>
      </c>
      <c r="S680" s="11" t="str">
        <f t="shared" si="139"/>
        <v>9</v>
      </c>
      <c r="T680" s="11" t="str">
        <f t="shared" si="140"/>
        <v>2</v>
      </c>
      <c r="U680" s="11" t="str">
        <f t="shared" si="141"/>
        <v>2</v>
      </c>
      <c r="V680" s="11" t="str">
        <f t="shared" si="142"/>
        <v>2</v>
      </c>
      <c r="W680" s="11" t="str">
        <f t="shared" si="143"/>
        <v>3</v>
      </c>
      <c r="X680" s="11" t="str">
        <f t="shared" si="144"/>
        <v>5</v>
      </c>
    </row>
    <row r="681" spans="1:24" x14ac:dyDescent="0.35">
      <c r="A681" s="5">
        <v>14541</v>
      </c>
      <c r="B681" s="5">
        <v>12150922236</v>
      </c>
      <c r="C681" s="5">
        <v>726727.1</v>
      </c>
      <c r="D681" s="5">
        <v>3763377.5</v>
      </c>
      <c r="E681" s="6" t="s">
        <v>70</v>
      </c>
      <c r="F681" s="6" t="s">
        <v>71</v>
      </c>
      <c r="G681" s="6" t="s">
        <v>71</v>
      </c>
      <c r="H681" s="7"/>
      <c r="I681" s="35" t="str">
        <f t="shared" si="132"/>
        <v>150922</v>
      </c>
      <c r="J681" s="31" t="str">
        <f t="shared" si="133"/>
        <v>12</v>
      </c>
      <c r="N681" s="12" t="str">
        <f t="shared" si="134"/>
        <v>1</v>
      </c>
      <c r="O681" s="11" t="str">
        <f t="shared" si="135"/>
        <v>2</v>
      </c>
      <c r="P681" s="11" t="str">
        <f t="shared" si="136"/>
        <v>1</v>
      </c>
      <c r="Q681" s="11" t="str">
        <f t="shared" si="137"/>
        <v>5</v>
      </c>
      <c r="R681" s="11" t="str">
        <f t="shared" si="138"/>
        <v>0</v>
      </c>
      <c r="S681" s="11" t="str">
        <f t="shared" si="139"/>
        <v>9</v>
      </c>
      <c r="T681" s="11" t="str">
        <f t="shared" si="140"/>
        <v>2</v>
      </c>
      <c r="U681" s="11" t="str">
        <f t="shared" si="141"/>
        <v>2</v>
      </c>
      <c r="V681" s="11" t="str">
        <f t="shared" si="142"/>
        <v>2</v>
      </c>
      <c r="W681" s="11" t="str">
        <f t="shared" si="143"/>
        <v>3</v>
      </c>
      <c r="X681" s="11" t="str">
        <f t="shared" si="144"/>
        <v>6</v>
      </c>
    </row>
    <row r="682" spans="1:24" x14ac:dyDescent="0.35">
      <c r="A682" s="5">
        <v>14542</v>
      </c>
      <c r="B682" s="5">
        <v>12150922237</v>
      </c>
      <c r="C682" s="5">
        <v>726727.4</v>
      </c>
      <c r="D682" s="5">
        <v>3763377.8</v>
      </c>
      <c r="E682" s="6" t="s">
        <v>70</v>
      </c>
      <c r="F682" s="6" t="s">
        <v>71</v>
      </c>
      <c r="G682" s="6" t="s">
        <v>71</v>
      </c>
      <c r="H682" s="7"/>
      <c r="I682" s="35" t="str">
        <f t="shared" si="132"/>
        <v>150922</v>
      </c>
      <c r="J682" s="31" t="str">
        <f t="shared" si="133"/>
        <v>12</v>
      </c>
      <c r="N682" s="12" t="str">
        <f t="shared" si="134"/>
        <v>1</v>
      </c>
      <c r="O682" s="11" t="str">
        <f t="shared" si="135"/>
        <v>2</v>
      </c>
      <c r="P682" s="11" t="str">
        <f t="shared" si="136"/>
        <v>1</v>
      </c>
      <c r="Q682" s="11" t="str">
        <f t="shared" si="137"/>
        <v>5</v>
      </c>
      <c r="R682" s="11" t="str">
        <f t="shared" si="138"/>
        <v>0</v>
      </c>
      <c r="S682" s="11" t="str">
        <f t="shared" si="139"/>
        <v>9</v>
      </c>
      <c r="T682" s="11" t="str">
        <f t="shared" si="140"/>
        <v>2</v>
      </c>
      <c r="U682" s="11" t="str">
        <f t="shared" si="141"/>
        <v>2</v>
      </c>
      <c r="V682" s="11" t="str">
        <f t="shared" si="142"/>
        <v>2</v>
      </c>
      <c r="W682" s="11" t="str">
        <f t="shared" si="143"/>
        <v>3</v>
      </c>
      <c r="X682" s="11" t="str">
        <f t="shared" si="144"/>
        <v>7</v>
      </c>
    </row>
    <row r="683" spans="1:24" x14ac:dyDescent="0.35">
      <c r="A683" s="5">
        <v>14543</v>
      </c>
      <c r="B683" s="5">
        <v>12150922238</v>
      </c>
      <c r="C683" s="5">
        <v>726682</v>
      </c>
      <c r="D683" s="5">
        <v>3763397</v>
      </c>
      <c r="E683" s="6" t="s">
        <v>70</v>
      </c>
      <c r="F683" s="6" t="s">
        <v>71</v>
      </c>
      <c r="G683" s="6" t="s">
        <v>71</v>
      </c>
      <c r="H683" s="7"/>
      <c r="I683" s="35" t="str">
        <f t="shared" si="132"/>
        <v>150922</v>
      </c>
      <c r="J683" s="31" t="str">
        <f t="shared" si="133"/>
        <v>12</v>
      </c>
      <c r="N683" s="12" t="str">
        <f t="shared" si="134"/>
        <v>1</v>
      </c>
      <c r="O683" s="11" t="str">
        <f t="shared" si="135"/>
        <v>2</v>
      </c>
      <c r="P683" s="11" t="str">
        <f t="shared" si="136"/>
        <v>1</v>
      </c>
      <c r="Q683" s="11" t="str">
        <f t="shared" si="137"/>
        <v>5</v>
      </c>
      <c r="R683" s="11" t="str">
        <f t="shared" si="138"/>
        <v>0</v>
      </c>
      <c r="S683" s="11" t="str">
        <f t="shared" si="139"/>
        <v>9</v>
      </c>
      <c r="T683" s="11" t="str">
        <f t="shared" si="140"/>
        <v>2</v>
      </c>
      <c r="U683" s="11" t="str">
        <f t="shared" si="141"/>
        <v>2</v>
      </c>
      <c r="V683" s="11" t="str">
        <f t="shared" si="142"/>
        <v>2</v>
      </c>
      <c r="W683" s="11" t="str">
        <f t="shared" si="143"/>
        <v>3</v>
      </c>
      <c r="X683" s="11" t="str">
        <f t="shared" si="144"/>
        <v>8</v>
      </c>
    </row>
    <row r="684" spans="1:24" x14ac:dyDescent="0.35">
      <c r="A684" s="5">
        <v>14544</v>
      </c>
      <c r="B684" s="5">
        <v>12150922239</v>
      </c>
      <c r="C684" s="5">
        <v>726811</v>
      </c>
      <c r="D684" s="5">
        <v>3763338</v>
      </c>
      <c r="E684" s="6" t="s">
        <v>70</v>
      </c>
      <c r="F684" s="6" t="s">
        <v>71</v>
      </c>
      <c r="G684" s="6" t="s">
        <v>71</v>
      </c>
      <c r="H684" s="7"/>
      <c r="I684" s="35" t="str">
        <f t="shared" si="132"/>
        <v>150922</v>
      </c>
      <c r="J684" s="31" t="str">
        <f t="shared" si="133"/>
        <v>12</v>
      </c>
      <c r="N684" s="12" t="str">
        <f t="shared" si="134"/>
        <v>1</v>
      </c>
      <c r="O684" s="11" t="str">
        <f t="shared" si="135"/>
        <v>2</v>
      </c>
      <c r="P684" s="11" t="str">
        <f t="shared" si="136"/>
        <v>1</v>
      </c>
      <c r="Q684" s="11" t="str">
        <f t="shared" si="137"/>
        <v>5</v>
      </c>
      <c r="R684" s="11" t="str">
        <f t="shared" si="138"/>
        <v>0</v>
      </c>
      <c r="S684" s="11" t="str">
        <f t="shared" si="139"/>
        <v>9</v>
      </c>
      <c r="T684" s="11" t="str">
        <f t="shared" si="140"/>
        <v>2</v>
      </c>
      <c r="U684" s="11" t="str">
        <f t="shared" si="141"/>
        <v>2</v>
      </c>
      <c r="V684" s="11" t="str">
        <f t="shared" si="142"/>
        <v>2</v>
      </c>
      <c r="W684" s="11" t="str">
        <f t="shared" si="143"/>
        <v>3</v>
      </c>
      <c r="X684" s="11" t="str">
        <f t="shared" si="144"/>
        <v>9</v>
      </c>
    </row>
    <row r="685" spans="1:24" x14ac:dyDescent="0.35">
      <c r="A685" s="5">
        <v>14545</v>
      </c>
      <c r="B685" s="5">
        <v>12150922240</v>
      </c>
      <c r="C685" s="5">
        <v>726631</v>
      </c>
      <c r="D685" s="5">
        <v>3763427</v>
      </c>
      <c r="E685" s="6" t="s">
        <v>70</v>
      </c>
      <c r="F685" s="6" t="s">
        <v>71</v>
      </c>
      <c r="G685" s="6" t="s">
        <v>71</v>
      </c>
      <c r="H685" s="7"/>
      <c r="I685" s="35" t="str">
        <f t="shared" si="132"/>
        <v>150922</v>
      </c>
      <c r="J685" s="31" t="str">
        <f t="shared" si="133"/>
        <v>12</v>
      </c>
      <c r="N685" s="12" t="str">
        <f t="shared" si="134"/>
        <v>1</v>
      </c>
      <c r="O685" s="11" t="str">
        <f t="shared" si="135"/>
        <v>2</v>
      </c>
      <c r="P685" s="11" t="str">
        <f t="shared" si="136"/>
        <v>1</v>
      </c>
      <c r="Q685" s="11" t="str">
        <f t="shared" si="137"/>
        <v>5</v>
      </c>
      <c r="R685" s="11" t="str">
        <f t="shared" si="138"/>
        <v>0</v>
      </c>
      <c r="S685" s="11" t="str">
        <f t="shared" si="139"/>
        <v>9</v>
      </c>
      <c r="T685" s="11" t="str">
        <f t="shared" si="140"/>
        <v>2</v>
      </c>
      <c r="U685" s="11" t="str">
        <f t="shared" si="141"/>
        <v>2</v>
      </c>
      <c r="V685" s="11" t="str">
        <f t="shared" si="142"/>
        <v>2</v>
      </c>
      <c r="W685" s="11" t="str">
        <f t="shared" si="143"/>
        <v>4</v>
      </c>
      <c r="X685" s="11" t="str">
        <f t="shared" si="144"/>
        <v>0</v>
      </c>
    </row>
    <row r="686" spans="1:24" x14ac:dyDescent="0.35">
      <c r="A686" s="5">
        <v>14546</v>
      </c>
      <c r="B686" s="5">
        <v>12150922241</v>
      </c>
      <c r="C686" s="5">
        <v>726630</v>
      </c>
      <c r="D686" s="5">
        <v>3763427</v>
      </c>
      <c r="E686" s="6" t="s">
        <v>70</v>
      </c>
      <c r="F686" s="6" t="s">
        <v>71</v>
      </c>
      <c r="G686" s="6" t="s">
        <v>71</v>
      </c>
      <c r="H686" s="7"/>
      <c r="I686" s="35" t="str">
        <f t="shared" si="132"/>
        <v>150922</v>
      </c>
      <c r="J686" s="31" t="str">
        <f t="shared" si="133"/>
        <v>12</v>
      </c>
      <c r="N686" s="12" t="str">
        <f t="shared" si="134"/>
        <v>1</v>
      </c>
      <c r="O686" s="11" t="str">
        <f t="shared" si="135"/>
        <v>2</v>
      </c>
      <c r="P686" s="11" t="str">
        <f t="shared" si="136"/>
        <v>1</v>
      </c>
      <c r="Q686" s="11" t="str">
        <f t="shared" si="137"/>
        <v>5</v>
      </c>
      <c r="R686" s="11" t="str">
        <f t="shared" si="138"/>
        <v>0</v>
      </c>
      <c r="S686" s="11" t="str">
        <f t="shared" si="139"/>
        <v>9</v>
      </c>
      <c r="T686" s="11" t="str">
        <f t="shared" si="140"/>
        <v>2</v>
      </c>
      <c r="U686" s="11" t="str">
        <f t="shared" si="141"/>
        <v>2</v>
      </c>
      <c r="V686" s="11" t="str">
        <f t="shared" si="142"/>
        <v>2</v>
      </c>
      <c r="W686" s="11" t="str">
        <f t="shared" si="143"/>
        <v>4</v>
      </c>
      <c r="X686" s="11" t="str">
        <f t="shared" si="144"/>
        <v>1</v>
      </c>
    </row>
    <row r="687" spans="1:24" x14ac:dyDescent="0.35">
      <c r="A687" s="5">
        <v>14547</v>
      </c>
      <c r="B687" s="5">
        <v>12150922242</v>
      </c>
      <c r="C687" s="5">
        <v>726629</v>
      </c>
      <c r="D687" s="5">
        <v>3763428</v>
      </c>
      <c r="E687" s="6" t="s">
        <v>70</v>
      </c>
      <c r="F687" s="6" t="s">
        <v>71</v>
      </c>
      <c r="G687" s="6" t="s">
        <v>71</v>
      </c>
      <c r="H687" s="7"/>
      <c r="I687" s="35" t="str">
        <f t="shared" si="132"/>
        <v>150922</v>
      </c>
      <c r="J687" s="31" t="str">
        <f t="shared" si="133"/>
        <v>12</v>
      </c>
      <c r="N687" s="12" t="str">
        <f t="shared" si="134"/>
        <v>1</v>
      </c>
      <c r="O687" s="11" t="str">
        <f t="shared" si="135"/>
        <v>2</v>
      </c>
      <c r="P687" s="11" t="str">
        <f t="shared" si="136"/>
        <v>1</v>
      </c>
      <c r="Q687" s="11" t="str">
        <f t="shared" si="137"/>
        <v>5</v>
      </c>
      <c r="R687" s="11" t="str">
        <f t="shared" si="138"/>
        <v>0</v>
      </c>
      <c r="S687" s="11" t="str">
        <f t="shared" si="139"/>
        <v>9</v>
      </c>
      <c r="T687" s="11" t="str">
        <f t="shared" si="140"/>
        <v>2</v>
      </c>
      <c r="U687" s="11" t="str">
        <f t="shared" si="141"/>
        <v>2</v>
      </c>
      <c r="V687" s="11" t="str">
        <f t="shared" si="142"/>
        <v>2</v>
      </c>
      <c r="W687" s="11" t="str">
        <f t="shared" si="143"/>
        <v>4</v>
      </c>
      <c r="X687" s="11" t="str">
        <f t="shared" si="144"/>
        <v>2</v>
      </c>
    </row>
    <row r="688" spans="1:24" x14ac:dyDescent="0.35">
      <c r="A688" s="5">
        <v>14548</v>
      </c>
      <c r="B688" s="5">
        <v>12150922243</v>
      </c>
      <c r="C688" s="5">
        <v>726597</v>
      </c>
      <c r="D688" s="5">
        <v>3763437</v>
      </c>
      <c r="E688" s="6" t="s">
        <v>70</v>
      </c>
      <c r="F688" s="6" t="s">
        <v>71</v>
      </c>
      <c r="G688" s="6" t="s">
        <v>71</v>
      </c>
      <c r="H688" s="7"/>
      <c r="I688" s="35" t="str">
        <f t="shared" si="132"/>
        <v>150922</v>
      </c>
      <c r="J688" s="31" t="str">
        <f t="shared" si="133"/>
        <v>12</v>
      </c>
      <c r="N688" s="12" t="str">
        <f t="shared" si="134"/>
        <v>1</v>
      </c>
      <c r="O688" s="11" t="str">
        <f t="shared" si="135"/>
        <v>2</v>
      </c>
      <c r="P688" s="11" t="str">
        <f t="shared" si="136"/>
        <v>1</v>
      </c>
      <c r="Q688" s="11" t="str">
        <f t="shared" si="137"/>
        <v>5</v>
      </c>
      <c r="R688" s="11" t="str">
        <f t="shared" si="138"/>
        <v>0</v>
      </c>
      <c r="S688" s="11" t="str">
        <f t="shared" si="139"/>
        <v>9</v>
      </c>
      <c r="T688" s="11" t="str">
        <f t="shared" si="140"/>
        <v>2</v>
      </c>
      <c r="U688" s="11" t="str">
        <f t="shared" si="141"/>
        <v>2</v>
      </c>
      <c r="V688" s="11" t="str">
        <f t="shared" si="142"/>
        <v>2</v>
      </c>
      <c r="W688" s="11" t="str">
        <f t="shared" si="143"/>
        <v>4</v>
      </c>
      <c r="X688" s="11" t="str">
        <f t="shared" si="144"/>
        <v>3</v>
      </c>
    </row>
    <row r="689" spans="1:24" x14ac:dyDescent="0.35">
      <c r="A689" s="5">
        <v>14549</v>
      </c>
      <c r="B689" s="5">
        <v>12150922244</v>
      </c>
      <c r="C689" s="5">
        <v>726566</v>
      </c>
      <c r="D689" s="5">
        <v>3763453</v>
      </c>
      <c r="E689" s="6" t="s">
        <v>70</v>
      </c>
      <c r="F689" s="6" t="s">
        <v>71</v>
      </c>
      <c r="G689" s="6" t="s">
        <v>71</v>
      </c>
      <c r="H689" s="7"/>
      <c r="I689" s="35" t="str">
        <f t="shared" si="132"/>
        <v>150922</v>
      </c>
      <c r="J689" s="31" t="str">
        <f t="shared" si="133"/>
        <v>12</v>
      </c>
      <c r="N689" s="12" t="str">
        <f t="shared" si="134"/>
        <v>1</v>
      </c>
      <c r="O689" s="11" t="str">
        <f t="shared" si="135"/>
        <v>2</v>
      </c>
      <c r="P689" s="11" t="str">
        <f t="shared" si="136"/>
        <v>1</v>
      </c>
      <c r="Q689" s="11" t="str">
        <f t="shared" si="137"/>
        <v>5</v>
      </c>
      <c r="R689" s="11" t="str">
        <f t="shared" si="138"/>
        <v>0</v>
      </c>
      <c r="S689" s="11" t="str">
        <f t="shared" si="139"/>
        <v>9</v>
      </c>
      <c r="T689" s="11" t="str">
        <f t="shared" si="140"/>
        <v>2</v>
      </c>
      <c r="U689" s="11" t="str">
        <f t="shared" si="141"/>
        <v>2</v>
      </c>
      <c r="V689" s="11" t="str">
        <f t="shared" si="142"/>
        <v>2</v>
      </c>
      <c r="W689" s="11" t="str">
        <f t="shared" si="143"/>
        <v>4</v>
      </c>
      <c r="X689" s="11" t="str">
        <f t="shared" si="144"/>
        <v>4</v>
      </c>
    </row>
    <row r="690" spans="1:24" x14ac:dyDescent="0.35">
      <c r="A690" s="5">
        <v>14550</v>
      </c>
      <c r="B690" s="5">
        <v>12150922245</v>
      </c>
      <c r="C690" s="5">
        <v>726534</v>
      </c>
      <c r="D690" s="5">
        <v>3763467</v>
      </c>
      <c r="E690" s="6" t="s">
        <v>70</v>
      </c>
      <c r="F690" s="6" t="s">
        <v>71</v>
      </c>
      <c r="G690" s="6" t="s">
        <v>71</v>
      </c>
      <c r="H690" s="7"/>
      <c r="I690" s="35" t="str">
        <f t="shared" si="132"/>
        <v>150922</v>
      </c>
      <c r="J690" s="31" t="str">
        <f t="shared" si="133"/>
        <v>12</v>
      </c>
      <c r="N690" s="12" t="str">
        <f t="shared" si="134"/>
        <v>1</v>
      </c>
      <c r="O690" s="11" t="str">
        <f t="shared" si="135"/>
        <v>2</v>
      </c>
      <c r="P690" s="11" t="str">
        <f t="shared" si="136"/>
        <v>1</v>
      </c>
      <c r="Q690" s="11" t="str">
        <f t="shared" si="137"/>
        <v>5</v>
      </c>
      <c r="R690" s="11" t="str">
        <f t="shared" si="138"/>
        <v>0</v>
      </c>
      <c r="S690" s="11" t="str">
        <f t="shared" si="139"/>
        <v>9</v>
      </c>
      <c r="T690" s="11" t="str">
        <f t="shared" si="140"/>
        <v>2</v>
      </c>
      <c r="U690" s="11" t="str">
        <f t="shared" si="141"/>
        <v>2</v>
      </c>
      <c r="V690" s="11" t="str">
        <f t="shared" si="142"/>
        <v>2</v>
      </c>
      <c r="W690" s="11" t="str">
        <f t="shared" si="143"/>
        <v>4</v>
      </c>
      <c r="X690" s="11" t="str">
        <f t="shared" si="144"/>
        <v>5</v>
      </c>
    </row>
    <row r="691" spans="1:24" x14ac:dyDescent="0.35">
      <c r="A691" s="5">
        <v>14551</v>
      </c>
      <c r="B691" s="5">
        <v>12150922246</v>
      </c>
      <c r="C691" s="5">
        <v>726514</v>
      </c>
      <c r="D691" s="5">
        <v>3763450</v>
      </c>
      <c r="E691" s="6" t="s">
        <v>70</v>
      </c>
      <c r="F691" s="6" t="s">
        <v>71</v>
      </c>
      <c r="G691" s="6" t="s">
        <v>71</v>
      </c>
      <c r="H691" s="7"/>
      <c r="I691" s="35" t="str">
        <f t="shared" si="132"/>
        <v>150922</v>
      </c>
      <c r="J691" s="31" t="str">
        <f t="shared" si="133"/>
        <v>12</v>
      </c>
      <c r="N691" s="12" t="str">
        <f t="shared" si="134"/>
        <v>1</v>
      </c>
      <c r="O691" s="11" t="str">
        <f t="shared" si="135"/>
        <v>2</v>
      </c>
      <c r="P691" s="11" t="str">
        <f t="shared" si="136"/>
        <v>1</v>
      </c>
      <c r="Q691" s="11" t="str">
        <f t="shared" si="137"/>
        <v>5</v>
      </c>
      <c r="R691" s="11" t="str">
        <f t="shared" si="138"/>
        <v>0</v>
      </c>
      <c r="S691" s="11" t="str">
        <f t="shared" si="139"/>
        <v>9</v>
      </c>
      <c r="T691" s="11" t="str">
        <f t="shared" si="140"/>
        <v>2</v>
      </c>
      <c r="U691" s="11" t="str">
        <f t="shared" si="141"/>
        <v>2</v>
      </c>
      <c r="V691" s="11" t="str">
        <f t="shared" si="142"/>
        <v>2</v>
      </c>
      <c r="W691" s="11" t="str">
        <f t="shared" si="143"/>
        <v>4</v>
      </c>
      <c r="X691" s="11" t="str">
        <f t="shared" si="144"/>
        <v>6</v>
      </c>
    </row>
    <row r="692" spans="1:24" s="19" customFormat="1" x14ac:dyDescent="0.35">
      <c r="A692" s="8">
        <v>14552</v>
      </c>
      <c r="B692" s="8">
        <v>12160922247</v>
      </c>
      <c r="C692" s="8">
        <v>726862</v>
      </c>
      <c r="D692" s="8">
        <v>3763313</v>
      </c>
      <c r="E692" s="22" t="s">
        <v>70</v>
      </c>
      <c r="F692" s="22" t="s">
        <v>71</v>
      </c>
      <c r="G692" s="22" t="s">
        <v>71</v>
      </c>
      <c r="H692" s="23"/>
      <c r="I692" s="35" t="str">
        <f t="shared" si="132"/>
        <v>160922</v>
      </c>
      <c r="J692" s="31" t="str">
        <f t="shared" si="133"/>
        <v>12</v>
      </c>
      <c r="N692" s="24" t="str">
        <f t="shared" si="134"/>
        <v>1</v>
      </c>
      <c r="O692" s="25" t="str">
        <f t="shared" si="135"/>
        <v>2</v>
      </c>
      <c r="P692" s="25" t="str">
        <f t="shared" si="136"/>
        <v>1</v>
      </c>
      <c r="Q692" s="25" t="str">
        <f t="shared" si="137"/>
        <v>6</v>
      </c>
      <c r="R692" s="25" t="str">
        <f t="shared" si="138"/>
        <v>0</v>
      </c>
      <c r="S692" s="25" t="str">
        <f t="shared" si="139"/>
        <v>9</v>
      </c>
      <c r="T692" s="25" t="str">
        <f t="shared" si="140"/>
        <v>2</v>
      </c>
      <c r="U692" s="25" t="str">
        <f t="shared" si="141"/>
        <v>2</v>
      </c>
      <c r="V692" s="25" t="str">
        <f t="shared" si="142"/>
        <v>2</v>
      </c>
      <c r="W692" s="25" t="str">
        <f t="shared" si="143"/>
        <v>4</v>
      </c>
      <c r="X692" s="25" t="str">
        <f t="shared" si="144"/>
        <v>7</v>
      </c>
    </row>
    <row r="693" spans="1:24" x14ac:dyDescent="0.35">
      <c r="A693" s="5">
        <v>14553</v>
      </c>
      <c r="B693" s="5">
        <v>12160922248</v>
      </c>
      <c r="C693" s="5">
        <v>726861</v>
      </c>
      <c r="D693" s="5">
        <v>3763314</v>
      </c>
      <c r="E693" s="6" t="s">
        <v>70</v>
      </c>
      <c r="F693" s="6" t="s">
        <v>71</v>
      </c>
      <c r="G693" s="6" t="s">
        <v>71</v>
      </c>
      <c r="H693" s="7"/>
      <c r="I693" s="35" t="str">
        <f t="shared" si="132"/>
        <v>160922</v>
      </c>
      <c r="J693" s="31" t="str">
        <f t="shared" si="133"/>
        <v>12</v>
      </c>
      <c r="N693" s="12" t="str">
        <f t="shared" si="134"/>
        <v>1</v>
      </c>
      <c r="O693" s="11" t="str">
        <f t="shared" si="135"/>
        <v>2</v>
      </c>
      <c r="P693" s="11" t="str">
        <f t="shared" si="136"/>
        <v>1</v>
      </c>
      <c r="Q693" s="11" t="str">
        <f t="shared" si="137"/>
        <v>6</v>
      </c>
      <c r="R693" s="11" t="str">
        <f t="shared" si="138"/>
        <v>0</v>
      </c>
      <c r="S693" s="11" t="str">
        <f t="shared" si="139"/>
        <v>9</v>
      </c>
      <c r="T693" s="11" t="str">
        <f t="shared" si="140"/>
        <v>2</v>
      </c>
      <c r="U693" s="11" t="str">
        <f t="shared" si="141"/>
        <v>2</v>
      </c>
      <c r="V693" s="11" t="str">
        <f t="shared" si="142"/>
        <v>2</v>
      </c>
      <c r="W693" s="11" t="str">
        <f t="shared" si="143"/>
        <v>4</v>
      </c>
      <c r="X693" s="11" t="str">
        <f t="shared" si="144"/>
        <v>8</v>
      </c>
    </row>
    <row r="694" spans="1:24" x14ac:dyDescent="0.35">
      <c r="A694" s="5">
        <v>14554</v>
      </c>
      <c r="B694" s="5">
        <v>12160922249</v>
      </c>
      <c r="C694" s="5">
        <v>726860</v>
      </c>
      <c r="D694" s="5">
        <v>3763314</v>
      </c>
      <c r="E694" s="6" t="s">
        <v>70</v>
      </c>
      <c r="F694" s="6" t="s">
        <v>71</v>
      </c>
      <c r="G694" s="6" t="s">
        <v>71</v>
      </c>
      <c r="H694" s="7"/>
      <c r="I694" s="35" t="str">
        <f t="shared" si="132"/>
        <v>160922</v>
      </c>
      <c r="J694" s="31" t="str">
        <f t="shared" si="133"/>
        <v>12</v>
      </c>
      <c r="N694" s="12" t="str">
        <f t="shared" si="134"/>
        <v>1</v>
      </c>
      <c r="O694" s="11" t="str">
        <f t="shared" si="135"/>
        <v>2</v>
      </c>
      <c r="P694" s="11" t="str">
        <f t="shared" si="136"/>
        <v>1</v>
      </c>
      <c r="Q694" s="11" t="str">
        <f t="shared" si="137"/>
        <v>6</v>
      </c>
      <c r="R694" s="11" t="str">
        <f t="shared" si="138"/>
        <v>0</v>
      </c>
      <c r="S694" s="11" t="str">
        <f t="shared" si="139"/>
        <v>9</v>
      </c>
      <c r="T694" s="11" t="str">
        <f t="shared" si="140"/>
        <v>2</v>
      </c>
      <c r="U694" s="11" t="str">
        <f t="shared" si="141"/>
        <v>2</v>
      </c>
      <c r="V694" s="11" t="str">
        <f t="shared" si="142"/>
        <v>2</v>
      </c>
      <c r="W694" s="11" t="str">
        <f t="shared" si="143"/>
        <v>4</v>
      </c>
      <c r="X694" s="11" t="str">
        <f t="shared" si="144"/>
        <v>9</v>
      </c>
    </row>
    <row r="695" spans="1:24" x14ac:dyDescent="0.35">
      <c r="A695" s="5">
        <v>14555</v>
      </c>
      <c r="B695" s="5">
        <v>12160922250</v>
      </c>
      <c r="C695" s="5">
        <v>726798</v>
      </c>
      <c r="D695" s="5">
        <v>3763313</v>
      </c>
      <c r="E695" s="6" t="s">
        <v>70</v>
      </c>
      <c r="F695" s="6" t="s">
        <v>71</v>
      </c>
      <c r="G695" s="6" t="s">
        <v>71</v>
      </c>
      <c r="H695" s="7"/>
      <c r="I695" s="35" t="str">
        <f t="shared" si="132"/>
        <v>160922</v>
      </c>
      <c r="J695" s="31" t="str">
        <f t="shared" si="133"/>
        <v>12</v>
      </c>
      <c r="N695" s="12" t="str">
        <f t="shared" si="134"/>
        <v>1</v>
      </c>
      <c r="O695" s="11" t="str">
        <f t="shared" si="135"/>
        <v>2</v>
      </c>
      <c r="P695" s="11" t="str">
        <f t="shared" si="136"/>
        <v>1</v>
      </c>
      <c r="Q695" s="11" t="str">
        <f t="shared" si="137"/>
        <v>6</v>
      </c>
      <c r="R695" s="11" t="str">
        <f t="shared" si="138"/>
        <v>0</v>
      </c>
      <c r="S695" s="11" t="str">
        <f t="shared" si="139"/>
        <v>9</v>
      </c>
      <c r="T695" s="11" t="str">
        <f t="shared" si="140"/>
        <v>2</v>
      </c>
      <c r="U695" s="11" t="str">
        <f t="shared" si="141"/>
        <v>2</v>
      </c>
      <c r="V695" s="11" t="str">
        <f t="shared" si="142"/>
        <v>2</v>
      </c>
      <c r="W695" s="11" t="str">
        <f t="shared" si="143"/>
        <v>5</v>
      </c>
      <c r="X695" s="11" t="str">
        <f t="shared" si="144"/>
        <v>0</v>
      </c>
    </row>
    <row r="696" spans="1:24" x14ac:dyDescent="0.35">
      <c r="A696" s="5">
        <v>14556</v>
      </c>
      <c r="B696" s="5">
        <v>12160922251</v>
      </c>
      <c r="C696" s="5">
        <v>726840</v>
      </c>
      <c r="D696" s="5">
        <v>3763265</v>
      </c>
      <c r="E696" s="6" t="s">
        <v>70</v>
      </c>
      <c r="F696" s="6" t="s">
        <v>71</v>
      </c>
      <c r="G696" s="6" t="s">
        <v>71</v>
      </c>
      <c r="H696" s="7"/>
      <c r="I696" s="35" t="str">
        <f t="shared" si="132"/>
        <v>160922</v>
      </c>
      <c r="J696" s="31" t="str">
        <f t="shared" si="133"/>
        <v>12</v>
      </c>
      <c r="N696" s="12" t="str">
        <f t="shared" si="134"/>
        <v>1</v>
      </c>
      <c r="O696" s="11" t="str">
        <f t="shared" si="135"/>
        <v>2</v>
      </c>
      <c r="P696" s="11" t="str">
        <f t="shared" si="136"/>
        <v>1</v>
      </c>
      <c r="Q696" s="11" t="str">
        <f t="shared" si="137"/>
        <v>6</v>
      </c>
      <c r="R696" s="11" t="str">
        <f t="shared" si="138"/>
        <v>0</v>
      </c>
      <c r="S696" s="11" t="str">
        <f t="shared" si="139"/>
        <v>9</v>
      </c>
      <c r="T696" s="11" t="str">
        <f t="shared" si="140"/>
        <v>2</v>
      </c>
      <c r="U696" s="11" t="str">
        <f t="shared" si="141"/>
        <v>2</v>
      </c>
      <c r="V696" s="11" t="str">
        <f t="shared" si="142"/>
        <v>2</v>
      </c>
      <c r="W696" s="11" t="str">
        <f t="shared" si="143"/>
        <v>5</v>
      </c>
      <c r="X696" s="11" t="str">
        <f t="shared" si="144"/>
        <v>1</v>
      </c>
    </row>
    <row r="697" spans="1:24" x14ac:dyDescent="0.35">
      <c r="A697" s="5">
        <v>14557</v>
      </c>
      <c r="B697" s="5">
        <v>12160922252</v>
      </c>
      <c r="C697" s="5">
        <v>726828</v>
      </c>
      <c r="D697" s="5">
        <v>3763238</v>
      </c>
      <c r="E697" s="6" t="s">
        <v>70</v>
      </c>
      <c r="F697" s="6" t="s">
        <v>71</v>
      </c>
      <c r="G697" s="6" t="s">
        <v>71</v>
      </c>
      <c r="H697" s="7"/>
      <c r="I697" s="35" t="str">
        <f t="shared" si="132"/>
        <v>160922</v>
      </c>
      <c r="J697" s="31" t="str">
        <f t="shared" si="133"/>
        <v>12</v>
      </c>
      <c r="N697" s="12" t="str">
        <f t="shared" si="134"/>
        <v>1</v>
      </c>
      <c r="O697" s="11" t="str">
        <f t="shared" si="135"/>
        <v>2</v>
      </c>
      <c r="P697" s="11" t="str">
        <f t="shared" si="136"/>
        <v>1</v>
      </c>
      <c r="Q697" s="11" t="str">
        <f t="shared" si="137"/>
        <v>6</v>
      </c>
      <c r="R697" s="11" t="str">
        <f t="shared" si="138"/>
        <v>0</v>
      </c>
      <c r="S697" s="11" t="str">
        <f t="shared" si="139"/>
        <v>9</v>
      </c>
      <c r="T697" s="11" t="str">
        <f t="shared" si="140"/>
        <v>2</v>
      </c>
      <c r="U697" s="11" t="str">
        <f t="shared" si="141"/>
        <v>2</v>
      </c>
      <c r="V697" s="11" t="str">
        <f t="shared" si="142"/>
        <v>2</v>
      </c>
      <c r="W697" s="11" t="str">
        <f t="shared" si="143"/>
        <v>5</v>
      </c>
      <c r="X697" s="11" t="str">
        <f t="shared" si="144"/>
        <v>2</v>
      </c>
    </row>
    <row r="698" spans="1:24" x14ac:dyDescent="0.35">
      <c r="A698" s="5">
        <v>14558</v>
      </c>
      <c r="B698" s="5">
        <v>12160922253</v>
      </c>
      <c r="C698" s="5">
        <v>726879</v>
      </c>
      <c r="D698" s="5">
        <v>3763307</v>
      </c>
      <c r="E698" s="6" t="s">
        <v>70</v>
      </c>
      <c r="F698" s="6" t="s">
        <v>71</v>
      </c>
      <c r="G698" s="6" t="s">
        <v>71</v>
      </c>
      <c r="H698" s="7"/>
      <c r="I698" s="35" t="str">
        <f t="shared" si="132"/>
        <v>160922</v>
      </c>
      <c r="J698" s="31" t="str">
        <f t="shared" si="133"/>
        <v>12</v>
      </c>
      <c r="N698" s="12" t="str">
        <f t="shared" si="134"/>
        <v>1</v>
      </c>
      <c r="O698" s="11" t="str">
        <f t="shared" si="135"/>
        <v>2</v>
      </c>
      <c r="P698" s="11" t="str">
        <f t="shared" si="136"/>
        <v>1</v>
      </c>
      <c r="Q698" s="11" t="str">
        <f t="shared" si="137"/>
        <v>6</v>
      </c>
      <c r="R698" s="11" t="str">
        <f t="shared" si="138"/>
        <v>0</v>
      </c>
      <c r="S698" s="11" t="str">
        <f t="shared" si="139"/>
        <v>9</v>
      </c>
      <c r="T698" s="11" t="str">
        <f t="shared" si="140"/>
        <v>2</v>
      </c>
      <c r="U698" s="11" t="str">
        <f t="shared" si="141"/>
        <v>2</v>
      </c>
      <c r="V698" s="11" t="str">
        <f t="shared" si="142"/>
        <v>2</v>
      </c>
      <c r="W698" s="11" t="str">
        <f t="shared" si="143"/>
        <v>5</v>
      </c>
      <c r="X698" s="11" t="str">
        <f t="shared" si="144"/>
        <v>3</v>
      </c>
    </row>
    <row r="699" spans="1:24" x14ac:dyDescent="0.35">
      <c r="A699" s="5">
        <v>14559</v>
      </c>
      <c r="B699" s="5">
        <v>12160922254</v>
      </c>
      <c r="C699" s="5">
        <v>726907</v>
      </c>
      <c r="D699" s="5">
        <v>3763294</v>
      </c>
      <c r="E699" s="6" t="s">
        <v>70</v>
      </c>
      <c r="F699" s="6" t="s">
        <v>71</v>
      </c>
      <c r="G699" s="6" t="s">
        <v>71</v>
      </c>
      <c r="H699" s="7"/>
      <c r="I699" s="35" t="str">
        <f t="shared" si="132"/>
        <v>160922</v>
      </c>
      <c r="J699" s="31" t="str">
        <f t="shared" si="133"/>
        <v>12</v>
      </c>
      <c r="N699" s="12" t="str">
        <f t="shared" si="134"/>
        <v>1</v>
      </c>
      <c r="O699" s="11" t="str">
        <f t="shared" si="135"/>
        <v>2</v>
      </c>
      <c r="P699" s="11" t="str">
        <f t="shared" si="136"/>
        <v>1</v>
      </c>
      <c r="Q699" s="11" t="str">
        <f t="shared" si="137"/>
        <v>6</v>
      </c>
      <c r="R699" s="11" t="str">
        <f t="shared" si="138"/>
        <v>0</v>
      </c>
      <c r="S699" s="11" t="str">
        <f t="shared" si="139"/>
        <v>9</v>
      </c>
      <c r="T699" s="11" t="str">
        <f t="shared" si="140"/>
        <v>2</v>
      </c>
      <c r="U699" s="11" t="str">
        <f t="shared" si="141"/>
        <v>2</v>
      </c>
      <c r="V699" s="11" t="str">
        <f t="shared" si="142"/>
        <v>2</v>
      </c>
      <c r="W699" s="11" t="str">
        <f t="shared" si="143"/>
        <v>5</v>
      </c>
      <c r="X699" s="11" t="str">
        <f t="shared" si="144"/>
        <v>4</v>
      </c>
    </row>
    <row r="700" spans="1:24" x14ac:dyDescent="0.35">
      <c r="A700" s="5">
        <v>14560</v>
      </c>
      <c r="B700" s="5">
        <v>12160922255</v>
      </c>
      <c r="C700" s="5">
        <v>726941</v>
      </c>
      <c r="D700" s="5">
        <v>3763279</v>
      </c>
      <c r="E700" s="6" t="s">
        <v>70</v>
      </c>
      <c r="F700" s="6" t="s">
        <v>71</v>
      </c>
      <c r="G700" s="6" t="s">
        <v>71</v>
      </c>
      <c r="H700" s="7"/>
      <c r="I700" s="35" t="str">
        <f t="shared" si="132"/>
        <v>160922</v>
      </c>
      <c r="J700" s="31" t="str">
        <f t="shared" si="133"/>
        <v>12</v>
      </c>
      <c r="N700" s="12" t="str">
        <f t="shared" si="134"/>
        <v>1</v>
      </c>
      <c r="O700" s="11" t="str">
        <f t="shared" si="135"/>
        <v>2</v>
      </c>
      <c r="P700" s="11" t="str">
        <f t="shared" si="136"/>
        <v>1</v>
      </c>
      <c r="Q700" s="11" t="str">
        <f t="shared" si="137"/>
        <v>6</v>
      </c>
      <c r="R700" s="11" t="str">
        <f t="shared" si="138"/>
        <v>0</v>
      </c>
      <c r="S700" s="11" t="str">
        <f t="shared" si="139"/>
        <v>9</v>
      </c>
      <c r="T700" s="11" t="str">
        <f t="shared" si="140"/>
        <v>2</v>
      </c>
      <c r="U700" s="11" t="str">
        <f t="shared" si="141"/>
        <v>2</v>
      </c>
      <c r="V700" s="11" t="str">
        <f t="shared" si="142"/>
        <v>2</v>
      </c>
      <c r="W700" s="11" t="str">
        <f t="shared" si="143"/>
        <v>5</v>
      </c>
      <c r="X700" s="11" t="str">
        <f t="shared" si="144"/>
        <v>5</v>
      </c>
    </row>
    <row r="701" spans="1:24" x14ac:dyDescent="0.35">
      <c r="A701" s="5">
        <v>14561</v>
      </c>
      <c r="B701" s="5">
        <v>12160922256</v>
      </c>
      <c r="C701" s="5">
        <v>726941.1</v>
      </c>
      <c r="D701" s="5">
        <v>3763279.3</v>
      </c>
      <c r="E701" s="6" t="s">
        <v>70</v>
      </c>
      <c r="F701" s="6" t="s">
        <v>71</v>
      </c>
      <c r="G701" s="6" t="s">
        <v>71</v>
      </c>
      <c r="H701" s="7"/>
      <c r="I701" s="35" t="str">
        <f t="shared" si="132"/>
        <v>160922</v>
      </c>
      <c r="J701" s="31" t="str">
        <f t="shared" si="133"/>
        <v>12</v>
      </c>
      <c r="N701" s="12" t="str">
        <f t="shared" si="134"/>
        <v>1</v>
      </c>
      <c r="O701" s="11" t="str">
        <f t="shared" si="135"/>
        <v>2</v>
      </c>
      <c r="P701" s="11" t="str">
        <f t="shared" si="136"/>
        <v>1</v>
      </c>
      <c r="Q701" s="11" t="str">
        <f t="shared" si="137"/>
        <v>6</v>
      </c>
      <c r="R701" s="11" t="str">
        <f t="shared" si="138"/>
        <v>0</v>
      </c>
      <c r="S701" s="11" t="str">
        <f t="shared" si="139"/>
        <v>9</v>
      </c>
      <c r="T701" s="11" t="str">
        <f t="shared" si="140"/>
        <v>2</v>
      </c>
      <c r="U701" s="11" t="str">
        <f t="shared" si="141"/>
        <v>2</v>
      </c>
      <c r="V701" s="11" t="str">
        <f t="shared" si="142"/>
        <v>2</v>
      </c>
      <c r="W701" s="11" t="str">
        <f t="shared" si="143"/>
        <v>5</v>
      </c>
      <c r="X701" s="11" t="str">
        <f t="shared" si="144"/>
        <v>6</v>
      </c>
    </row>
    <row r="702" spans="1:24" x14ac:dyDescent="0.35">
      <c r="A702" s="5">
        <v>14562</v>
      </c>
      <c r="B702" s="5">
        <v>12160922257</v>
      </c>
      <c r="C702" s="5">
        <v>726941.2</v>
      </c>
      <c r="D702" s="5">
        <v>3763279.4</v>
      </c>
      <c r="E702" s="6" t="s">
        <v>70</v>
      </c>
      <c r="F702" s="6" t="s">
        <v>71</v>
      </c>
      <c r="G702" s="6" t="s">
        <v>71</v>
      </c>
      <c r="H702" s="7"/>
      <c r="I702" s="35" t="str">
        <f t="shared" si="132"/>
        <v>160922</v>
      </c>
      <c r="J702" s="31" t="str">
        <f t="shared" si="133"/>
        <v>12</v>
      </c>
      <c r="N702" s="12" t="str">
        <f t="shared" si="134"/>
        <v>1</v>
      </c>
      <c r="O702" s="11" t="str">
        <f t="shared" si="135"/>
        <v>2</v>
      </c>
      <c r="P702" s="11" t="str">
        <f t="shared" si="136"/>
        <v>1</v>
      </c>
      <c r="Q702" s="11" t="str">
        <f t="shared" si="137"/>
        <v>6</v>
      </c>
      <c r="R702" s="11" t="str">
        <f t="shared" si="138"/>
        <v>0</v>
      </c>
      <c r="S702" s="11" t="str">
        <f t="shared" si="139"/>
        <v>9</v>
      </c>
      <c r="T702" s="11" t="str">
        <f t="shared" si="140"/>
        <v>2</v>
      </c>
      <c r="U702" s="11" t="str">
        <f t="shared" si="141"/>
        <v>2</v>
      </c>
      <c r="V702" s="11" t="str">
        <f t="shared" si="142"/>
        <v>2</v>
      </c>
      <c r="W702" s="11" t="str">
        <f t="shared" si="143"/>
        <v>5</v>
      </c>
      <c r="X702" s="11" t="str">
        <f t="shared" si="144"/>
        <v>7</v>
      </c>
    </row>
    <row r="703" spans="1:24" x14ac:dyDescent="0.35">
      <c r="A703" s="5">
        <v>14563</v>
      </c>
      <c r="B703" s="5">
        <v>12160922258</v>
      </c>
      <c r="C703" s="5">
        <v>726994</v>
      </c>
      <c r="D703" s="5">
        <v>3763250</v>
      </c>
      <c r="E703" s="6" t="s">
        <v>70</v>
      </c>
      <c r="F703" s="6" t="s">
        <v>71</v>
      </c>
      <c r="G703" s="6" t="s">
        <v>71</v>
      </c>
      <c r="H703" s="7"/>
      <c r="I703" s="35" t="str">
        <f t="shared" si="132"/>
        <v>160922</v>
      </c>
      <c r="J703" s="31" t="str">
        <f t="shared" si="133"/>
        <v>12</v>
      </c>
      <c r="N703" s="12" t="str">
        <f t="shared" si="134"/>
        <v>1</v>
      </c>
      <c r="O703" s="11" t="str">
        <f t="shared" si="135"/>
        <v>2</v>
      </c>
      <c r="P703" s="11" t="str">
        <f t="shared" si="136"/>
        <v>1</v>
      </c>
      <c r="Q703" s="11" t="str">
        <f t="shared" si="137"/>
        <v>6</v>
      </c>
      <c r="R703" s="11" t="str">
        <f t="shared" si="138"/>
        <v>0</v>
      </c>
      <c r="S703" s="11" t="str">
        <f t="shared" si="139"/>
        <v>9</v>
      </c>
      <c r="T703" s="11" t="str">
        <f t="shared" si="140"/>
        <v>2</v>
      </c>
      <c r="U703" s="11" t="str">
        <f t="shared" si="141"/>
        <v>2</v>
      </c>
      <c r="V703" s="11" t="str">
        <f t="shared" si="142"/>
        <v>2</v>
      </c>
      <c r="W703" s="11" t="str">
        <f t="shared" si="143"/>
        <v>5</v>
      </c>
      <c r="X703" s="11" t="str">
        <f t="shared" si="144"/>
        <v>8</v>
      </c>
    </row>
    <row r="704" spans="1:24" x14ac:dyDescent="0.35">
      <c r="A704" s="5">
        <v>14564</v>
      </c>
      <c r="B704" s="5">
        <v>12160922259</v>
      </c>
      <c r="C704" s="5">
        <v>726973</v>
      </c>
      <c r="D704" s="5">
        <v>3763206</v>
      </c>
      <c r="E704" s="6" t="s">
        <v>70</v>
      </c>
      <c r="F704" s="6" t="s">
        <v>71</v>
      </c>
      <c r="G704" s="6" t="s">
        <v>71</v>
      </c>
      <c r="H704" s="7"/>
      <c r="I704" s="35" t="str">
        <f t="shared" si="132"/>
        <v>160922</v>
      </c>
      <c r="J704" s="31" t="str">
        <f t="shared" si="133"/>
        <v>12</v>
      </c>
      <c r="N704" s="12" t="str">
        <f t="shared" si="134"/>
        <v>1</v>
      </c>
      <c r="O704" s="11" t="str">
        <f t="shared" si="135"/>
        <v>2</v>
      </c>
      <c r="P704" s="11" t="str">
        <f t="shared" si="136"/>
        <v>1</v>
      </c>
      <c r="Q704" s="11" t="str">
        <f t="shared" si="137"/>
        <v>6</v>
      </c>
      <c r="R704" s="11" t="str">
        <f t="shared" si="138"/>
        <v>0</v>
      </c>
      <c r="S704" s="11" t="str">
        <f t="shared" si="139"/>
        <v>9</v>
      </c>
      <c r="T704" s="11" t="str">
        <f t="shared" si="140"/>
        <v>2</v>
      </c>
      <c r="U704" s="11" t="str">
        <f t="shared" si="141"/>
        <v>2</v>
      </c>
      <c r="V704" s="11" t="str">
        <f t="shared" si="142"/>
        <v>2</v>
      </c>
      <c r="W704" s="11" t="str">
        <f t="shared" si="143"/>
        <v>5</v>
      </c>
      <c r="X704" s="11" t="str">
        <f t="shared" si="144"/>
        <v>9</v>
      </c>
    </row>
    <row r="705" spans="1:24" x14ac:dyDescent="0.35">
      <c r="A705" s="5">
        <v>14565</v>
      </c>
      <c r="B705" s="5">
        <v>12160922260</v>
      </c>
      <c r="C705" s="5">
        <v>726930</v>
      </c>
      <c r="D705" s="5">
        <v>3763223</v>
      </c>
      <c r="E705" s="6" t="s">
        <v>70</v>
      </c>
      <c r="F705" s="6" t="s">
        <v>71</v>
      </c>
      <c r="G705" s="6" t="s">
        <v>71</v>
      </c>
      <c r="H705" s="7"/>
      <c r="I705" s="35" t="str">
        <f t="shared" si="132"/>
        <v>160922</v>
      </c>
      <c r="J705" s="31" t="str">
        <f t="shared" si="133"/>
        <v>12</v>
      </c>
      <c r="N705" s="12" t="str">
        <f t="shared" si="134"/>
        <v>1</v>
      </c>
      <c r="O705" s="11" t="str">
        <f t="shared" si="135"/>
        <v>2</v>
      </c>
      <c r="P705" s="11" t="str">
        <f t="shared" si="136"/>
        <v>1</v>
      </c>
      <c r="Q705" s="11" t="str">
        <f t="shared" si="137"/>
        <v>6</v>
      </c>
      <c r="R705" s="11" t="str">
        <f t="shared" si="138"/>
        <v>0</v>
      </c>
      <c r="S705" s="11" t="str">
        <f t="shared" si="139"/>
        <v>9</v>
      </c>
      <c r="T705" s="11" t="str">
        <f t="shared" si="140"/>
        <v>2</v>
      </c>
      <c r="U705" s="11" t="str">
        <f t="shared" si="141"/>
        <v>2</v>
      </c>
      <c r="V705" s="11" t="str">
        <f t="shared" si="142"/>
        <v>2</v>
      </c>
      <c r="W705" s="11" t="str">
        <f t="shared" si="143"/>
        <v>6</v>
      </c>
      <c r="X705" s="11" t="str">
        <f t="shared" si="144"/>
        <v>0</v>
      </c>
    </row>
    <row r="706" spans="1:24" x14ac:dyDescent="0.35">
      <c r="A706" s="5">
        <v>14566</v>
      </c>
      <c r="B706" s="5">
        <v>12160922261</v>
      </c>
      <c r="C706" s="5">
        <v>727035</v>
      </c>
      <c r="D706" s="5">
        <v>3763233</v>
      </c>
      <c r="E706" s="6" t="s">
        <v>70</v>
      </c>
      <c r="F706" s="6" t="s">
        <v>71</v>
      </c>
      <c r="G706" s="6" t="s">
        <v>71</v>
      </c>
      <c r="H706" s="7"/>
      <c r="I706" s="35" t="str">
        <f t="shared" si="132"/>
        <v>160922</v>
      </c>
      <c r="J706" s="31" t="str">
        <f t="shared" si="133"/>
        <v>12</v>
      </c>
      <c r="N706" s="12" t="str">
        <f t="shared" si="134"/>
        <v>1</v>
      </c>
      <c r="O706" s="11" t="str">
        <f t="shared" si="135"/>
        <v>2</v>
      </c>
      <c r="P706" s="11" t="str">
        <f t="shared" si="136"/>
        <v>1</v>
      </c>
      <c r="Q706" s="11" t="str">
        <f t="shared" si="137"/>
        <v>6</v>
      </c>
      <c r="R706" s="11" t="str">
        <f t="shared" si="138"/>
        <v>0</v>
      </c>
      <c r="S706" s="11" t="str">
        <f t="shared" si="139"/>
        <v>9</v>
      </c>
      <c r="T706" s="11" t="str">
        <f t="shared" si="140"/>
        <v>2</v>
      </c>
      <c r="U706" s="11" t="str">
        <f t="shared" si="141"/>
        <v>2</v>
      </c>
      <c r="V706" s="11" t="str">
        <f t="shared" si="142"/>
        <v>2</v>
      </c>
      <c r="W706" s="11" t="str">
        <f t="shared" si="143"/>
        <v>6</v>
      </c>
      <c r="X706" s="11" t="str">
        <f t="shared" si="144"/>
        <v>1</v>
      </c>
    </row>
    <row r="707" spans="1:24" x14ac:dyDescent="0.35">
      <c r="A707" s="5">
        <v>14567</v>
      </c>
      <c r="B707" s="5">
        <v>12160922262</v>
      </c>
      <c r="C707" s="5">
        <v>727035.1</v>
      </c>
      <c r="D707" s="5">
        <v>3763233.3</v>
      </c>
      <c r="E707" s="6" t="s">
        <v>70</v>
      </c>
      <c r="F707" s="6" t="s">
        <v>71</v>
      </c>
      <c r="G707" s="6" t="s">
        <v>71</v>
      </c>
      <c r="H707" s="7"/>
      <c r="I707" s="35" t="str">
        <f t="shared" ref="I707:I770" si="145">MID(B707,IF(LEN(B707)=10,2,3),6)</f>
        <v>160922</v>
      </c>
      <c r="J707" s="31" t="str">
        <f t="shared" ref="J707:J770" si="146">TEXT(MID(B707,1,IF(LEN(B707)=10,1,2)),"00")</f>
        <v>12</v>
      </c>
      <c r="N707" s="12" t="str">
        <f t="shared" ref="N707:N770" si="147">IFERROR(MID($B707,LEN($B707)-10,1),0)</f>
        <v>1</v>
      </c>
      <c r="O707" s="11" t="str">
        <f t="shared" ref="O707:O770" si="148">MID($B707,LEN($B707)-9,1)</f>
        <v>2</v>
      </c>
      <c r="P707" s="11" t="str">
        <f t="shared" ref="P707:P770" si="149">MID($B707,LEN($B707)-8,1)</f>
        <v>1</v>
      </c>
      <c r="Q707" s="11" t="str">
        <f t="shared" ref="Q707:Q770" si="150">MID($B707,LEN($B707)-7,1)</f>
        <v>6</v>
      </c>
      <c r="R707" s="11" t="str">
        <f t="shared" ref="R707:R770" si="151">MID($B707,LEN($B707)-6,1)</f>
        <v>0</v>
      </c>
      <c r="S707" s="11" t="str">
        <f t="shared" ref="S707:S770" si="152">MID($B707,LEN($B707)-5,1)</f>
        <v>9</v>
      </c>
      <c r="T707" s="11" t="str">
        <f t="shared" ref="T707:T770" si="153">MID($B707,LEN($B707)-4,1)</f>
        <v>2</v>
      </c>
      <c r="U707" s="11" t="str">
        <f t="shared" ref="U707:U770" si="154">MID($B707,LEN($B707)-3,1)</f>
        <v>2</v>
      </c>
      <c r="V707" s="11" t="str">
        <f t="shared" ref="V707:V770" si="155">MID($B707,LEN($B707)-2,1)</f>
        <v>2</v>
      </c>
      <c r="W707" s="11" t="str">
        <f t="shared" ref="W707:W770" si="156">MID($B707,LEN($B707)-1,1)</f>
        <v>6</v>
      </c>
      <c r="X707" s="11" t="str">
        <f t="shared" ref="X707:X770" si="157">MID($B707,LEN($B707)-0,1)</f>
        <v>2</v>
      </c>
    </row>
    <row r="708" spans="1:24" x14ac:dyDescent="0.35">
      <c r="A708" s="5">
        <v>14568</v>
      </c>
      <c r="B708" s="5">
        <v>12160922263</v>
      </c>
      <c r="C708" s="5">
        <v>727035.2</v>
      </c>
      <c r="D708" s="5">
        <v>3763233.4</v>
      </c>
      <c r="E708" s="6" t="s">
        <v>70</v>
      </c>
      <c r="F708" s="6" t="s">
        <v>71</v>
      </c>
      <c r="G708" s="6" t="s">
        <v>71</v>
      </c>
      <c r="H708" s="7"/>
      <c r="I708" s="35" t="str">
        <f t="shared" si="145"/>
        <v>160922</v>
      </c>
      <c r="J708" s="31" t="str">
        <f t="shared" si="146"/>
        <v>12</v>
      </c>
      <c r="N708" s="12" t="str">
        <f t="shared" si="147"/>
        <v>1</v>
      </c>
      <c r="O708" s="11" t="str">
        <f t="shared" si="148"/>
        <v>2</v>
      </c>
      <c r="P708" s="11" t="str">
        <f t="shared" si="149"/>
        <v>1</v>
      </c>
      <c r="Q708" s="11" t="str">
        <f t="shared" si="150"/>
        <v>6</v>
      </c>
      <c r="R708" s="11" t="str">
        <f t="shared" si="151"/>
        <v>0</v>
      </c>
      <c r="S708" s="11" t="str">
        <f t="shared" si="152"/>
        <v>9</v>
      </c>
      <c r="T708" s="11" t="str">
        <f t="shared" si="153"/>
        <v>2</v>
      </c>
      <c r="U708" s="11" t="str">
        <f t="shared" si="154"/>
        <v>2</v>
      </c>
      <c r="V708" s="11" t="str">
        <f t="shared" si="155"/>
        <v>2</v>
      </c>
      <c r="W708" s="11" t="str">
        <f t="shared" si="156"/>
        <v>6</v>
      </c>
      <c r="X708" s="11" t="str">
        <f t="shared" si="157"/>
        <v>3</v>
      </c>
    </row>
    <row r="709" spans="1:24" x14ac:dyDescent="0.35">
      <c r="A709" s="5">
        <v>14569</v>
      </c>
      <c r="B709" s="5">
        <v>12160922264</v>
      </c>
      <c r="C709" s="5">
        <v>727074</v>
      </c>
      <c r="D709" s="5">
        <v>3763215</v>
      </c>
      <c r="E709" s="6" t="s">
        <v>70</v>
      </c>
      <c r="F709" s="6" t="s">
        <v>71</v>
      </c>
      <c r="G709" s="6" t="s">
        <v>71</v>
      </c>
      <c r="H709" s="7"/>
      <c r="I709" s="35" t="str">
        <f t="shared" si="145"/>
        <v>160922</v>
      </c>
      <c r="J709" s="31" t="str">
        <f t="shared" si="146"/>
        <v>12</v>
      </c>
      <c r="N709" s="12" t="str">
        <f t="shared" si="147"/>
        <v>1</v>
      </c>
      <c r="O709" s="11" t="str">
        <f t="shared" si="148"/>
        <v>2</v>
      </c>
      <c r="P709" s="11" t="str">
        <f t="shared" si="149"/>
        <v>1</v>
      </c>
      <c r="Q709" s="11" t="str">
        <f t="shared" si="150"/>
        <v>6</v>
      </c>
      <c r="R709" s="11" t="str">
        <f t="shared" si="151"/>
        <v>0</v>
      </c>
      <c r="S709" s="11" t="str">
        <f t="shared" si="152"/>
        <v>9</v>
      </c>
      <c r="T709" s="11" t="str">
        <f t="shared" si="153"/>
        <v>2</v>
      </c>
      <c r="U709" s="11" t="str">
        <f t="shared" si="154"/>
        <v>2</v>
      </c>
      <c r="V709" s="11" t="str">
        <f t="shared" si="155"/>
        <v>2</v>
      </c>
      <c r="W709" s="11" t="str">
        <f t="shared" si="156"/>
        <v>6</v>
      </c>
      <c r="X709" s="11" t="str">
        <f t="shared" si="157"/>
        <v>4</v>
      </c>
    </row>
    <row r="710" spans="1:24" x14ac:dyDescent="0.35">
      <c r="A710" s="5">
        <v>14570</v>
      </c>
      <c r="B710" s="5">
        <v>12160922265</v>
      </c>
      <c r="C710" s="5">
        <v>727075</v>
      </c>
      <c r="D710" s="5">
        <v>3763215</v>
      </c>
      <c r="E710" s="6" t="s">
        <v>70</v>
      </c>
      <c r="F710" s="6" t="s">
        <v>71</v>
      </c>
      <c r="G710" s="6" t="s">
        <v>71</v>
      </c>
      <c r="H710" s="7"/>
      <c r="I710" s="35" t="str">
        <f t="shared" si="145"/>
        <v>160922</v>
      </c>
      <c r="J710" s="31" t="str">
        <f t="shared" si="146"/>
        <v>12</v>
      </c>
      <c r="N710" s="12" t="str">
        <f t="shared" si="147"/>
        <v>1</v>
      </c>
      <c r="O710" s="11" t="str">
        <f t="shared" si="148"/>
        <v>2</v>
      </c>
      <c r="P710" s="11" t="str">
        <f t="shared" si="149"/>
        <v>1</v>
      </c>
      <c r="Q710" s="11" t="str">
        <f t="shared" si="150"/>
        <v>6</v>
      </c>
      <c r="R710" s="11" t="str">
        <f t="shared" si="151"/>
        <v>0</v>
      </c>
      <c r="S710" s="11" t="str">
        <f t="shared" si="152"/>
        <v>9</v>
      </c>
      <c r="T710" s="11" t="str">
        <f t="shared" si="153"/>
        <v>2</v>
      </c>
      <c r="U710" s="11" t="str">
        <f t="shared" si="154"/>
        <v>2</v>
      </c>
      <c r="V710" s="11" t="str">
        <f t="shared" si="155"/>
        <v>2</v>
      </c>
      <c r="W710" s="11" t="str">
        <f t="shared" si="156"/>
        <v>6</v>
      </c>
      <c r="X710" s="11" t="str">
        <f t="shared" si="157"/>
        <v>5</v>
      </c>
    </row>
    <row r="711" spans="1:24" x14ac:dyDescent="0.35">
      <c r="A711" s="5">
        <v>14571</v>
      </c>
      <c r="B711" s="5">
        <v>12160922266</v>
      </c>
      <c r="C711" s="5">
        <v>727073</v>
      </c>
      <c r="D711" s="5">
        <v>3763216</v>
      </c>
      <c r="E711" s="6" t="s">
        <v>70</v>
      </c>
      <c r="F711" s="6" t="s">
        <v>71</v>
      </c>
      <c r="G711" s="6" t="s">
        <v>71</v>
      </c>
      <c r="H711" s="7"/>
      <c r="I711" s="35" t="str">
        <f t="shared" si="145"/>
        <v>160922</v>
      </c>
      <c r="J711" s="31" t="str">
        <f t="shared" si="146"/>
        <v>12</v>
      </c>
      <c r="N711" s="12" t="str">
        <f t="shared" si="147"/>
        <v>1</v>
      </c>
      <c r="O711" s="11" t="str">
        <f t="shared" si="148"/>
        <v>2</v>
      </c>
      <c r="P711" s="11" t="str">
        <f t="shared" si="149"/>
        <v>1</v>
      </c>
      <c r="Q711" s="11" t="str">
        <f t="shared" si="150"/>
        <v>6</v>
      </c>
      <c r="R711" s="11" t="str">
        <f t="shared" si="151"/>
        <v>0</v>
      </c>
      <c r="S711" s="11" t="str">
        <f t="shared" si="152"/>
        <v>9</v>
      </c>
      <c r="T711" s="11" t="str">
        <f t="shared" si="153"/>
        <v>2</v>
      </c>
      <c r="U711" s="11" t="str">
        <f t="shared" si="154"/>
        <v>2</v>
      </c>
      <c r="V711" s="11" t="str">
        <f t="shared" si="155"/>
        <v>2</v>
      </c>
      <c r="W711" s="11" t="str">
        <f t="shared" si="156"/>
        <v>6</v>
      </c>
      <c r="X711" s="11" t="str">
        <f t="shared" si="157"/>
        <v>6</v>
      </c>
    </row>
    <row r="712" spans="1:24" x14ac:dyDescent="0.35">
      <c r="A712" s="5">
        <v>14572</v>
      </c>
      <c r="B712" s="5">
        <v>12160922267</v>
      </c>
      <c r="C712" s="5">
        <v>727123</v>
      </c>
      <c r="D712" s="5">
        <v>3763192</v>
      </c>
      <c r="E712" s="6" t="s">
        <v>70</v>
      </c>
      <c r="F712" s="6" t="s">
        <v>71</v>
      </c>
      <c r="G712" s="6" t="s">
        <v>71</v>
      </c>
      <c r="H712" s="7"/>
      <c r="I712" s="35" t="str">
        <f t="shared" si="145"/>
        <v>160922</v>
      </c>
      <c r="J712" s="31" t="str">
        <f t="shared" si="146"/>
        <v>12</v>
      </c>
      <c r="N712" s="12" t="str">
        <f t="shared" si="147"/>
        <v>1</v>
      </c>
      <c r="O712" s="11" t="str">
        <f t="shared" si="148"/>
        <v>2</v>
      </c>
      <c r="P712" s="11" t="str">
        <f t="shared" si="149"/>
        <v>1</v>
      </c>
      <c r="Q712" s="11" t="str">
        <f t="shared" si="150"/>
        <v>6</v>
      </c>
      <c r="R712" s="11" t="str">
        <f t="shared" si="151"/>
        <v>0</v>
      </c>
      <c r="S712" s="11" t="str">
        <f t="shared" si="152"/>
        <v>9</v>
      </c>
      <c r="T712" s="11" t="str">
        <f t="shared" si="153"/>
        <v>2</v>
      </c>
      <c r="U712" s="11" t="str">
        <f t="shared" si="154"/>
        <v>2</v>
      </c>
      <c r="V712" s="11" t="str">
        <f t="shared" si="155"/>
        <v>2</v>
      </c>
      <c r="W712" s="11" t="str">
        <f t="shared" si="156"/>
        <v>6</v>
      </c>
      <c r="X712" s="11" t="str">
        <f t="shared" si="157"/>
        <v>7</v>
      </c>
    </row>
    <row r="713" spans="1:24" x14ac:dyDescent="0.35">
      <c r="A713" s="5">
        <v>14573</v>
      </c>
      <c r="B713" s="5">
        <v>12160922268</v>
      </c>
      <c r="C713" s="5">
        <v>727089</v>
      </c>
      <c r="D713" s="5">
        <v>3763240</v>
      </c>
      <c r="E713" s="6" t="s">
        <v>70</v>
      </c>
      <c r="F713" s="6" t="s">
        <v>71</v>
      </c>
      <c r="G713" s="6" t="s">
        <v>71</v>
      </c>
      <c r="H713" s="7"/>
      <c r="I713" s="35" t="str">
        <f t="shared" si="145"/>
        <v>160922</v>
      </c>
      <c r="J713" s="31" t="str">
        <f t="shared" si="146"/>
        <v>12</v>
      </c>
      <c r="N713" s="12" t="str">
        <f t="shared" si="147"/>
        <v>1</v>
      </c>
      <c r="O713" s="11" t="str">
        <f t="shared" si="148"/>
        <v>2</v>
      </c>
      <c r="P713" s="11" t="str">
        <f t="shared" si="149"/>
        <v>1</v>
      </c>
      <c r="Q713" s="11" t="str">
        <f t="shared" si="150"/>
        <v>6</v>
      </c>
      <c r="R713" s="11" t="str">
        <f t="shared" si="151"/>
        <v>0</v>
      </c>
      <c r="S713" s="11" t="str">
        <f t="shared" si="152"/>
        <v>9</v>
      </c>
      <c r="T713" s="11" t="str">
        <f t="shared" si="153"/>
        <v>2</v>
      </c>
      <c r="U713" s="11" t="str">
        <f t="shared" si="154"/>
        <v>2</v>
      </c>
      <c r="V713" s="11" t="str">
        <f t="shared" si="155"/>
        <v>2</v>
      </c>
      <c r="W713" s="11" t="str">
        <f t="shared" si="156"/>
        <v>6</v>
      </c>
      <c r="X713" s="11" t="str">
        <f t="shared" si="157"/>
        <v>8</v>
      </c>
    </row>
    <row r="714" spans="1:24" x14ac:dyDescent="0.35">
      <c r="A714" s="5">
        <v>14574</v>
      </c>
      <c r="B714" s="5">
        <v>12160922269</v>
      </c>
      <c r="C714" s="5">
        <v>727058</v>
      </c>
      <c r="D714" s="5">
        <v>3763176</v>
      </c>
      <c r="E714" s="6" t="s">
        <v>70</v>
      </c>
      <c r="F714" s="6" t="s">
        <v>71</v>
      </c>
      <c r="G714" s="6" t="s">
        <v>71</v>
      </c>
      <c r="H714" s="7"/>
      <c r="I714" s="35" t="str">
        <f t="shared" si="145"/>
        <v>160922</v>
      </c>
      <c r="J714" s="31" t="str">
        <f t="shared" si="146"/>
        <v>12</v>
      </c>
      <c r="N714" s="12" t="str">
        <f t="shared" si="147"/>
        <v>1</v>
      </c>
      <c r="O714" s="11" t="str">
        <f t="shared" si="148"/>
        <v>2</v>
      </c>
      <c r="P714" s="11" t="str">
        <f t="shared" si="149"/>
        <v>1</v>
      </c>
      <c r="Q714" s="11" t="str">
        <f t="shared" si="150"/>
        <v>6</v>
      </c>
      <c r="R714" s="11" t="str">
        <f t="shared" si="151"/>
        <v>0</v>
      </c>
      <c r="S714" s="11" t="str">
        <f t="shared" si="152"/>
        <v>9</v>
      </c>
      <c r="T714" s="11" t="str">
        <f t="shared" si="153"/>
        <v>2</v>
      </c>
      <c r="U714" s="11" t="str">
        <f t="shared" si="154"/>
        <v>2</v>
      </c>
      <c r="V714" s="11" t="str">
        <f t="shared" si="155"/>
        <v>2</v>
      </c>
      <c r="W714" s="11" t="str">
        <f t="shared" si="156"/>
        <v>6</v>
      </c>
      <c r="X714" s="11" t="str">
        <f t="shared" si="157"/>
        <v>9</v>
      </c>
    </row>
    <row r="715" spans="1:24" x14ac:dyDescent="0.35">
      <c r="A715" s="5">
        <v>14575</v>
      </c>
      <c r="B715" s="5">
        <v>12160922270</v>
      </c>
      <c r="C715" s="5">
        <v>727058.1</v>
      </c>
      <c r="D715" s="5">
        <v>3763176.3</v>
      </c>
      <c r="E715" s="6" t="s">
        <v>70</v>
      </c>
      <c r="F715" s="6" t="s">
        <v>71</v>
      </c>
      <c r="G715" s="6" t="s">
        <v>71</v>
      </c>
      <c r="H715" s="7"/>
      <c r="I715" s="35" t="str">
        <f t="shared" si="145"/>
        <v>160922</v>
      </c>
      <c r="J715" s="31" t="str">
        <f t="shared" si="146"/>
        <v>12</v>
      </c>
      <c r="N715" s="12" t="str">
        <f t="shared" si="147"/>
        <v>1</v>
      </c>
      <c r="O715" s="11" t="str">
        <f t="shared" si="148"/>
        <v>2</v>
      </c>
      <c r="P715" s="11" t="str">
        <f t="shared" si="149"/>
        <v>1</v>
      </c>
      <c r="Q715" s="11" t="str">
        <f t="shared" si="150"/>
        <v>6</v>
      </c>
      <c r="R715" s="11" t="str">
        <f t="shared" si="151"/>
        <v>0</v>
      </c>
      <c r="S715" s="11" t="str">
        <f t="shared" si="152"/>
        <v>9</v>
      </c>
      <c r="T715" s="11" t="str">
        <f t="shared" si="153"/>
        <v>2</v>
      </c>
      <c r="U715" s="11" t="str">
        <f t="shared" si="154"/>
        <v>2</v>
      </c>
      <c r="V715" s="11" t="str">
        <f t="shared" si="155"/>
        <v>2</v>
      </c>
      <c r="W715" s="11" t="str">
        <f t="shared" si="156"/>
        <v>7</v>
      </c>
      <c r="X715" s="11" t="str">
        <f t="shared" si="157"/>
        <v>0</v>
      </c>
    </row>
    <row r="716" spans="1:24" x14ac:dyDescent="0.35">
      <c r="A716" s="5">
        <v>14576</v>
      </c>
      <c r="B716" s="5">
        <v>12160922271</v>
      </c>
      <c r="C716" s="5">
        <v>727058.2</v>
      </c>
      <c r="D716" s="5">
        <v>3763176.4</v>
      </c>
      <c r="E716" s="6" t="s">
        <v>70</v>
      </c>
      <c r="F716" s="6" t="s">
        <v>71</v>
      </c>
      <c r="G716" s="6" t="s">
        <v>71</v>
      </c>
      <c r="H716" s="7"/>
      <c r="I716" s="35" t="str">
        <f t="shared" si="145"/>
        <v>160922</v>
      </c>
      <c r="J716" s="31" t="str">
        <f t="shared" si="146"/>
        <v>12</v>
      </c>
      <c r="N716" s="12" t="str">
        <f t="shared" si="147"/>
        <v>1</v>
      </c>
      <c r="O716" s="11" t="str">
        <f t="shared" si="148"/>
        <v>2</v>
      </c>
      <c r="P716" s="11" t="str">
        <f t="shared" si="149"/>
        <v>1</v>
      </c>
      <c r="Q716" s="11" t="str">
        <f t="shared" si="150"/>
        <v>6</v>
      </c>
      <c r="R716" s="11" t="str">
        <f t="shared" si="151"/>
        <v>0</v>
      </c>
      <c r="S716" s="11" t="str">
        <f t="shared" si="152"/>
        <v>9</v>
      </c>
      <c r="T716" s="11" t="str">
        <f t="shared" si="153"/>
        <v>2</v>
      </c>
      <c r="U716" s="11" t="str">
        <f t="shared" si="154"/>
        <v>2</v>
      </c>
      <c r="V716" s="11" t="str">
        <f t="shared" si="155"/>
        <v>2</v>
      </c>
      <c r="W716" s="11" t="str">
        <f t="shared" si="156"/>
        <v>7</v>
      </c>
      <c r="X716" s="11" t="str">
        <f t="shared" si="157"/>
        <v>1</v>
      </c>
    </row>
    <row r="717" spans="1:24" x14ac:dyDescent="0.35">
      <c r="A717" s="5">
        <v>14577</v>
      </c>
      <c r="B717" s="5">
        <v>12160922272</v>
      </c>
      <c r="C717" s="5">
        <v>727089</v>
      </c>
      <c r="D717" s="5">
        <v>3763158</v>
      </c>
      <c r="E717" s="6" t="s">
        <v>70</v>
      </c>
      <c r="F717" s="6" t="s">
        <v>71</v>
      </c>
      <c r="G717" s="6" t="s">
        <v>71</v>
      </c>
      <c r="H717" s="7"/>
      <c r="I717" s="35" t="str">
        <f t="shared" si="145"/>
        <v>160922</v>
      </c>
      <c r="J717" s="31" t="str">
        <f t="shared" si="146"/>
        <v>12</v>
      </c>
      <c r="N717" s="12" t="str">
        <f t="shared" si="147"/>
        <v>1</v>
      </c>
      <c r="O717" s="11" t="str">
        <f t="shared" si="148"/>
        <v>2</v>
      </c>
      <c r="P717" s="11" t="str">
        <f t="shared" si="149"/>
        <v>1</v>
      </c>
      <c r="Q717" s="11" t="str">
        <f t="shared" si="150"/>
        <v>6</v>
      </c>
      <c r="R717" s="11" t="str">
        <f t="shared" si="151"/>
        <v>0</v>
      </c>
      <c r="S717" s="11" t="str">
        <f t="shared" si="152"/>
        <v>9</v>
      </c>
      <c r="T717" s="11" t="str">
        <f t="shared" si="153"/>
        <v>2</v>
      </c>
      <c r="U717" s="11" t="str">
        <f t="shared" si="154"/>
        <v>2</v>
      </c>
      <c r="V717" s="11" t="str">
        <f t="shared" si="155"/>
        <v>2</v>
      </c>
      <c r="W717" s="11" t="str">
        <f t="shared" si="156"/>
        <v>7</v>
      </c>
      <c r="X717" s="11" t="str">
        <f t="shared" si="157"/>
        <v>2</v>
      </c>
    </row>
    <row r="718" spans="1:24" x14ac:dyDescent="0.35">
      <c r="A718" s="5">
        <v>14578</v>
      </c>
      <c r="B718" s="5">
        <v>12160922273</v>
      </c>
      <c r="C718" s="5">
        <v>727041</v>
      </c>
      <c r="D718" s="5">
        <v>3763143</v>
      </c>
      <c r="E718" s="6" t="s">
        <v>70</v>
      </c>
      <c r="F718" s="6" t="s">
        <v>71</v>
      </c>
      <c r="G718" s="6" t="s">
        <v>71</v>
      </c>
      <c r="H718" s="7"/>
      <c r="I718" s="35" t="str">
        <f t="shared" si="145"/>
        <v>160922</v>
      </c>
      <c r="J718" s="31" t="str">
        <f t="shared" si="146"/>
        <v>12</v>
      </c>
      <c r="N718" s="12" t="str">
        <f t="shared" si="147"/>
        <v>1</v>
      </c>
      <c r="O718" s="11" t="str">
        <f t="shared" si="148"/>
        <v>2</v>
      </c>
      <c r="P718" s="11" t="str">
        <f t="shared" si="149"/>
        <v>1</v>
      </c>
      <c r="Q718" s="11" t="str">
        <f t="shared" si="150"/>
        <v>6</v>
      </c>
      <c r="R718" s="11" t="str">
        <f t="shared" si="151"/>
        <v>0</v>
      </c>
      <c r="S718" s="11" t="str">
        <f t="shared" si="152"/>
        <v>9</v>
      </c>
      <c r="T718" s="11" t="str">
        <f t="shared" si="153"/>
        <v>2</v>
      </c>
      <c r="U718" s="11" t="str">
        <f t="shared" si="154"/>
        <v>2</v>
      </c>
      <c r="V718" s="11" t="str">
        <f t="shared" si="155"/>
        <v>2</v>
      </c>
      <c r="W718" s="11" t="str">
        <f t="shared" si="156"/>
        <v>7</v>
      </c>
      <c r="X718" s="11" t="str">
        <f t="shared" si="157"/>
        <v>3</v>
      </c>
    </row>
    <row r="719" spans="1:24" x14ac:dyDescent="0.35">
      <c r="A719" s="5">
        <v>14579</v>
      </c>
      <c r="B719" s="5">
        <v>12160922274</v>
      </c>
      <c r="C719" s="5">
        <v>727041</v>
      </c>
      <c r="D719" s="5">
        <v>3763140</v>
      </c>
      <c r="E719" s="6" t="s">
        <v>70</v>
      </c>
      <c r="F719" s="6" t="s">
        <v>71</v>
      </c>
      <c r="G719" s="6" t="s">
        <v>71</v>
      </c>
      <c r="H719" s="7"/>
      <c r="I719" s="35" t="str">
        <f t="shared" si="145"/>
        <v>160922</v>
      </c>
      <c r="J719" s="31" t="str">
        <f t="shared" si="146"/>
        <v>12</v>
      </c>
      <c r="N719" s="12" t="str">
        <f t="shared" si="147"/>
        <v>1</v>
      </c>
      <c r="O719" s="11" t="str">
        <f t="shared" si="148"/>
        <v>2</v>
      </c>
      <c r="P719" s="11" t="str">
        <f t="shared" si="149"/>
        <v>1</v>
      </c>
      <c r="Q719" s="11" t="str">
        <f t="shared" si="150"/>
        <v>6</v>
      </c>
      <c r="R719" s="11" t="str">
        <f t="shared" si="151"/>
        <v>0</v>
      </c>
      <c r="S719" s="11" t="str">
        <f t="shared" si="152"/>
        <v>9</v>
      </c>
      <c r="T719" s="11" t="str">
        <f t="shared" si="153"/>
        <v>2</v>
      </c>
      <c r="U719" s="11" t="str">
        <f t="shared" si="154"/>
        <v>2</v>
      </c>
      <c r="V719" s="11" t="str">
        <f t="shared" si="155"/>
        <v>2</v>
      </c>
      <c r="W719" s="11" t="str">
        <f t="shared" si="156"/>
        <v>7</v>
      </c>
      <c r="X719" s="11" t="str">
        <f t="shared" si="157"/>
        <v>4</v>
      </c>
    </row>
    <row r="720" spans="1:24" x14ac:dyDescent="0.35">
      <c r="A720" s="5">
        <v>14580</v>
      </c>
      <c r="B720" s="5">
        <v>12160922275</v>
      </c>
      <c r="C720" s="5">
        <v>727041</v>
      </c>
      <c r="D720" s="5">
        <v>3763142</v>
      </c>
      <c r="E720" s="6" t="s">
        <v>70</v>
      </c>
      <c r="F720" s="6" t="s">
        <v>71</v>
      </c>
      <c r="G720" s="6" t="s">
        <v>71</v>
      </c>
      <c r="H720" s="7"/>
      <c r="I720" s="35" t="str">
        <f t="shared" si="145"/>
        <v>160922</v>
      </c>
      <c r="J720" s="31" t="str">
        <f t="shared" si="146"/>
        <v>12</v>
      </c>
      <c r="N720" s="12" t="str">
        <f t="shared" si="147"/>
        <v>1</v>
      </c>
      <c r="O720" s="11" t="str">
        <f t="shared" si="148"/>
        <v>2</v>
      </c>
      <c r="P720" s="11" t="str">
        <f t="shared" si="149"/>
        <v>1</v>
      </c>
      <c r="Q720" s="11" t="str">
        <f t="shared" si="150"/>
        <v>6</v>
      </c>
      <c r="R720" s="11" t="str">
        <f t="shared" si="151"/>
        <v>0</v>
      </c>
      <c r="S720" s="11" t="str">
        <f t="shared" si="152"/>
        <v>9</v>
      </c>
      <c r="T720" s="11" t="str">
        <f t="shared" si="153"/>
        <v>2</v>
      </c>
      <c r="U720" s="11" t="str">
        <f t="shared" si="154"/>
        <v>2</v>
      </c>
      <c r="V720" s="11" t="str">
        <f t="shared" si="155"/>
        <v>2</v>
      </c>
      <c r="W720" s="11" t="str">
        <f t="shared" si="156"/>
        <v>7</v>
      </c>
      <c r="X720" s="11" t="str">
        <f t="shared" si="157"/>
        <v>5</v>
      </c>
    </row>
    <row r="721" spans="1:24" x14ac:dyDescent="0.35">
      <c r="A721" s="5">
        <v>14581</v>
      </c>
      <c r="B721" s="5">
        <v>12160922276</v>
      </c>
      <c r="C721" s="5">
        <v>727008</v>
      </c>
      <c r="D721" s="5">
        <v>3763158</v>
      </c>
      <c r="E721" s="6" t="s">
        <v>70</v>
      </c>
      <c r="F721" s="6" t="s">
        <v>71</v>
      </c>
      <c r="G721" s="6" t="s">
        <v>71</v>
      </c>
      <c r="H721" s="7"/>
      <c r="I721" s="35" t="str">
        <f t="shared" si="145"/>
        <v>160922</v>
      </c>
      <c r="J721" s="31" t="str">
        <f t="shared" si="146"/>
        <v>12</v>
      </c>
      <c r="N721" s="12" t="str">
        <f t="shared" si="147"/>
        <v>1</v>
      </c>
      <c r="O721" s="11" t="str">
        <f t="shared" si="148"/>
        <v>2</v>
      </c>
      <c r="P721" s="11" t="str">
        <f t="shared" si="149"/>
        <v>1</v>
      </c>
      <c r="Q721" s="11" t="str">
        <f t="shared" si="150"/>
        <v>6</v>
      </c>
      <c r="R721" s="11" t="str">
        <f t="shared" si="151"/>
        <v>0</v>
      </c>
      <c r="S721" s="11" t="str">
        <f t="shared" si="152"/>
        <v>9</v>
      </c>
      <c r="T721" s="11" t="str">
        <f t="shared" si="153"/>
        <v>2</v>
      </c>
      <c r="U721" s="11" t="str">
        <f t="shared" si="154"/>
        <v>2</v>
      </c>
      <c r="V721" s="11" t="str">
        <f t="shared" si="155"/>
        <v>2</v>
      </c>
      <c r="W721" s="11" t="str">
        <f t="shared" si="156"/>
        <v>7</v>
      </c>
      <c r="X721" s="11" t="str">
        <f t="shared" si="157"/>
        <v>6</v>
      </c>
    </row>
    <row r="722" spans="1:24" x14ac:dyDescent="0.35">
      <c r="A722" s="5">
        <v>14582</v>
      </c>
      <c r="B722" s="5">
        <v>12160922277</v>
      </c>
      <c r="C722" s="5">
        <v>726991</v>
      </c>
      <c r="D722" s="5">
        <v>3763128</v>
      </c>
      <c r="E722" s="6" t="s">
        <v>70</v>
      </c>
      <c r="F722" s="6" t="s">
        <v>71</v>
      </c>
      <c r="G722" s="6" t="s">
        <v>71</v>
      </c>
      <c r="H722" s="7"/>
      <c r="I722" s="35" t="str">
        <f t="shared" si="145"/>
        <v>160922</v>
      </c>
      <c r="J722" s="31" t="str">
        <f t="shared" si="146"/>
        <v>12</v>
      </c>
      <c r="N722" s="12" t="str">
        <f t="shared" si="147"/>
        <v>1</v>
      </c>
      <c r="O722" s="11" t="str">
        <f t="shared" si="148"/>
        <v>2</v>
      </c>
      <c r="P722" s="11" t="str">
        <f t="shared" si="149"/>
        <v>1</v>
      </c>
      <c r="Q722" s="11" t="str">
        <f t="shared" si="150"/>
        <v>6</v>
      </c>
      <c r="R722" s="11" t="str">
        <f t="shared" si="151"/>
        <v>0</v>
      </c>
      <c r="S722" s="11" t="str">
        <f t="shared" si="152"/>
        <v>9</v>
      </c>
      <c r="T722" s="11" t="str">
        <f t="shared" si="153"/>
        <v>2</v>
      </c>
      <c r="U722" s="11" t="str">
        <f t="shared" si="154"/>
        <v>2</v>
      </c>
      <c r="V722" s="11" t="str">
        <f t="shared" si="155"/>
        <v>2</v>
      </c>
      <c r="W722" s="11" t="str">
        <f t="shared" si="156"/>
        <v>7</v>
      </c>
      <c r="X722" s="11" t="str">
        <f t="shared" si="157"/>
        <v>7</v>
      </c>
    </row>
    <row r="723" spans="1:24" x14ac:dyDescent="0.35">
      <c r="A723" s="5">
        <v>14583</v>
      </c>
      <c r="B723" s="5">
        <v>12160922278</v>
      </c>
      <c r="C723" s="5">
        <v>727024</v>
      </c>
      <c r="D723" s="5">
        <v>3763103</v>
      </c>
      <c r="E723" s="6" t="s">
        <v>70</v>
      </c>
      <c r="F723" s="6" t="s">
        <v>71</v>
      </c>
      <c r="G723" s="6" t="s">
        <v>71</v>
      </c>
      <c r="H723" s="7"/>
      <c r="I723" s="35" t="str">
        <f t="shared" si="145"/>
        <v>160922</v>
      </c>
      <c r="J723" s="31" t="str">
        <f t="shared" si="146"/>
        <v>12</v>
      </c>
      <c r="N723" s="12" t="str">
        <f t="shared" si="147"/>
        <v>1</v>
      </c>
      <c r="O723" s="11" t="str">
        <f t="shared" si="148"/>
        <v>2</v>
      </c>
      <c r="P723" s="11" t="str">
        <f t="shared" si="149"/>
        <v>1</v>
      </c>
      <c r="Q723" s="11" t="str">
        <f t="shared" si="150"/>
        <v>6</v>
      </c>
      <c r="R723" s="11" t="str">
        <f t="shared" si="151"/>
        <v>0</v>
      </c>
      <c r="S723" s="11" t="str">
        <f t="shared" si="152"/>
        <v>9</v>
      </c>
      <c r="T723" s="11" t="str">
        <f t="shared" si="153"/>
        <v>2</v>
      </c>
      <c r="U723" s="11" t="str">
        <f t="shared" si="154"/>
        <v>2</v>
      </c>
      <c r="V723" s="11" t="str">
        <f t="shared" si="155"/>
        <v>2</v>
      </c>
      <c r="W723" s="11" t="str">
        <f t="shared" si="156"/>
        <v>7</v>
      </c>
      <c r="X723" s="11" t="str">
        <f t="shared" si="157"/>
        <v>8</v>
      </c>
    </row>
    <row r="724" spans="1:24" x14ac:dyDescent="0.35">
      <c r="A724" s="5">
        <v>14584</v>
      </c>
      <c r="B724" s="5">
        <v>12160922279</v>
      </c>
      <c r="C724" s="5">
        <v>726968</v>
      </c>
      <c r="D724" s="5">
        <v>3763337</v>
      </c>
      <c r="E724" s="6" t="s">
        <v>70</v>
      </c>
      <c r="F724" s="6" t="s">
        <v>71</v>
      </c>
      <c r="G724" s="6" t="s">
        <v>71</v>
      </c>
      <c r="H724" s="7"/>
      <c r="I724" s="35" t="str">
        <f t="shared" si="145"/>
        <v>160922</v>
      </c>
      <c r="J724" s="31" t="str">
        <f t="shared" si="146"/>
        <v>12</v>
      </c>
      <c r="N724" s="12" t="str">
        <f t="shared" si="147"/>
        <v>1</v>
      </c>
      <c r="O724" s="11" t="str">
        <f t="shared" si="148"/>
        <v>2</v>
      </c>
      <c r="P724" s="11" t="str">
        <f t="shared" si="149"/>
        <v>1</v>
      </c>
      <c r="Q724" s="11" t="str">
        <f t="shared" si="150"/>
        <v>6</v>
      </c>
      <c r="R724" s="11" t="str">
        <f t="shared" si="151"/>
        <v>0</v>
      </c>
      <c r="S724" s="11" t="str">
        <f t="shared" si="152"/>
        <v>9</v>
      </c>
      <c r="T724" s="11" t="str">
        <f t="shared" si="153"/>
        <v>2</v>
      </c>
      <c r="U724" s="11" t="str">
        <f t="shared" si="154"/>
        <v>2</v>
      </c>
      <c r="V724" s="11" t="str">
        <f t="shared" si="155"/>
        <v>2</v>
      </c>
      <c r="W724" s="11" t="str">
        <f t="shared" si="156"/>
        <v>7</v>
      </c>
      <c r="X724" s="11" t="str">
        <f t="shared" si="157"/>
        <v>9</v>
      </c>
    </row>
    <row r="725" spans="1:24" x14ac:dyDescent="0.35">
      <c r="A725" s="5">
        <v>14585</v>
      </c>
      <c r="B725" s="5">
        <v>12160922280</v>
      </c>
      <c r="C725" s="5">
        <v>726920</v>
      </c>
      <c r="D725" s="5">
        <v>3763366</v>
      </c>
      <c r="E725" s="6" t="s">
        <v>70</v>
      </c>
      <c r="F725" s="6" t="s">
        <v>70</v>
      </c>
      <c r="G725" s="6" t="s">
        <v>70</v>
      </c>
      <c r="H725" s="7"/>
      <c r="I725" s="35" t="str">
        <f t="shared" si="145"/>
        <v>160922</v>
      </c>
      <c r="J725" s="31" t="str">
        <f t="shared" si="146"/>
        <v>12</v>
      </c>
      <c r="N725" s="12" t="str">
        <f t="shared" si="147"/>
        <v>1</v>
      </c>
      <c r="O725" s="11" t="str">
        <f t="shared" si="148"/>
        <v>2</v>
      </c>
      <c r="P725" s="11" t="str">
        <f t="shared" si="149"/>
        <v>1</v>
      </c>
      <c r="Q725" s="11" t="str">
        <f t="shared" si="150"/>
        <v>6</v>
      </c>
      <c r="R725" s="11" t="str">
        <f t="shared" si="151"/>
        <v>0</v>
      </c>
      <c r="S725" s="11" t="str">
        <f t="shared" si="152"/>
        <v>9</v>
      </c>
      <c r="T725" s="11" t="str">
        <f t="shared" si="153"/>
        <v>2</v>
      </c>
      <c r="U725" s="11" t="str">
        <f t="shared" si="154"/>
        <v>2</v>
      </c>
      <c r="V725" s="11" t="str">
        <f t="shared" si="155"/>
        <v>2</v>
      </c>
      <c r="W725" s="11" t="str">
        <f t="shared" si="156"/>
        <v>8</v>
      </c>
      <c r="X725" s="11" t="str">
        <f t="shared" si="157"/>
        <v>0</v>
      </c>
    </row>
    <row r="726" spans="1:24" x14ac:dyDescent="0.35">
      <c r="A726" s="5">
        <v>14586</v>
      </c>
      <c r="B726" s="5">
        <v>12160922281</v>
      </c>
      <c r="C726" s="5">
        <v>727022</v>
      </c>
      <c r="D726" s="5">
        <v>3763313</v>
      </c>
      <c r="E726" s="6" t="s">
        <v>70</v>
      </c>
      <c r="F726" s="6" t="s">
        <v>71</v>
      </c>
      <c r="G726" s="6" t="s">
        <v>71</v>
      </c>
      <c r="H726" s="7"/>
      <c r="I726" s="35" t="str">
        <f t="shared" si="145"/>
        <v>160922</v>
      </c>
      <c r="J726" s="31" t="str">
        <f t="shared" si="146"/>
        <v>12</v>
      </c>
      <c r="N726" s="12" t="str">
        <f t="shared" si="147"/>
        <v>1</v>
      </c>
      <c r="O726" s="11" t="str">
        <f t="shared" si="148"/>
        <v>2</v>
      </c>
      <c r="P726" s="11" t="str">
        <f t="shared" si="149"/>
        <v>1</v>
      </c>
      <c r="Q726" s="11" t="str">
        <f t="shared" si="150"/>
        <v>6</v>
      </c>
      <c r="R726" s="11" t="str">
        <f t="shared" si="151"/>
        <v>0</v>
      </c>
      <c r="S726" s="11" t="str">
        <f t="shared" si="152"/>
        <v>9</v>
      </c>
      <c r="T726" s="11" t="str">
        <f t="shared" si="153"/>
        <v>2</v>
      </c>
      <c r="U726" s="11" t="str">
        <f t="shared" si="154"/>
        <v>2</v>
      </c>
      <c r="V726" s="11" t="str">
        <f t="shared" si="155"/>
        <v>2</v>
      </c>
      <c r="W726" s="11" t="str">
        <f t="shared" si="156"/>
        <v>8</v>
      </c>
      <c r="X726" s="11" t="str">
        <f t="shared" si="157"/>
        <v>1</v>
      </c>
    </row>
    <row r="727" spans="1:24" x14ac:dyDescent="0.35">
      <c r="A727" s="5">
        <v>14587</v>
      </c>
      <c r="B727" s="5">
        <v>12160922282</v>
      </c>
      <c r="C727" s="5">
        <v>727037</v>
      </c>
      <c r="D727" s="5">
        <v>3763349</v>
      </c>
      <c r="E727" s="6" t="s">
        <v>70</v>
      </c>
      <c r="F727" s="6" t="s">
        <v>71</v>
      </c>
      <c r="G727" s="6" t="s">
        <v>71</v>
      </c>
      <c r="H727" s="7"/>
      <c r="I727" s="35" t="str">
        <f t="shared" si="145"/>
        <v>160922</v>
      </c>
      <c r="J727" s="31" t="str">
        <f t="shared" si="146"/>
        <v>12</v>
      </c>
      <c r="N727" s="12" t="str">
        <f t="shared" si="147"/>
        <v>1</v>
      </c>
      <c r="O727" s="11" t="str">
        <f t="shared" si="148"/>
        <v>2</v>
      </c>
      <c r="P727" s="11" t="str">
        <f t="shared" si="149"/>
        <v>1</v>
      </c>
      <c r="Q727" s="11" t="str">
        <f t="shared" si="150"/>
        <v>6</v>
      </c>
      <c r="R727" s="11" t="str">
        <f t="shared" si="151"/>
        <v>0</v>
      </c>
      <c r="S727" s="11" t="str">
        <f t="shared" si="152"/>
        <v>9</v>
      </c>
      <c r="T727" s="11" t="str">
        <f t="shared" si="153"/>
        <v>2</v>
      </c>
      <c r="U727" s="11" t="str">
        <f t="shared" si="154"/>
        <v>2</v>
      </c>
      <c r="V727" s="11" t="str">
        <f t="shared" si="155"/>
        <v>2</v>
      </c>
      <c r="W727" s="11" t="str">
        <f t="shared" si="156"/>
        <v>8</v>
      </c>
      <c r="X727" s="11" t="str">
        <f t="shared" si="157"/>
        <v>2</v>
      </c>
    </row>
    <row r="728" spans="1:24" x14ac:dyDescent="0.35">
      <c r="A728" s="5">
        <v>14588</v>
      </c>
      <c r="B728" s="5">
        <v>12160922283</v>
      </c>
      <c r="C728" s="5">
        <v>727037.1</v>
      </c>
      <c r="D728" s="5">
        <v>3763349.3</v>
      </c>
      <c r="E728" s="6" t="s">
        <v>70</v>
      </c>
      <c r="F728" s="6" t="s">
        <v>71</v>
      </c>
      <c r="G728" s="6" t="s">
        <v>71</v>
      </c>
      <c r="H728" s="7"/>
      <c r="I728" s="35" t="str">
        <f t="shared" si="145"/>
        <v>160922</v>
      </c>
      <c r="J728" s="31" t="str">
        <f t="shared" si="146"/>
        <v>12</v>
      </c>
      <c r="N728" s="12" t="str">
        <f t="shared" si="147"/>
        <v>1</v>
      </c>
      <c r="O728" s="11" t="str">
        <f t="shared" si="148"/>
        <v>2</v>
      </c>
      <c r="P728" s="11" t="str">
        <f t="shared" si="149"/>
        <v>1</v>
      </c>
      <c r="Q728" s="11" t="str">
        <f t="shared" si="150"/>
        <v>6</v>
      </c>
      <c r="R728" s="11" t="str">
        <f t="shared" si="151"/>
        <v>0</v>
      </c>
      <c r="S728" s="11" t="str">
        <f t="shared" si="152"/>
        <v>9</v>
      </c>
      <c r="T728" s="11" t="str">
        <f t="shared" si="153"/>
        <v>2</v>
      </c>
      <c r="U728" s="11" t="str">
        <f t="shared" si="154"/>
        <v>2</v>
      </c>
      <c r="V728" s="11" t="str">
        <f t="shared" si="155"/>
        <v>2</v>
      </c>
      <c r="W728" s="11" t="str">
        <f t="shared" si="156"/>
        <v>8</v>
      </c>
      <c r="X728" s="11" t="str">
        <f t="shared" si="157"/>
        <v>3</v>
      </c>
    </row>
    <row r="729" spans="1:24" x14ac:dyDescent="0.35">
      <c r="A729" s="5">
        <v>14589</v>
      </c>
      <c r="B729" s="5">
        <v>12160922284</v>
      </c>
      <c r="C729" s="5">
        <v>727037.2</v>
      </c>
      <c r="D729" s="5">
        <v>3763349.4</v>
      </c>
      <c r="E729" s="6" t="s">
        <v>70</v>
      </c>
      <c r="F729" s="6" t="s">
        <v>71</v>
      </c>
      <c r="G729" s="6" t="s">
        <v>71</v>
      </c>
      <c r="H729" s="7"/>
      <c r="I729" s="35" t="str">
        <f t="shared" si="145"/>
        <v>160922</v>
      </c>
      <c r="J729" s="31" t="str">
        <f t="shared" si="146"/>
        <v>12</v>
      </c>
      <c r="N729" s="12" t="str">
        <f t="shared" si="147"/>
        <v>1</v>
      </c>
      <c r="O729" s="11" t="str">
        <f t="shared" si="148"/>
        <v>2</v>
      </c>
      <c r="P729" s="11" t="str">
        <f t="shared" si="149"/>
        <v>1</v>
      </c>
      <c r="Q729" s="11" t="str">
        <f t="shared" si="150"/>
        <v>6</v>
      </c>
      <c r="R729" s="11" t="str">
        <f t="shared" si="151"/>
        <v>0</v>
      </c>
      <c r="S729" s="11" t="str">
        <f t="shared" si="152"/>
        <v>9</v>
      </c>
      <c r="T729" s="11" t="str">
        <f t="shared" si="153"/>
        <v>2</v>
      </c>
      <c r="U729" s="11" t="str">
        <f t="shared" si="154"/>
        <v>2</v>
      </c>
      <c r="V729" s="11" t="str">
        <f t="shared" si="155"/>
        <v>2</v>
      </c>
      <c r="W729" s="11" t="str">
        <f t="shared" si="156"/>
        <v>8</v>
      </c>
      <c r="X729" s="11" t="str">
        <f t="shared" si="157"/>
        <v>4</v>
      </c>
    </row>
    <row r="730" spans="1:24" x14ac:dyDescent="0.35">
      <c r="A730" s="5">
        <v>14590</v>
      </c>
      <c r="B730" s="5">
        <v>12160922285</v>
      </c>
      <c r="C730" s="5">
        <v>727058</v>
      </c>
      <c r="D730" s="5">
        <v>3763392</v>
      </c>
      <c r="E730" s="6" t="s">
        <v>70</v>
      </c>
      <c r="F730" s="6" t="s">
        <v>71</v>
      </c>
      <c r="G730" s="6" t="s">
        <v>71</v>
      </c>
      <c r="H730" s="7"/>
      <c r="I730" s="35" t="str">
        <f t="shared" si="145"/>
        <v>160922</v>
      </c>
      <c r="J730" s="31" t="str">
        <f t="shared" si="146"/>
        <v>12</v>
      </c>
      <c r="N730" s="12" t="str">
        <f t="shared" si="147"/>
        <v>1</v>
      </c>
      <c r="O730" s="11" t="str">
        <f t="shared" si="148"/>
        <v>2</v>
      </c>
      <c r="P730" s="11" t="str">
        <f t="shared" si="149"/>
        <v>1</v>
      </c>
      <c r="Q730" s="11" t="str">
        <f t="shared" si="150"/>
        <v>6</v>
      </c>
      <c r="R730" s="11" t="str">
        <f t="shared" si="151"/>
        <v>0</v>
      </c>
      <c r="S730" s="11" t="str">
        <f t="shared" si="152"/>
        <v>9</v>
      </c>
      <c r="T730" s="11" t="str">
        <f t="shared" si="153"/>
        <v>2</v>
      </c>
      <c r="U730" s="11" t="str">
        <f t="shared" si="154"/>
        <v>2</v>
      </c>
      <c r="V730" s="11" t="str">
        <f t="shared" si="155"/>
        <v>2</v>
      </c>
      <c r="W730" s="11" t="str">
        <f t="shared" si="156"/>
        <v>8</v>
      </c>
      <c r="X730" s="11" t="str">
        <f t="shared" si="157"/>
        <v>5</v>
      </c>
    </row>
    <row r="731" spans="1:24" x14ac:dyDescent="0.35">
      <c r="A731" s="5">
        <v>14591</v>
      </c>
      <c r="B731" s="5">
        <v>12160922286</v>
      </c>
      <c r="C731" s="5">
        <v>727079</v>
      </c>
      <c r="D731" s="5">
        <v>3763434</v>
      </c>
      <c r="E731" s="6" t="s">
        <v>70</v>
      </c>
      <c r="F731" s="6" t="s">
        <v>71</v>
      </c>
      <c r="G731" s="6" t="s">
        <v>71</v>
      </c>
      <c r="H731" s="7"/>
      <c r="I731" s="35" t="str">
        <f t="shared" si="145"/>
        <v>160922</v>
      </c>
      <c r="J731" s="31" t="str">
        <f t="shared" si="146"/>
        <v>12</v>
      </c>
      <c r="N731" s="12" t="str">
        <f t="shared" si="147"/>
        <v>1</v>
      </c>
      <c r="O731" s="11" t="str">
        <f t="shared" si="148"/>
        <v>2</v>
      </c>
      <c r="P731" s="11" t="str">
        <f t="shared" si="149"/>
        <v>1</v>
      </c>
      <c r="Q731" s="11" t="str">
        <f t="shared" si="150"/>
        <v>6</v>
      </c>
      <c r="R731" s="11" t="str">
        <f t="shared" si="151"/>
        <v>0</v>
      </c>
      <c r="S731" s="11" t="str">
        <f t="shared" si="152"/>
        <v>9</v>
      </c>
      <c r="T731" s="11" t="str">
        <f t="shared" si="153"/>
        <v>2</v>
      </c>
      <c r="U731" s="11" t="str">
        <f t="shared" si="154"/>
        <v>2</v>
      </c>
      <c r="V731" s="11" t="str">
        <f t="shared" si="155"/>
        <v>2</v>
      </c>
      <c r="W731" s="11" t="str">
        <f t="shared" si="156"/>
        <v>8</v>
      </c>
      <c r="X731" s="11" t="str">
        <f t="shared" si="157"/>
        <v>6</v>
      </c>
    </row>
    <row r="732" spans="1:24" x14ac:dyDescent="0.35">
      <c r="A732" s="5">
        <v>14592</v>
      </c>
      <c r="B732" s="5">
        <v>12160922287</v>
      </c>
      <c r="C732" s="5">
        <v>727056</v>
      </c>
      <c r="D732" s="5">
        <v>3763292</v>
      </c>
      <c r="E732" s="6" t="s">
        <v>70</v>
      </c>
      <c r="F732" s="6" t="s">
        <v>71</v>
      </c>
      <c r="G732" s="6" t="s">
        <v>71</v>
      </c>
      <c r="H732" s="7"/>
      <c r="I732" s="35" t="str">
        <f t="shared" si="145"/>
        <v>160922</v>
      </c>
      <c r="J732" s="31" t="str">
        <f t="shared" si="146"/>
        <v>12</v>
      </c>
      <c r="N732" s="12" t="str">
        <f t="shared" si="147"/>
        <v>1</v>
      </c>
      <c r="O732" s="11" t="str">
        <f t="shared" si="148"/>
        <v>2</v>
      </c>
      <c r="P732" s="11" t="str">
        <f t="shared" si="149"/>
        <v>1</v>
      </c>
      <c r="Q732" s="11" t="str">
        <f t="shared" si="150"/>
        <v>6</v>
      </c>
      <c r="R732" s="11" t="str">
        <f t="shared" si="151"/>
        <v>0</v>
      </c>
      <c r="S732" s="11" t="str">
        <f t="shared" si="152"/>
        <v>9</v>
      </c>
      <c r="T732" s="11" t="str">
        <f t="shared" si="153"/>
        <v>2</v>
      </c>
      <c r="U732" s="11" t="str">
        <f t="shared" si="154"/>
        <v>2</v>
      </c>
      <c r="V732" s="11" t="str">
        <f t="shared" si="155"/>
        <v>2</v>
      </c>
      <c r="W732" s="11" t="str">
        <f t="shared" si="156"/>
        <v>8</v>
      </c>
      <c r="X732" s="11" t="str">
        <f t="shared" si="157"/>
        <v>7</v>
      </c>
    </row>
    <row r="733" spans="1:24" x14ac:dyDescent="0.35">
      <c r="A733" s="5">
        <v>14593</v>
      </c>
      <c r="B733" s="5">
        <v>12160922288</v>
      </c>
      <c r="C733" s="5">
        <v>727074</v>
      </c>
      <c r="D733" s="5">
        <v>3763287</v>
      </c>
      <c r="E733" s="6" t="s">
        <v>70</v>
      </c>
      <c r="F733" s="6" t="s">
        <v>71</v>
      </c>
      <c r="G733" s="6" t="s">
        <v>71</v>
      </c>
      <c r="H733" s="7"/>
      <c r="I733" s="35" t="str">
        <f t="shared" si="145"/>
        <v>160922</v>
      </c>
      <c r="J733" s="31" t="str">
        <f t="shared" si="146"/>
        <v>12</v>
      </c>
      <c r="N733" s="12" t="str">
        <f t="shared" si="147"/>
        <v>1</v>
      </c>
      <c r="O733" s="11" t="str">
        <f t="shared" si="148"/>
        <v>2</v>
      </c>
      <c r="P733" s="11" t="str">
        <f t="shared" si="149"/>
        <v>1</v>
      </c>
      <c r="Q733" s="11" t="str">
        <f t="shared" si="150"/>
        <v>6</v>
      </c>
      <c r="R733" s="11" t="str">
        <f t="shared" si="151"/>
        <v>0</v>
      </c>
      <c r="S733" s="11" t="str">
        <f t="shared" si="152"/>
        <v>9</v>
      </c>
      <c r="T733" s="11" t="str">
        <f t="shared" si="153"/>
        <v>2</v>
      </c>
      <c r="U733" s="11" t="str">
        <f t="shared" si="154"/>
        <v>2</v>
      </c>
      <c r="V733" s="11" t="str">
        <f t="shared" si="155"/>
        <v>2</v>
      </c>
      <c r="W733" s="11" t="str">
        <f t="shared" si="156"/>
        <v>8</v>
      </c>
      <c r="X733" s="11" t="str">
        <f t="shared" si="157"/>
        <v>8</v>
      </c>
    </row>
    <row r="734" spans="1:24" x14ac:dyDescent="0.35">
      <c r="A734" s="5">
        <v>14594</v>
      </c>
      <c r="B734" s="5">
        <v>12160922289</v>
      </c>
      <c r="C734" s="5">
        <v>727086</v>
      </c>
      <c r="D734" s="5">
        <v>3763284</v>
      </c>
      <c r="E734" s="6" t="s">
        <v>70</v>
      </c>
      <c r="F734" s="6" t="s">
        <v>71</v>
      </c>
      <c r="G734" s="6" t="s">
        <v>71</v>
      </c>
      <c r="H734" s="7"/>
      <c r="I734" s="35" t="str">
        <f t="shared" si="145"/>
        <v>160922</v>
      </c>
      <c r="J734" s="31" t="str">
        <f t="shared" si="146"/>
        <v>12</v>
      </c>
      <c r="N734" s="12" t="str">
        <f t="shared" si="147"/>
        <v>1</v>
      </c>
      <c r="O734" s="11" t="str">
        <f t="shared" si="148"/>
        <v>2</v>
      </c>
      <c r="P734" s="11" t="str">
        <f t="shared" si="149"/>
        <v>1</v>
      </c>
      <c r="Q734" s="11" t="str">
        <f t="shared" si="150"/>
        <v>6</v>
      </c>
      <c r="R734" s="11" t="str">
        <f t="shared" si="151"/>
        <v>0</v>
      </c>
      <c r="S734" s="11" t="str">
        <f t="shared" si="152"/>
        <v>9</v>
      </c>
      <c r="T734" s="11" t="str">
        <f t="shared" si="153"/>
        <v>2</v>
      </c>
      <c r="U734" s="11" t="str">
        <f t="shared" si="154"/>
        <v>2</v>
      </c>
      <c r="V734" s="11" t="str">
        <f t="shared" si="155"/>
        <v>2</v>
      </c>
      <c r="W734" s="11" t="str">
        <f t="shared" si="156"/>
        <v>8</v>
      </c>
      <c r="X734" s="11" t="str">
        <f t="shared" si="157"/>
        <v>9</v>
      </c>
    </row>
    <row r="735" spans="1:24" x14ac:dyDescent="0.35">
      <c r="A735" s="5">
        <v>14595</v>
      </c>
      <c r="B735" s="5">
        <v>12160922290</v>
      </c>
      <c r="C735" s="5">
        <v>727088</v>
      </c>
      <c r="D735" s="5">
        <v>3763285</v>
      </c>
      <c r="E735" s="6" t="s">
        <v>70</v>
      </c>
      <c r="F735" s="6" t="s">
        <v>71</v>
      </c>
      <c r="G735" s="6" t="s">
        <v>71</v>
      </c>
      <c r="H735" s="7"/>
      <c r="I735" s="35" t="str">
        <f t="shared" si="145"/>
        <v>160922</v>
      </c>
      <c r="J735" s="31" t="str">
        <f t="shared" si="146"/>
        <v>12</v>
      </c>
      <c r="N735" s="12" t="str">
        <f t="shared" si="147"/>
        <v>1</v>
      </c>
      <c r="O735" s="11" t="str">
        <f t="shared" si="148"/>
        <v>2</v>
      </c>
      <c r="P735" s="11" t="str">
        <f t="shared" si="149"/>
        <v>1</v>
      </c>
      <c r="Q735" s="11" t="str">
        <f t="shared" si="150"/>
        <v>6</v>
      </c>
      <c r="R735" s="11" t="str">
        <f t="shared" si="151"/>
        <v>0</v>
      </c>
      <c r="S735" s="11" t="str">
        <f t="shared" si="152"/>
        <v>9</v>
      </c>
      <c r="T735" s="11" t="str">
        <f t="shared" si="153"/>
        <v>2</v>
      </c>
      <c r="U735" s="11" t="str">
        <f t="shared" si="154"/>
        <v>2</v>
      </c>
      <c r="V735" s="11" t="str">
        <f t="shared" si="155"/>
        <v>2</v>
      </c>
      <c r="W735" s="11" t="str">
        <f t="shared" si="156"/>
        <v>9</v>
      </c>
      <c r="X735" s="11" t="str">
        <f t="shared" si="157"/>
        <v>0</v>
      </c>
    </row>
    <row r="736" spans="1:24" x14ac:dyDescent="0.35">
      <c r="A736" s="5">
        <v>14596</v>
      </c>
      <c r="B736" s="5">
        <v>12160922291</v>
      </c>
      <c r="C736" s="5">
        <v>727089</v>
      </c>
      <c r="D736" s="5">
        <v>3763285</v>
      </c>
      <c r="E736" s="6" t="s">
        <v>70</v>
      </c>
      <c r="F736" s="6" t="s">
        <v>71</v>
      </c>
      <c r="G736" s="6" t="s">
        <v>71</v>
      </c>
      <c r="H736" s="7"/>
      <c r="I736" s="35" t="str">
        <f t="shared" si="145"/>
        <v>160922</v>
      </c>
      <c r="J736" s="31" t="str">
        <f t="shared" si="146"/>
        <v>12</v>
      </c>
      <c r="N736" s="12" t="str">
        <f t="shared" si="147"/>
        <v>1</v>
      </c>
      <c r="O736" s="11" t="str">
        <f t="shared" si="148"/>
        <v>2</v>
      </c>
      <c r="P736" s="11" t="str">
        <f t="shared" si="149"/>
        <v>1</v>
      </c>
      <c r="Q736" s="11" t="str">
        <f t="shared" si="150"/>
        <v>6</v>
      </c>
      <c r="R736" s="11" t="str">
        <f t="shared" si="151"/>
        <v>0</v>
      </c>
      <c r="S736" s="11" t="str">
        <f t="shared" si="152"/>
        <v>9</v>
      </c>
      <c r="T736" s="11" t="str">
        <f t="shared" si="153"/>
        <v>2</v>
      </c>
      <c r="U736" s="11" t="str">
        <f t="shared" si="154"/>
        <v>2</v>
      </c>
      <c r="V736" s="11" t="str">
        <f t="shared" si="155"/>
        <v>2</v>
      </c>
      <c r="W736" s="11" t="str">
        <f t="shared" si="156"/>
        <v>9</v>
      </c>
      <c r="X736" s="11" t="str">
        <f t="shared" si="157"/>
        <v>1</v>
      </c>
    </row>
    <row r="737" spans="1:24" x14ac:dyDescent="0.35">
      <c r="A737" s="5">
        <v>14597</v>
      </c>
      <c r="B737" s="5">
        <v>12160922292</v>
      </c>
      <c r="C737" s="5">
        <v>727090</v>
      </c>
      <c r="D737" s="5">
        <v>3763285</v>
      </c>
      <c r="E737" s="6" t="s">
        <v>70</v>
      </c>
      <c r="F737" s="6" t="s">
        <v>71</v>
      </c>
      <c r="G737" s="6" t="s">
        <v>71</v>
      </c>
      <c r="H737" s="7"/>
      <c r="I737" s="35" t="str">
        <f t="shared" si="145"/>
        <v>160922</v>
      </c>
      <c r="J737" s="31" t="str">
        <f t="shared" si="146"/>
        <v>12</v>
      </c>
      <c r="N737" s="12" t="str">
        <f t="shared" si="147"/>
        <v>1</v>
      </c>
      <c r="O737" s="11" t="str">
        <f t="shared" si="148"/>
        <v>2</v>
      </c>
      <c r="P737" s="11" t="str">
        <f t="shared" si="149"/>
        <v>1</v>
      </c>
      <c r="Q737" s="11" t="str">
        <f t="shared" si="150"/>
        <v>6</v>
      </c>
      <c r="R737" s="11" t="str">
        <f t="shared" si="151"/>
        <v>0</v>
      </c>
      <c r="S737" s="11" t="str">
        <f t="shared" si="152"/>
        <v>9</v>
      </c>
      <c r="T737" s="11" t="str">
        <f t="shared" si="153"/>
        <v>2</v>
      </c>
      <c r="U737" s="11" t="str">
        <f t="shared" si="154"/>
        <v>2</v>
      </c>
      <c r="V737" s="11" t="str">
        <f t="shared" si="155"/>
        <v>2</v>
      </c>
      <c r="W737" s="11" t="str">
        <f t="shared" si="156"/>
        <v>9</v>
      </c>
      <c r="X737" s="11" t="str">
        <f t="shared" si="157"/>
        <v>2</v>
      </c>
    </row>
    <row r="738" spans="1:24" x14ac:dyDescent="0.35">
      <c r="A738" s="5">
        <v>14598</v>
      </c>
      <c r="B738" s="5">
        <v>12160922293</v>
      </c>
      <c r="C738" s="5">
        <v>727091</v>
      </c>
      <c r="D738" s="5">
        <v>3763285</v>
      </c>
      <c r="E738" s="6" t="s">
        <v>70</v>
      </c>
      <c r="F738" s="6" t="s">
        <v>71</v>
      </c>
      <c r="G738" s="6" t="s">
        <v>71</v>
      </c>
      <c r="H738" s="7"/>
      <c r="I738" s="35" t="str">
        <f t="shared" si="145"/>
        <v>160922</v>
      </c>
      <c r="J738" s="31" t="str">
        <f t="shared" si="146"/>
        <v>12</v>
      </c>
      <c r="N738" s="12" t="str">
        <f t="shared" si="147"/>
        <v>1</v>
      </c>
      <c r="O738" s="11" t="str">
        <f t="shared" si="148"/>
        <v>2</v>
      </c>
      <c r="P738" s="11" t="str">
        <f t="shared" si="149"/>
        <v>1</v>
      </c>
      <c r="Q738" s="11" t="str">
        <f t="shared" si="150"/>
        <v>6</v>
      </c>
      <c r="R738" s="11" t="str">
        <f t="shared" si="151"/>
        <v>0</v>
      </c>
      <c r="S738" s="11" t="str">
        <f t="shared" si="152"/>
        <v>9</v>
      </c>
      <c r="T738" s="11" t="str">
        <f t="shared" si="153"/>
        <v>2</v>
      </c>
      <c r="U738" s="11" t="str">
        <f t="shared" si="154"/>
        <v>2</v>
      </c>
      <c r="V738" s="11" t="str">
        <f t="shared" si="155"/>
        <v>2</v>
      </c>
      <c r="W738" s="11" t="str">
        <f t="shared" si="156"/>
        <v>9</v>
      </c>
      <c r="X738" s="11" t="str">
        <f t="shared" si="157"/>
        <v>3</v>
      </c>
    </row>
    <row r="739" spans="1:24" x14ac:dyDescent="0.35">
      <c r="A739" s="5">
        <v>14599</v>
      </c>
      <c r="B739" s="5">
        <v>12160922294</v>
      </c>
      <c r="C739" s="5">
        <v>727102</v>
      </c>
      <c r="D739" s="5">
        <v>3763282</v>
      </c>
      <c r="E739" s="6" t="s">
        <v>70</v>
      </c>
      <c r="F739" s="6" t="s">
        <v>71</v>
      </c>
      <c r="G739" s="6" t="s">
        <v>71</v>
      </c>
      <c r="H739" s="7"/>
      <c r="I739" s="35" t="str">
        <f t="shared" si="145"/>
        <v>160922</v>
      </c>
      <c r="J739" s="31" t="str">
        <f t="shared" si="146"/>
        <v>12</v>
      </c>
      <c r="N739" s="12" t="str">
        <f t="shared" si="147"/>
        <v>1</v>
      </c>
      <c r="O739" s="11" t="str">
        <f t="shared" si="148"/>
        <v>2</v>
      </c>
      <c r="P739" s="11" t="str">
        <f t="shared" si="149"/>
        <v>1</v>
      </c>
      <c r="Q739" s="11" t="str">
        <f t="shared" si="150"/>
        <v>6</v>
      </c>
      <c r="R739" s="11" t="str">
        <f t="shared" si="151"/>
        <v>0</v>
      </c>
      <c r="S739" s="11" t="str">
        <f t="shared" si="152"/>
        <v>9</v>
      </c>
      <c r="T739" s="11" t="str">
        <f t="shared" si="153"/>
        <v>2</v>
      </c>
      <c r="U739" s="11" t="str">
        <f t="shared" si="154"/>
        <v>2</v>
      </c>
      <c r="V739" s="11" t="str">
        <f t="shared" si="155"/>
        <v>2</v>
      </c>
      <c r="W739" s="11" t="str">
        <f t="shared" si="156"/>
        <v>9</v>
      </c>
      <c r="X739" s="11" t="str">
        <f t="shared" si="157"/>
        <v>4</v>
      </c>
    </row>
    <row r="740" spans="1:24" x14ac:dyDescent="0.35">
      <c r="A740" s="5">
        <v>14600</v>
      </c>
      <c r="B740" s="5">
        <v>12160922295</v>
      </c>
      <c r="C740" s="5">
        <v>727111</v>
      </c>
      <c r="D740" s="5">
        <v>3763296</v>
      </c>
      <c r="E740" s="6" t="s">
        <v>70</v>
      </c>
      <c r="F740" s="6" t="s">
        <v>71</v>
      </c>
      <c r="G740" s="6" t="s">
        <v>71</v>
      </c>
      <c r="H740" s="7"/>
      <c r="I740" s="35" t="str">
        <f t="shared" si="145"/>
        <v>160922</v>
      </c>
      <c r="J740" s="31" t="str">
        <f t="shared" si="146"/>
        <v>12</v>
      </c>
      <c r="N740" s="12" t="str">
        <f t="shared" si="147"/>
        <v>1</v>
      </c>
      <c r="O740" s="11" t="str">
        <f t="shared" si="148"/>
        <v>2</v>
      </c>
      <c r="P740" s="11" t="str">
        <f t="shared" si="149"/>
        <v>1</v>
      </c>
      <c r="Q740" s="11" t="str">
        <f t="shared" si="150"/>
        <v>6</v>
      </c>
      <c r="R740" s="11" t="str">
        <f t="shared" si="151"/>
        <v>0</v>
      </c>
      <c r="S740" s="11" t="str">
        <f t="shared" si="152"/>
        <v>9</v>
      </c>
      <c r="T740" s="11" t="str">
        <f t="shared" si="153"/>
        <v>2</v>
      </c>
      <c r="U740" s="11" t="str">
        <f t="shared" si="154"/>
        <v>2</v>
      </c>
      <c r="V740" s="11" t="str">
        <f t="shared" si="155"/>
        <v>2</v>
      </c>
      <c r="W740" s="11" t="str">
        <f t="shared" si="156"/>
        <v>9</v>
      </c>
      <c r="X740" s="11" t="str">
        <f t="shared" si="157"/>
        <v>5</v>
      </c>
    </row>
    <row r="741" spans="1:24" x14ac:dyDescent="0.35">
      <c r="A741" s="5">
        <v>14601</v>
      </c>
      <c r="B741" s="5">
        <v>12160922296</v>
      </c>
      <c r="C741" s="5">
        <v>727129</v>
      </c>
      <c r="D741" s="5">
        <v>3763335</v>
      </c>
      <c r="E741" s="6" t="s">
        <v>70</v>
      </c>
      <c r="F741" s="6" t="s">
        <v>71</v>
      </c>
      <c r="G741" s="6" t="s">
        <v>71</v>
      </c>
      <c r="H741" s="7"/>
      <c r="I741" s="35" t="str">
        <f t="shared" si="145"/>
        <v>160922</v>
      </c>
      <c r="J741" s="31" t="str">
        <f t="shared" si="146"/>
        <v>12</v>
      </c>
      <c r="N741" s="12" t="str">
        <f t="shared" si="147"/>
        <v>1</v>
      </c>
      <c r="O741" s="11" t="str">
        <f t="shared" si="148"/>
        <v>2</v>
      </c>
      <c r="P741" s="11" t="str">
        <f t="shared" si="149"/>
        <v>1</v>
      </c>
      <c r="Q741" s="11" t="str">
        <f t="shared" si="150"/>
        <v>6</v>
      </c>
      <c r="R741" s="11" t="str">
        <f t="shared" si="151"/>
        <v>0</v>
      </c>
      <c r="S741" s="11" t="str">
        <f t="shared" si="152"/>
        <v>9</v>
      </c>
      <c r="T741" s="11" t="str">
        <f t="shared" si="153"/>
        <v>2</v>
      </c>
      <c r="U741" s="11" t="str">
        <f t="shared" si="154"/>
        <v>2</v>
      </c>
      <c r="V741" s="11" t="str">
        <f t="shared" si="155"/>
        <v>2</v>
      </c>
      <c r="W741" s="11" t="str">
        <f t="shared" si="156"/>
        <v>9</v>
      </c>
      <c r="X741" s="11" t="str">
        <f t="shared" si="157"/>
        <v>6</v>
      </c>
    </row>
    <row r="742" spans="1:24" x14ac:dyDescent="0.35">
      <c r="A742" s="5">
        <v>14602</v>
      </c>
      <c r="B742" s="5">
        <v>12160922297</v>
      </c>
      <c r="C742" s="5">
        <v>727156</v>
      </c>
      <c r="D742" s="5">
        <v>3763317</v>
      </c>
      <c r="E742" s="6" t="s">
        <v>70</v>
      </c>
      <c r="F742" s="6" t="s">
        <v>71</v>
      </c>
      <c r="G742" s="6" t="s">
        <v>71</v>
      </c>
      <c r="H742" s="7"/>
      <c r="I742" s="35" t="str">
        <f t="shared" si="145"/>
        <v>160922</v>
      </c>
      <c r="J742" s="31" t="str">
        <f t="shared" si="146"/>
        <v>12</v>
      </c>
      <c r="N742" s="12" t="str">
        <f t="shared" si="147"/>
        <v>1</v>
      </c>
      <c r="O742" s="11" t="str">
        <f t="shared" si="148"/>
        <v>2</v>
      </c>
      <c r="P742" s="11" t="str">
        <f t="shared" si="149"/>
        <v>1</v>
      </c>
      <c r="Q742" s="11" t="str">
        <f t="shared" si="150"/>
        <v>6</v>
      </c>
      <c r="R742" s="11" t="str">
        <f t="shared" si="151"/>
        <v>0</v>
      </c>
      <c r="S742" s="11" t="str">
        <f t="shared" si="152"/>
        <v>9</v>
      </c>
      <c r="T742" s="11" t="str">
        <f t="shared" si="153"/>
        <v>2</v>
      </c>
      <c r="U742" s="11" t="str">
        <f t="shared" si="154"/>
        <v>2</v>
      </c>
      <c r="V742" s="11" t="str">
        <f t="shared" si="155"/>
        <v>2</v>
      </c>
      <c r="W742" s="11" t="str">
        <f t="shared" si="156"/>
        <v>9</v>
      </c>
      <c r="X742" s="11" t="str">
        <f t="shared" si="157"/>
        <v>7</v>
      </c>
    </row>
    <row r="743" spans="1:24" x14ac:dyDescent="0.35">
      <c r="A743" s="5">
        <v>14603</v>
      </c>
      <c r="B743" s="5">
        <v>12160922298</v>
      </c>
      <c r="C743" s="5">
        <v>727095</v>
      </c>
      <c r="D743" s="5">
        <v>3763262</v>
      </c>
      <c r="E743" s="6" t="s">
        <v>70</v>
      </c>
      <c r="F743" s="6" t="s">
        <v>71</v>
      </c>
      <c r="G743" s="6" t="s">
        <v>71</v>
      </c>
      <c r="H743" s="7"/>
      <c r="I743" s="35" t="str">
        <f t="shared" si="145"/>
        <v>160922</v>
      </c>
      <c r="J743" s="31" t="str">
        <f t="shared" si="146"/>
        <v>12</v>
      </c>
      <c r="N743" s="12" t="str">
        <f t="shared" si="147"/>
        <v>1</v>
      </c>
      <c r="O743" s="11" t="str">
        <f t="shared" si="148"/>
        <v>2</v>
      </c>
      <c r="P743" s="11" t="str">
        <f t="shared" si="149"/>
        <v>1</v>
      </c>
      <c r="Q743" s="11" t="str">
        <f t="shared" si="150"/>
        <v>6</v>
      </c>
      <c r="R743" s="11" t="str">
        <f t="shared" si="151"/>
        <v>0</v>
      </c>
      <c r="S743" s="11" t="str">
        <f t="shared" si="152"/>
        <v>9</v>
      </c>
      <c r="T743" s="11" t="str">
        <f t="shared" si="153"/>
        <v>2</v>
      </c>
      <c r="U743" s="11" t="str">
        <f t="shared" si="154"/>
        <v>2</v>
      </c>
      <c r="V743" s="11" t="str">
        <f t="shared" si="155"/>
        <v>2</v>
      </c>
      <c r="W743" s="11" t="str">
        <f t="shared" si="156"/>
        <v>9</v>
      </c>
      <c r="X743" s="11" t="str">
        <f t="shared" si="157"/>
        <v>8</v>
      </c>
    </row>
    <row r="744" spans="1:24" x14ac:dyDescent="0.35">
      <c r="A744" s="5">
        <v>14604</v>
      </c>
      <c r="B744" s="5">
        <v>12160922299</v>
      </c>
      <c r="C744" s="5">
        <v>727106</v>
      </c>
      <c r="D744" s="5">
        <v>3763255</v>
      </c>
      <c r="E744" s="6" t="s">
        <v>70</v>
      </c>
      <c r="F744" s="6" t="s">
        <v>71</v>
      </c>
      <c r="G744" s="6" t="s">
        <v>71</v>
      </c>
      <c r="H744" s="7"/>
      <c r="I744" s="35" t="str">
        <f t="shared" si="145"/>
        <v>160922</v>
      </c>
      <c r="J744" s="31" t="str">
        <f t="shared" si="146"/>
        <v>12</v>
      </c>
      <c r="N744" s="12" t="str">
        <f t="shared" si="147"/>
        <v>1</v>
      </c>
      <c r="O744" s="11" t="str">
        <f t="shared" si="148"/>
        <v>2</v>
      </c>
      <c r="P744" s="11" t="str">
        <f t="shared" si="149"/>
        <v>1</v>
      </c>
      <c r="Q744" s="11" t="str">
        <f t="shared" si="150"/>
        <v>6</v>
      </c>
      <c r="R744" s="11" t="str">
        <f t="shared" si="151"/>
        <v>0</v>
      </c>
      <c r="S744" s="11" t="str">
        <f t="shared" si="152"/>
        <v>9</v>
      </c>
      <c r="T744" s="11" t="str">
        <f t="shared" si="153"/>
        <v>2</v>
      </c>
      <c r="U744" s="11" t="str">
        <f t="shared" si="154"/>
        <v>2</v>
      </c>
      <c r="V744" s="11" t="str">
        <f t="shared" si="155"/>
        <v>2</v>
      </c>
      <c r="W744" s="11" t="str">
        <f t="shared" si="156"/>
        <v>9</v>
      </c>
      <c r="X744" s="11" t="str">
        <f t="shared" si="157"/>
        <v>9</v>
      </c>
    </row>
    <row r="745" spans="1:24" x14ac:dyDescent="0.35">
      <c r="A745" s="5">
        <v>14605</v>
      </c>
      <c r="B745" s="5">
        <v>12160922300</v>
      </c>
      <c r="C745" s="5">
        <v>727135</v>
      </c>
      <c r="D745" s="5">
        <v>3763240</v>
      </c>
      <c r="E745" s="6" t="s">
        <v>70</v>
      </c>
      <c r="F745" s="6" t="s">
        <v>71</v>
      </c>
      <c r="G745" s="6" t="s">
        <v>71</v>
      </c>
      <c r="H745" s="7"/>
      <c r="I745" s="35" t="str">
        <f t="shared" si="145"/>
        <v>160922</v>
      </c>
      <c r="J745" s="31" t="str">
        <f t="shared" si="146"/>
        <v>12</v>
      </c>
      <c r="N745" s="12" t="str">
        <f t="shared" si="147"/>
        <v>1</v>
      </c>
      <c r="O745" s="11" t="str">
        <f t="shared" si="148"/>
        <v>2</v>
      </c>
      <c r="P745" s="11" t="str">
        <f t="shared" si="149"/>
        <v>1</v>
      </c>
      <c r="Q745" s="11" t="str">
        <f t="shared" si="150"/>
        <v>6</v>
      </c>
      <c r="R745" s="11" t="str">
        <f t="shared" si="151"/>
        <v>0</v>
      </c>
      <c r="S745" s="11" t="str">
        <f t="shared" si="152"/>
        <v>9</v>
      </c>
      <c r="T745" s="11" t="str">
        <f t="shared" si="153"/>
        <v>2</v>
      </c>
      <c r="U745" s="11" t="str">
        <f t="shared" si="154"/>
        <v>2</v>
      </c>
      <c r="V745" s="11" t="str">
        <f t="shared" si="155"/>
        <v>3</v>
      </c>
      <c r="W745" s="11" t="str">
        <f t="shared" si="156"/>
        <v>0</v>
      </c>
      <c r="X745" s="11" t="str">
        <f t="shared" si="157"/>
        <v>0</v>
      </c>
    </row>
    <row r="746" spans="1:24" x14ac:dyDescent="0.35">
      <c r="A746" s="5">
        <v>14606</v>
      </c>
      <c r="B746" s="5">
        <v>12160922301</v>
      </c>
      <c r="C746" s="5">
        <v>727086</v>
      </c>
      <c r="D746" s="5">
        <v>3763315</v>
      </c>
      <c r="E746" s="6" t="s">
        <v>70</v>
      </c>
      <c r="F746" s="6" t="s">
        <v>71</v>
      </c>
      <c r="G746" s="6" t="s">
        <v>71</v>
      </c>
      <c r="H746" s="7"/>
      <c r="I746" s="35" t="str">
        <f t="shared" si="145"/>
        <v>160922</v>
      </c>
      <c r="J746" s="31" t="str">
        <f t="shared" si="146"/>
        <v>12</v>
      </c>
      <c r="N746" s="12" t="str">
        <f t="shared" si="147"/>
        <v>1</v>
      </c>
      <c r="O746" s="11" t="str">
        <f t="shared" si="148"/>
        <v>2</v>
      </c>
      <c r="P746" s="11" t="str">
        <f t="shared" si="149"/>
        <v>1</v>
      </c>
      <c r="Q746" s="11" t="str">
        <f t="shared" si="150"/>
        <v>6</v>
      </c>
      <c r="R746" s="11" t="str">
        <f t="shared" si="151"/>
        <v>0</v>
      </c>
      <c r="S746" s="11" t="str">
        <f t="shared" si="152"/>
        <v>9</v>
      </c>
      <c r="T746" s="11" t="str">
        <f t="shared" si="153"/>
        <v>2</v>
      </c>
      <c r="U746" s="11" t="str">
        <f t="shared" si="154"/>
        <v>2</v>
      </c>
      <c r="V746" s="11" t="str">
        <f t="shared" si="155"/>
        <v>3</v>
      </c>
      <c r="W746" s="11" t="str">
        <f t="shared" si="156"/>
        <v>0</v>
      </c>
      <c r="X746" s="11" t="str">
        <f t="shared" si="157"/>
        <v>1</v>
      </c>
    </row>
    <row r="747" spans="1:24" x14ac:dyDescent="0.35">
      <c r="A747" s="5">
        <v>14607</v>
      </c>
      <c r="B747" s="5">
        <v>12160922302</v>
      </c>
      <c r="C747" s="5">
        <v>727087</v>
      </c>
      <c r="D747" s="5">
        <v>3763317</v>
      </c>
      <c r="E747" s="6" t="s">
        <v>70</v>
      </c>
      <c r="F747" s="6" t="s">
        <v>71</v>
      </c>
      <c r="G747" s="6" t="s">
        <v>71</v>
      </c>
      <c r="H747" s="7"/>
      <c r="I747" s="35" t="str">
        <f t="shared" si="145"/>
        <v>160922</v>
      </c>
      <c r="J747" s="31" t="str">
        <f t="shared" si="146"/>
        <v>12</v>
      </c>
      <c r="N747" s="12" t="str">
        <f t="shared" si="147"/>
        <v>1</v>
      </c>
      <c r="O747" s="11" t="str">
        <f t="shared" si="148"/>
        <v>2</v>
      </c>
      <c r="P747" s="11" t="str">
        <f t="shared" si="149"/>
        <v>1</v>
      </c>
      <c r="Q747" s="11" t="str">
        <f t="shared" si="150"/>
        <v>6</v>
      </c>
      <c r="R747" s="11" t="str">
        <f t="shared" si="151"/>
        <v>0</v>
      </c>
      <c r="S747" s="11" t="str">
        <f t="shared" si="152"/>
        <v>9</v>
      </c>
      <c r="T747" s="11" t="str">
        <f t="shared" si="153"/>
        <v>2</v>
      </c>
      <c r="U747" s="11" t="str">
        <f t="shared" si="154"/>
        <v>2</v>
      </c>
      <c r="V747" s="11" t="str">
        <f t="shared" si="155"/>
        <v>3</v>
      </c>
      <c r="W747" s="11" t="str">
        <f t="shared" si="156"/>
        <v>0</v>
      </c>
      <c r="X747" s="11" t="str">
        <f t="shared" si="157"/>
        <v>2</v>
      </c>
    </row>
    <row r="748" spans="1:24" x14ac:dyDescent="0.35">
      <c r="A748" s="5">
        <v>14608</v>
      </c>
      <c r="B748" s="5">
        <v>12160922303</v>
      </c>
      <c r="C748" s="5">
        <v>727087</v>
      </c>
      <c r="D748" s="5">
        <v>3763315</v>
      </c>
      <c r="E748" s="6" t="s">
        <v>70</v>
      </c>
      <c r="F748" s="6" t="s">
        <v>71</v>
      </c>
      <c r="G748" s="6" t="s">
        <v>71</v>
      </c>
      <c r="H748" s="7"/>
      <c r="I748" s="35" t="str">
        <f t="shared" si="145"/>
        <v>160922</v>
      </c>
      <c r="J748" s="31" t="str">
        <f t="shared" si="146"/>
        <v>12</v>
      </c>
      <c r="N748" s="12" t="str">
        <f t="shared" si="147"/>
        <v>1</v>
      </c>
      <c r="O748" s="11" t="str">
        <f t="shared" si="148"/>
        <v>2</v>
      </c>
      <c r="P748" s="11" t="str">
        <f t="shared" si="149"/>
        <v>1</v>
      </c>
      <c r="Q748" s="11" t="str">
        <f t="shared" si="150"/>
        <v>6</v>
      </c>
      <c r="R748" s="11" t="str">
        <f t="shared" si="151"/>
        <v>0</v>
      </c>
      <c r="S748" s="11" t="str">
        <f t="shared" si="152"/>
        <v>9</v>
      </c>
      <c r="T748" s="11" t="str">
        <f t="shared" si="153"/>
        <v>2</v>
      </c>
      <c r="U748" s="11" t="str">
        <f t="shared" si="154"/>
        <v>2</v>
      </c>
      <c r="V748" s="11" t="str">
        <f t="shared" si="155"/>
        <v>3</v>
      </c>
      <c r="W748" s="11" t="str">
        <f t="shared" si="156"/>
        <v>0</v>
      </c>
      <c r="X748" s="11" t="str">
        <f t="shared" si="157"/>
        <v>3</v>
      </c>
    </row>
    <row r="749" spans="1:24" x14ac:dyDescent="0.35">
      <c r="A749" s="5">
        <v>14609</v>
      </c>
      <c r="B749" s="5">
        <v>12160922304</v>
      </c>
      <c r="C749" s="5">
        <v>727103</v>
      </c>
      <c r="D749" s="5">
        <v>3763352</v>
      </c>
      <c r="E749" s="6" t="s">
        <v>70</v>
      </c>
      <c r="F749" s="6" t="s">
        <v>71</v>
      </c>
      <c r="G749" s="6" t="s">
        <v>71</v>
      </c>
      <c r="H749" s="7"/>
      <c r="I749" s="35" t="str">
        <f t="shared" si="145"/>
        <v>160922</v>
      </c>
      <c r="J749" s="31" t="str">
        <f t="shared" si="146"/>
        <v>12</v>
      </c>
      <c r="N749" s="12" t="str">
        <f t="shared" si="147"/>
        <v>1</v>
      </c>
      <c r="O749" s="11" t="str">
        <f t="shared" si="148"/>
        <v>2</v>
      </c>
      <c r="P749" s="11" t="str">
        <f t="shared" si="149"/>
        <v>1</v>
      </c>
      <c r="Q749" s="11" t="str">
        <f t="shared" si="150"/>
        <v>6</v>
      </c>
      <c r="R749" s="11" t="str">
        <f t="shared" si="151"/>
        <v>0</v>
      </c>
      <c r="S749" s="11" t="str">
        <f t="shared" si="152"/>
        <v>9</v>
      </c>
      <c r="T749" s="11" t="str">
        <f t="shared" si="153"/>
        <v>2</v>
      </c>
      <c r="U749" s="11" t="str">
        <f t="shared" si="154"/>
        <v>2</v>
      </c>
      <c r="V749" s="11" t="str">
        <f t="shared" si="155"/>
        <v>3</v>
      </c>
      <c r="W749" s="11" t="str">
        <f t="shared" si="156"/>
        <v>0</v>
      </c>
      <c r="X749" s="11" t="str">
        <f t="shared" si="157"/>
        <v>4</v>
      </c>
    </row>
    <row r="750" spans="1:24" x14ac:dyDescent="0.35">
      <c r="A750" s="5">
        <v>14610</v>
      </c>
      <c r="B750" s="5">
        <v>12160922305</v>
      </c>
      <c r="C750" s="5">
        <v>727115</v>
      </c>
      <c r="D750" s="5">
        <v>3763384</v>
      </c>
      <c r="E750" s="6" t="s">
        <v>70</v>
      </c>
      <c r="F750" s="6" t="s">
        <v>71</v>
      </c>
      <c r="G750" s="6" t="s">
        <v>71</v>
      </c>
      <c r="H750" s="7"/>
      <c r="I750" s="35" t="str">
        <f t="shared" si="145"/>
        <v>160922</v>
      </c>
      <c r="J750" s="31" t="str">
        <f t="shared" si="146"/>
        <v>12</v>
      </c>
      <c r="N750" s="12" t="str">
        <f t="shared" si="147"/>
        <v>1</v>
      </c>
      <c r="O750" s="11" t="str">
        <f t="shared" si="148"/>
        <v>2</v>
      </c>
      <c r="P750" s="11" t="str">
        <f t="shared" si="149"/>
        <v>1</v>
      </c>
      <c r="Q750" s="11" t="str">
        <f t="shared" si="150"/>
        <v>6</v>
      </c>
      <c r="R750" s="11" t="str">
        <f t="shared" si="151"/>
        <v>0</v>
      </c>
      <c r="S750" s="11" t="str">
        <f t="shared" si="152"/>
        <v>9</v>
      </c>
      <c r="T750" s="11" t="str">
        <f t="shared" si="153"/>
        <v>2</v>
      </c>
      <c r="U750" s="11" t="str">
        <f t="shared" si="154"/>
        <v>2</v>
      </c>
      <c r="V750" s="11" t="str">
        <f t="shared" si="155"/>
        <v>3</v>
      </c>
      <c r="W750" s="11" t="str">
        <f t="shared" si="156"/>
        <v>0</v>
      </c>
      <c r="X750" s="11" t="str">
        <f t="shared" si="157"/>
        <v>5</v>
      </c>
    </row>
    <row r="751" spans="1:24" x14ac:dyDescent="0.35">
      <c r="A751" s="5">
        <v>14611</v>
      </c>
      <c r="B751" s="5">
        <v>12160922306</v>
      </c>
      <c r="C751" s="5">
        <v>727142</v>
      </c>
      <c r="D751" s="5">
        <v>3763372</v>
      </c>
      <c r="E751" s="6" t="s">
        <v>70</v>
      </c>
      <c r="F751" s="6" t="s">
        <v>71</v>
      </c>
      <c r="G751" s="6" t="s">
        <v>71</v>
      </c>
      <c r="H751" s="7"/>
      <c r="I751" s="35" t="str">
        <f t="shared" si="145"/>
        <v>160922</v>
      </c>
      <c r="J751" s="31" t="str">
        <f t="shared" si="146"/>
        <v>12</v>
      </c>
      <c r="N751" s="12" t="str">
        <f t="shared" si="147"/>
        <v>1</v>
      </c>
      <c r="O751" s="11" t="str">
        <f t="shared" si="148"/>
        <v>2</v>
      </c>
      <c r="P751" s="11" t="str">
        <f t="shared" si="149"/>
        <v>1</v>
      </c>
      <c r="Q751" s="11" t="str">
        <f t="shared" si="150"/>
        <v>6</v>
      </c>
      <c r="R751" s="11" t="str">
        <f t="shared" si="151"/>
        <v>0</v>
      </c>
      <c r="S751" s="11" t="str">
        <f t="shared" si="152"/>
        <v>9</v>
      </c>
      <c r="T751" s="11" t="str">
        <f t="shared" si="153"/>
        <v>2</v>
      </c>
      <c r="U751" s="11" t="str">
        <f t="shared" si="154"/>
        <v>2</v>
      </c>
      <c r="V751" s="11" t="str">
        <f t="shared" si="155"/>
        <v>3</v>
      </c>
      <c r="W751" s="11" t="str">
        <f t="shared" si="156"/>
        <v>0</v>
      </c>
      <c r="X751" s="11" t="str">
        <f t="shared" si="157"/>
        <v>6</v>
      </c>
    </row>
    <row r="752" spans="1:24" x14ac:dyDescent="0.35">
      <c r="A752" s="5">
        <v>14612</v>
      </c>
      <c r="B752" s="5">
        <v>12160922307</v>
      </c>
      <c r="C752" s="5">
        <v>727138</v>
      </c>
      <c r="D752" s="5">
        <v>3763422</v>
      </c>
      <c r="E752" s="6" t="s">
        <v>70</v>
      </c>
      <c r="F752" s="6" t="s">
        <v>71</v>
      </c>
      <c r="G752" s="6" t="s">
        <v>71</v>
      </c>
      <c r="H752" s="7"/>
      <c r="I752" s="35" t="str">
        <f t="shared" si="145"/>
        <v>160922</v>
      </c>
      <c r="J752" s="31" t="str">
        <f t="shared" si="146"/>
        <v>12</v>
      </c>
      <c r="N752" s="12" t="str">
        <f t="shared" si="147"/>
        <v>1</v>
      </c>
      <c r="O752" s="11" t="str">
        <f t="shared" si="148"/>
        <v>2</v>
      </c>
      <c r="P752" s="11" t="str">
        <f t="shared" si="149"/>
        <v>1</v>
      </c>
      <c r="Q752" s="11" t="str">
        <f t="shared" si="150"/>
        <v>6</v>
      </c>
      <c r="R752" s="11" t="str">
        <f t="shared" si="151"/>
        <v>0</v>
      </c>
      <c r="S752" s="11" t="str">
        <f t="shared" si="152"/>
        <v>9</v>
      </c>
      <c r="T752" s="11" t="str">
        <f t="shared" si="153"/>
        <v>2</v>
      </c>
      <c r="U752" s="11" t="str">
        <f t="shared" si="154"/>
        <v>2</v>
      </c>
      <c r="V752" s="11" t="str">
        <f t="shared" si="155"/>
        <v>3</v>
      </c>
      <c r="W752" s="11" t="str">
        <f t="shared" si="156"/>
        <v>0</v>
      </c>
      <c r="X752" s="11" t="str">
        <f t="shared" si="157"/>
        <v>7</v>
      </c>
    </row>
    <row r="753" spans="1:24" x14ac:dyDescent="0.35">
      <c r="A753" s="5">
        <v>14613</v>
      </c>
      <c r="B753" s="5">
        <v>12160922308</v>
      </c>
      <c r="C753" s="5">
        <v>727154</v>
      </c>
      <c r="D753" s="5">
        <v>3763409</v>
      </c>
      <c r="E753" s="6" t="s">
        <v>70</v>
      </c>
      <c r="F753" s="6" t="s">
        <v>71</v>
      </c>
      <c r="G753" s="6" t="s">
        <v>71</v>
      </c>
      <c r="H753" s="7"/>
      <c r="I753" s="35" t="str">
        <f t="shared" si="145"/>
        <v>160922</v>
      </c>
      <c r="J753" s="31" t="str">
        <f t="shared" si="146"/>
        <v>12</v>
      </c>
      <c r="N753" s="12" t="str">
        <f t="shared" si="147"/>
        <v>1</v>
      </c>
      <c r="O753" s="11" t="str">
        <f t="shared" si="148"/>
        <v>2</v>
      </c>
      <c r="P753" s="11" t="str">
        <f t="shared" si="149"/>
        <v>1</v>
      </c>
      <c r="Q753" s="11" t="str">
        <f t="shared" si="150"/>
        <v>6</v>
      </c>
      <c r="R753" s="11" t="str">
        <f t="shared" si="151"/>
        <v>0</v>
      </c>
      <c r="S753" s="11" t="str">
        <f t="shared" si="152"/>
        <v>9</v>
      </c>
      <c r="T753" s="11" t="str">
        <f t="shared" si="153"/>
        <v>2</v>
      </c>
      <c r="U753" s="11" t="str">
        <f t="shared" si="154"/>
        <v>2</v>
      </c>
      <c r="V753" s="11" t="str">
        <f t="shared" si="155"/>
        <v>3</v>
      </c>
      <c r="W753" s="11" t="str">
        <f t="shared" si="156"/>
        <v>0</v>
      </c>
      <c r="X753" s="11" t="str">
        <f t="shared" si="157"/>
        <v>8</v>
      </c>
    </row>
    <row r="754" spans="1:24" x14ac:dyDescent="0.35">
      <c r="A754" s="5">
        <v>14614</v>
      </c>
      <c r="B754" s="5">
        <v>12160922309</v>
      </c>
      <c r="C754" s="5">
        <v>727153</v>
      </c>
      <c r="D754" s="5">
        <v>3763443</v>
      </c>
      <c r="E754" s="6" t="s">
        <v>70</v>
      </c>
      <c r="F754" s="6" t="s">
        <v>71</v>
      </c>
      <c r="G754" s="6" t="s">
        <v>71</v>
      </c>
      <c r="H754" s="7"/>
      <c r="I754" s="35" t="str">
        <f t="shared" si="145"/>
        <v>160922</v>
      </c>
      <c r="J754" s="31" t="str">
        <f t="shared" si="146"/>
        <v>12</v>
      </c>
      <c r="N754" s="12" t="str">
        <f t="shared" si="147"/>
        <v>1</v>
      </c>
      <c r="O754" s="11" t="str">
        <f t="shared" si="148"/>
        <v>2</v>
      </c>
      <c r="P754" s="11" t="str">
        <f t="shared" si="149"/>
        <v>1</v>
      </c>
      <c r="Q754" s="11" t="str">
        <f t="shared" si="150"/>
        <v>6</v>
      </c>
      <c r="R754" s="11" t="str">
        <f t="shared" si="151"/>
        <v>0</v>
      </c>
      <c r="S754" s="11" t="str">
        <f t="shared" si="152"/>
        <v>9</v>
      </c>
      <c r="T754" s="11" t="str">
        <f t="shared" si="153"/>
        <v>2</v>
      </c>
      <c r="U754" s="11" t="str">
        <f t="shared" si="154"/>
        <v>2</v>
      </c>
      <c r="V754" s="11" t="str">
        <f t="shared" si="155"/>
        <v>3</v>
      </c>
      <c r="W754" s="11" t="str">
        <f t="shared" si="156"/>
        <v>0</v>
      </c>
      <c r="X754" s="11" t="str">
        <f t="shared" si="157"/>
        <v>9</v>
      </c>
    </row>
    <row r="755" spans="1:24" x14ac:dyDescent="0.35">
      <c r="A755" s="5">
        <v>14615</v>
      </c>
      <c r="B755" s="5">
        <v>12160922310</v>
      </c>
      <c r="C755" s="5">
        <v>727156</v>
      </c>
      <c r="D755" s="5">
        <v>3763438</v>
      </c>
      <c r="E755" s="6" t="s">
        <v>70</v>
      </c>
      <c r="F755" s="6" t="s">
        <v>71</v>
      </c>
      <c r="G755" s="6" t="s">
        <v>71</v>
      </c>
      <c r="H755" s="7"/>
      <c r="I755" s="35" t="str">
        <f t="shared" si="145"/>
        <v>160922</v>
      </c>
      <c r="J755" s="31" t="str">
        <f t="shared" si="146"/>
        <v>12</v>
      </c>
      <c r="N755" s="12" t="str">
        <f t="shared" si="147"/>
        <v>1</v>
      </c>
      <c r="O755" s="11" t="str">
        <f t="shared" si="148"/>
        <v>2</v>
      </c>
      <c r="P755" s="11" t="str">
        <f t="shared" si="149"/>
        <v>1</v>
      </c>
      <c r="Q755" s="11" t="str">
        <f t="shared" si="150"/>
        <v>6</v>
      </c>
      <c r="R755" s="11" t="str">
        <f t="shared" si="151"/>
        <v>0</v>
      </c>
      <c r="S755" s="11" t="str">
        <f t="shared" si="152"/>
        <v>9</v>
      </c>
      <c r="T755" s="11" t="str">
        <f t="shared" si="153"/>
        <v>2</v>
      </c>
      <c r="U755" s="11" t="str">
        <f t="shared" si="154"/>
        <v>2</v>
      </c>
      <c r="V755" s="11" t="str">
        <f t="shared" si="155"/>
        <v>3</v>
      </c>
      <c r="W755" s="11" t="str">
        <f t="shared" si="156"/>
        <v>1</v>
      </c>
      <c r="X755" s="11" t="str">
        <f t="shared" si="157"/>
        <v>0</v>
      </c>
    </row>
    <row r="756" spans="1:24" x14ac:dyDescent="0.35">
      <c r="A756" s="5">
        <v>14616</v>
      </c>
      <c r="B756" s="5">
        <v>12160922311</v>
      </c>
      <c r="C756" s="5">
        <v>727157</v>
      </c>
      <c r="D756" s="5">
        <v>3763437</v>
      </c>
      <c r="E756" s="6" t="s">
        <v>70</v>
      </c>
      <c r="F756" s="6" t="s">
        <v>71</v>
      </c>
      <c r="G756" s="6" t="s">
        <v>71</v>
      </c>
      <c r="H756" s="7"/>
      <c r="I756" s="35" t="str">
        <f t="shared" si="145"/>
        <v>160922</v>
      </c>
      <c r="J756" s="31" t="str">
        <f t="shared" si="146"/>
        <v>12</v>
      </c>
      <c r="N756" s="12" t="str">
        <f t="shared" si="147"/>
        <v>1</v>
      </c>
      <c r="O756" s="11" t="str">
        <f t="shared" si="148"/>
        <v>2</v>
      </c>
      <c r="P756" s="11" t="str">
        <f t="shared" si="149"/>
        <v>1</v>
      </c>
      <c r="Q756" s="11" t="str">
        <f t="shared" si="150"/>
        <v>6</v>
      </c>
      <c r="R756" s="11" t="str">
        <f t="shared" si="151"/>
        <v>0</v>
      </c>
      <c r="S756" s="11" t="str">
        <f t="shared" si="152"/>
        <v>9</v>
      </c>
      <c r="T756" s="11" t="str">
        <f t="shared" si="153"/>
        <v>2</v>
      </c>
      <c r="U756" s="11" t="str">
        <f t="shared" si="154"/>
        <v>2</v>
      </c>
      <c r="V756" s="11" t="str">
        <f t="shared" si="155"/>
        <v>3</v>
      </c>
      <c r="W756" s="11" t="str">
        <f t="shared" si="156"/>
        <v>1</v>
      </c>
      <c r="X756" s="11" t="str">
        <f t="shared" si="157"/>
        <v>1</v>
      </c>
    </row>
    <row r="757" spans="1:24" x14ac:dyDescent="0.35">
      <c r="A757" s="5">
        <v>14617</v>
      </c>
      <c r="B757" s="5">
        <v>12160922312</v>
      </c>
      <c r="C757" s="5">
        <v>726988</v>
      </c>
      <c r="D757" s="5">
        <v>3763379</v>
      </c>
      <c r="E757" s="6" t="s">
        <v>70</v>
      </c>
      <c r="F757" s="6" t="s">
        <v>71</v>
      </c>
      <c r="G757" s="6" t="s">
        <v>71</v>
      </c>
      <c r="H757" s="7"/>
      <c r="I757" s="35" t="str">
        <f t="shared" si="145"/>
        <v>160922</v>
      </c>
      <c r="J757" s="31" t="str">
        <f t="shared" si="146"/>
        <v>12</v>
      </c>
      <c r="N757" s="12" t="str">
        <f t="shared" si="147"/>
        <v>1</v>
      </c>
      <c r="O757" s="11" t="str">
        <f t="shared" si="148"/>
        <v>2</v>
      </c>
      <c r="P757" s="11" t="str">
        <f t="shared" si="149"/>
        <v>1</v>
      </c>
      <c r="Q757" s="11" t="str">
        <f t="shared" si="150"/>
        <v>6</v>
      </c>
      <c r="R757" s="11" t="str">
        <f t="shared" si="151"/>
        <v>0</v>
      </c>
      <c r="S757" s="11" t="str">
        <f t="shared" si="152"/>
        <v>9</v>
      </c>
      <c r="T757" s="11" t="str">
        <f t="shared" si="153"/>
        <v>2</v>
      </c>
      <c r="U757" s="11" t="str">
        <f t="shared" si="154"/>
        <v>2</v>
      </c>
      <c r="V757" s="11" t="str">
        <f t="shared" si="155"/>
        <v>3</v>
      </c>
      <c r="W757" s="11" t="str">
        <f t="shared" si="156"/>
        <v>1</v>
      </c>
      <c r="X757" s="11" t="str">
        <f t="shared" si="157"/>
        <v>2</v>
      </c>
    </row>
    <row r="758" spans="1:24" x14ac:dyDescent="0.35">
      <c r="A758" s="5">
        <v>14618</v>
      </c>
      <c r="B758" s="5">
        <v>12160922313</v>
      </c>
      <c r="C758" s="5">
        <v>726989</v>
      </c>
      <c r="D758" s="5">
        <v>3763380</v>
      </c>
      <c r="E758" s="6" t="s">
        <v>70</v>
      </c>
      <c r="F758" s="6" t="s">
        <v>71</v>
      </c>
      <c r="G758" s="6" t="s">
        <v>71</v>
      </c>
      <c r="H758" s="7"/>
      <c r="I758" s="35" t="str">
        <f t="shared" si="145"/>
        <v>160922</v>
      </c>
      <c r="J758" s="31" t="str">
        <f t="shared" si="146"/>
        <v>12</v>
      </c>
      <c r="N758" s="12" t="str">
        <f t="shared" si="147"/>
        <v>1</v>
      </c>
      <c r="O758" s="11" t="str">
        <f t="shared" si="148"/>
        <v>2</v>
      </c>
      <c r="P758" s="11" t="str">
        <f t="shared" si="149"/>
        <v>1</v>
      </c>
      <c r="Q758" s="11" t="str">
        <f t="shared" si="150"/>
        <v>6</v>
      </c>
      <c r="R758" s="11" t="str">
        <f t="shared" si="151"/>
        <v>0</v>
      </c>
      <c r="S758" s="11" t="str">
        <f t="shared" si="152"/>
        <v>9</v>
      </c>
      <c r="T758" s="11" t="str">
        <f t="shared" si="153"/>
        <v>2</v>
      </c>
      <c r="U758" s="11" t="str">
        <f t="shared" si="154"/>
        <v>2</v>
      </c>
      <c r="V758" s="11" t="str">
        <f t="shared" si="155"/>
        <v>3</v>
      </c>
      <c r="W758" s="11" t="str">
        <f t="shared" si="156"/>
        <v>1</v>
      </c>
      <c r="X758" s="11" t="str">
        <f t="shared" si="157"/>
        <v>3</v>
      </c>
    </row>
    <row r="759" spans="1:24" x14ac:dyDescent="0.35">
      <c r="A759" s="5">
        <v>14619</v>
      </c>
      <c r="B759" s="5">
        <v>12160922314</v>
      </c>
      <c r="C759" s="5">
        <v>726990</v>
      </c>
      <c r="D759" s="5">
        <v>3763380</v>
      </c>
      <c r="E759" s="6" t="s">
        <v>70</v>
      </c>
      <c r="F759" s="6" t="s">
        <v>71</v>
      </c>
      <c r="G759" s="6" t="s">
        <v>71</v>
      </c>
      <c r="H759" s="7"/>
      <c r="I759" s="35" t="str">
        <f t="shared" si="145"/>
        <v>160922</v>
      </c>
      <c r="J759" s="31" t="str">
        <f t="shared" si="146"/>
        <v>12</v>
      </c>
      <c r="N759" s="12" t="str">
        <f t="shared" si="147"/>
        <v>1</v>
      </c>
      <c r="O759" s="11" t="str">
        <f t="shared" si="148"/>
        <v>2</v>
      </c>
      <c r="P759" s="11" t="str">
        <f t="shared" si="149"/>
        <v>1</v>
      </c>
      <c r="Q759" s="11" t="str">
        <f t="shared" si="150"/>
        <v>6</v>
      </c>
      <c r="R759" s="11" t="str">
        <f t="shared" si="151"/>
        <v>0</v>
      </c>
      <c r="S759" s="11" t="str">
        <f t="shared" si="152"/>
        <v>9</v>
      </c>
      <c r="T759" s="11" t="str">
        <f t="shared" si="153"/>
        <v>2</v>
      </c>
      <c r="U759" s="11" t="str">
        <f t="shared" si="154"/>
        <v>2</v>
      </c>
      <c r="V759" s="11" t="str">
        <f t="shared" si="155"/>
        <v>3</v>
      </c>
      <c r="W759" s="11" t="str">
        <f t="shared" si="156"/>
        <v>1</v>
      </c>
      <c r="X759" s="11" t="str">
        <f t="shared" si="157"/>
        <v>4</v>
      </c>
    </row>
    <row r="760" spans="1:24" x14ac:dyDescent="0.35">
      <c r="A760" s="5">
        <v>14620</v>
      </c>
      <c r="B760" s="5">
        <v>12160922315</v>
      </c>
      <c r="C760" s="5">
        <v>727007</v>
      </c>
      <c r="D760" s="5">
        <v>3763426</v>
      </c>
      <c r="E760" s="6" t="s">
        <v>70</v>
      </c>
      <c r="F760" s="6" t="s">
        <v>71</v>
      </c>
      <c r="G760" s="6" t="s">
        <v>71</v>
      </c>
      <c r="H760" s="7"/>
      <c r="I760" s="35" t="str">
        <f t="shared" si="145"/>
        <v>160922</v>
      </c>
      <c r="J760" s="31" t="str">
        <f t="shared" si="146"/>
        <v>12</v>
      </c>
      <c r="N760" s="12" t="str">
        <f t="shared" si="147"/>
        <v>1</v>
      </c>
      <c r="O760" s="11" t="str">
        <f t="shared" si="148"/>
        <v>2</v>
      </c>
      <c r="P760" s="11" t="str">
        <f t="shared" si="149"/>
        <v>1</v>
      </c>
      <c r="Q760" s="11" t="str">
        <f t="shared" si="150"/>
        <v>6</v>
      </c>
      <c r="R760" s="11" t="str">
        <f t="shared" si="151"/>
        <v>0</v>
      </c>
      <c r="S760" s="11" t="str">
        <f t="shared" si="152"/>
        <v>9</v>
      </c>
      <c r="T760" s="11" t="str">
        <f t="shared" si="153"/>
        <v>2</v>
      </c>
      <c r="U760" s="11" t="str">
        <f t="shared" si="154"/>
        <v>2</v>
      </c>
      <c r="V760" s="11" t="str">
        <f t="shared" si="155"/>
        <v>3</v>
      </c>
      <c r="W760" s="11" t="str">
        <f t="shared" si="156"/>
        <v>1</v>
      </c>
      <c r="X760" s="11" t="str">
        <f t="shared" si="157"/>
        <v>5</v>
      </c>
    </row>
    <row r="761" spans="1:24" x14ac:dyDescent="0.35">
      <c r="A761" s="5">
        <v>14621</v>
      </c>
      <c r="B761" s="5">
        <v>12160922316</v>
      </c>
      <c r="C761" s="5">
        <v>727026</v>
      </c>
      <c r="D761" s="5">
        <v>3763468</v>
      </c>
      <c r="E761" s="6" t="s">
        <v>70</v>
      </c>
      <c r="F761" s="6" t="s">
        <v>71</v>
      </c>
      <c r="G761" s="6" t="s">
        <v>71</v>
      </c>
      <c r="H761" s="7"/>
      <c r="I761" s="35" t="str">
        <f t="shared" si="145"/>
        <v>160922</v>
      </c>
      <c r="J761" s="31" t="str">
        <f t="shared" si="146"/>
        <v>12</v>
      </c>
      <c r="N761" s="12" t="str">
        <f t="shared" si="147"/>
        <v>1</v>
      </c>
      <c r="O761" s="11" t="str">
        <f t="shared" si="148"/>
        <v>2</v>
      </c>
      <c r="P761" s="11" t="str">
        <f t="shared" si="149"/>
        <v>1</v>
      </c>
      <c r="Q761" s="11" t="str">
        <f t="shared" si="150"/>
        <v>6</v>
      </c>
      <c r="R761" s="11" t="str">
        <f t="shared" si="151"/>
        <v>0</v>
      </c>
      <c r="S761" s="11" t="str">
        <f t="shared" si="152"/>
        <v>9</v>
      </c>
      <c r="T761" s="11" t="str">
        <f t="shared" si="153"/>
        <v>2</v>
      </c>
      <c r="U761" s="11" t="str">
        <f t="shared" si="154"/>
        <v>2</v>
      </c>
      <c r="V761" s="11" t="str">
        <f t="shared" si="155"/>
        <v>3</v>
      </c>
      <c r="W761" s="11" t="str">
        <f t="shared" si="156"/>
        <v>1</v>
      </c>
      <c r="X761" s="11" t="str">
        <f t="shared" si="157"/>
        <v>6</v>
      </c>
    </row>
    <row r="762" spans="1:24" x14ac:dyDescent="0.35">
      <c r="A762" s="5">
        <v>14622</v>
      </c>
      <c r="B762" s="5">
        <v>12160922317</v>
      </c>
      <c r="C762" s="5">
        <v>727026.1</v>
      </c>
      <c r="D762" s="5">
        <v>3763468.3</v>
      </c>
      <c r="E762" s="6" t="s">
        <v>70</v>
      </c>
      <c r="F762" s="6" t="s">
        <v>71</v>
      </c>
      <c r="G762" s="6" t="s">
        <v>71</v>
      </c>
      <c r="H762" s="7"/>
      <c r="I762" s="35" t="str">
        <f t="shared" si="145"/>
        <v>160922</v>
      </c>
      <c r="J762" s="31" t="str">
        <f t="shared" si="146"/>
        <v>12</v>
      </c>
      <c r="N762" s="12" t="str">
        <f t="shared" si="147"/>
        <v>1</v>
      </c>
      <c r="O762" s="11" t="str">
        <f t="shared" si="148"/>
        <v>2</v>
      </c>
      <c r="P762" s="11" t="str">
        <f t="shared" si="149"/>
        <v>1</v>
      </c>
      <c r="Q762" s="11" t="str">
        <f t="shared" si="150"/>
        <v>6</v>
      </c>
      <c r="R762" s="11" t="str">
        <f t="shared" si="151"/>
        <v>0</v>
      </c>
      <c r="S762" s="11" t="str">
        <f t="shared" si="152"/>
        <v>9</v>
      </c>
      <c r="T762" s="11" t="str">
        <f t="shared" si="153"/>
        <v>2</v>
      </c>
      <c r="U762" s="11" t="str">
        <f t="shared" si="154"/>
        <v>2</v>
      </c>
      <c r="V762" s="11" t="str">
        <f t="shared" si="155"/>
        <v>3</v>
      </c>
      <c r="W762" s="11" t="str">
        <f t="shared" si="156"/>
        <v>1</v>
      </c>
      <c r="X762" s="11" t="str">
        <f t="shared" si="157"/>
        <v>7</v>
      </c>
    </row>
    <row r="763" spans="1:24" x14ac:dyDescent="0.35">
      <c r="A763" s="5">
        <v>14623</v>
      </c>
      <c r="B763" s="5">
        <v>12160922318</v>
      </c>
      <c r="C763" s="5">
        <v>727026.2</v>
      </c>
      <c r="D763" s="5">
        <v>3763468.4</v>
      </c>
      <c r="E763" s="6" t="s">
        <v>70</v>
      </c>
      <c r="F763" s="6" t="s">
        <v>71</v>
      </c>
      <c r="G763" s="6" t="s">
        <v>71</v>
      </c>
      <c r="H763" s="7"/>
      <c r="I763" s="35" t="str">
        <f t="shared" si="145"/>
        <v>160922</v>
      </c>
      <c r="J763" s="31" t="str">
        <f t="shared" si="146"/>
        <v>12</v>
      </c>
      <c r="N763" s="12" t="str">
        <f t="shared" si="147"/>
        <v>1</v>
      </c>
      <c r="O763" s="11" t="str">
        <f t="shared" si="148"/>
        <v>2</v>
      </c>
      <c r="P763" s="11" t="str">
        <f t="shared" si="149"/>
        <v>1</v>
      </c>
      <c r="Q763" s="11" t="str">
        <f t="shared" si="150"/>
        <v>6</v>
      </c>
      <c r="R763" s="11" t="str">
        <f t="shared" si="151"/>
        <v>0</v>
      </c>
      <c r="S763" s="11" t="str">
        <f t="shared" si="152"/>
        <v>9</v>
      </c>
      <c r="T763" s="11" t="str">
        <f t="shared" si="153"/>
        <v>2</v>
      </c>
      <c r="U763" s="11" t="str">
        <f t="shared" si="154"/>
        <v>2</v>
      </c>
      <c r="V763" s="11" t="str">
        <f t="shared" si="155"/>
        <v>3</v>
      </c>
      <c r="W763" s="11" t="str">
        <f t="shared" si="156"/>
        <v>1</v>
      </c>
      <c r="X763" s="11" t="str">
        <f t="shared" si="157"/>
        <v>8</v>
      </c>
    </row>
    <row r="764" spans="1:24" x14ac:dyDescent="0.35">
      <c r="A764" s="5">
        <v>14624</v>
      </c>
      <c r="B764" s="5">
        <v>12160922319</v>
      </c>
      <c r="C764" s="5">
        <v>726975</v>
      </c>
      <c r="D764" s="5">
        <v>3763474</v>
      </c>
      <c r="E764" s="6" t="s">
        <v>70</v>
      </c>
      <c r="F764" s="6" t="s">
        <v>71</v>
      </c>
      <c r="G764" s="6" t="s">
        <v>71</v>
      </c>
      <c r="H764" s="7"/>
      <c r="I764" s="35" t="str">
        <f t="shared" si="145"/>
        <v>160922</v>
      </c>
      <c r="J764" s="31" t="str">
        <f t="shared" si="146"/>
        <v>12</v>
      </c>
      <c r="N764" s="12" t="str">
        <f t="shared" si="147"/>
        <v>1</v>
      </c>
      <c r="O764" s="11" t="str">
        <f t="shared" si="148"/>
        <v>2</v>
      </c>
      <c r="P764" s="11" t="str">
        <f t="shared" si="149"/>
        <v>1</v>
      </c>
      <c r="Q764" s="11" t="str">
        <f t="shared" si="150"/>
        <v>6</v>
      </c>
      <c r="R764" s="11" t="str">
        <f t="shared" si="151"/>
        <v>0</v>
      </c>
      <c r="S764" s="11" t="str">
        <f t="shared" si="152"/>
        <v>9</v>
      </c>
      <c r="T764" s="11" t="str">
        <f t="shared" si="153"/>
        <v>2</v>
      </c>
      <c r="U764" s="11" t="str">
        <f t="shared" si="154"/>
        <v>2</v>
      </c>
      <c r="V764" s="11" t="str">
        <f t="shared" si="155"/>
        <v>3</v>
      </c>
      <c r="W764" s="11" t="str">
        <f t="shared" si="156"/>
        <v>1</v>
      </c>
      <c r="X764" s="11" t="str">
        <f t="shared" si="157"/>
        <v>9</v>
      </c>
    </row>
    <row r="765" spans="1:24" x14ac:dyDescent="0.35">
      <c r="A765" s="5">
        <v>14625</v>
      </c>
      <c r="B765" s="5">
        <v>12160922320</v>
      </c>
      <c r="C765" s="5">
        <v>726984</v>
      </c>
      <c r="D765" s="5">
        <v>3763497</v>
      </c>
      <c r="E765" s="6" t="s">
        <v>70</v>
      </c>
      <c r="F765" s="6" t="s">
        <v>71</v>
      </c>
      <c r="G765" s="6" t="s">
        <v>71</v>
      </c>
      <c r="H765" s="7"/>
      <c r="I765" s="35" t="str">
        <f t="shared" si="145"/>
        <v>160922</v>
      </c>
      <c r="J765" s="31" t="str">
        <f t="shared" si="146"/>
        <v>12</v>
      </c>
      <c r="N765" s="12" t="str">
        <f t="shared" si="147"/>
        <v>1</v>
      </c>
      <c r="O765" s="11" t="str">
        <f t="shared" si="148"/>
        <v>2</v>
      </c>
      <c r="P765" s="11" t="str">
        <f t="shared" si="149"/>
        <v>1</v>
      </c>
      <c r="Q765" s="11" t="str">
        <f t="shared" si="150"/>
        <v>6</v>
      </c>
      <c r="R765" s="11" t="str">
        <f t="shared" si="151"/>
        <v>0</v>
      </c>
      <c r="S765" s="11" t="str">
        <f t="shared" si="152"/>
        <v>9</v>
      </c>
      <c r="T765" s="11" t="str">
        <f t="shared" si="153"/>
        <v>2</v>
      </c>
      <c r="U765" s="11" t="str">
        <f t="shared" si="154"/>
        <v>2</v>
      </c>
      <c r="V765" s="11" t="str">
        <f t="shared" si="155"/>
        <v>3</v>
      </c>
      <c r="W765" s="11" t="str">
        <f t="shared" si="156"/>
        <v>2</v>
      </c>
      <c r="X765" s="11" t="str">
        <f t="shared" si="157"/>
        <v>0</v>
      </c>
    </row>
    <row r="766" spans="1:24" x14ac:dyDescent="0.35">
      <c r="A766" s="5">
        <v>14626</v>
      </c>
      <c r="B766" s="5">
        <v>12160922321</v>
      </c>
      <c r="C766" s="5">
        <v>726985</v>
      </c>
      <c r="D766" s="5">
        <v>3763498</v>
      </c>
      <c r="E766" s="6" t="s">
        <v>70</v>
      </c>
      <c r="F766" s="6" t="s">
        <v>71</v>
      </c>
      <c r="G766" s="6" t="s">
        <v>71</v>
      </c>
      <c r="H766" s="7"/>
      <c r="I766" s="35" t="str">
        <f t="shared" si="145"/>
        <v>160922</v>
      </c>
      <c r="J766" s="31" t="str">
        <f t="shared" si="146"/>
        <v>12</v>
      </c>
      <c r="N766" s="12" t="str">
        <f t="shared" si="147"/>
        <v>1</v>
      </c>
      <c r="O766" s="11" t="str">
        <f t="shared" si="148"/>
        <v>2</v>
      </c>
      <c r="P766" s="11" t="str">
        <f t="shared" si="149"/>
        <v>1</v>
      </c>
      <c r="Q766" s="11" t="str">
        <f t="shared" si="150"/>
        <v>6</v>
      </c>
      <c r="R766" s="11" t="str">
        <f t="shared" si="151"/>
        <v>0</v>
      </c>
      <c r="S766" s="11" t="str">
        <f t="shared" si="152"/>
        <v>9</v>
      </c>
      <c r="T766" s="11" t="str">
        <f t="shared" si="153"/>
        <v>2</v>
      </c>
      <c r="U766" s="11" t="str">
        <f t="shared" si="154"/>
        <v>2</v>
      </c>
      <c r="V766" s="11" t="str">
        <f t="shared" si="155"/>
        <v>3</v>
      </c>
      <c r="W766" s="11" t="str">
        <f t="shared" si="156"/>
        <v>2</v>
      </c>
      <c r="X766" s="11" t="str">
        <f t="shared" si="157"/>
        <v>1</v>
      </c>
    </row>
    <row r="767" spans="1:24" x14ac:dyDescent="0.35">
      <c r="A767" s="5">
        <v>14627</v>
      </c>
      <c r="B767" s="5">
        <v>12160922322</v>
      </c>
      <c r="C767" s="5">
        <v>726986</v>
      </c>
      <c r="D767" s="5">
        <v>3763499</v>
      </c>
      <c r="E767" s="6" t="s">
        <v>70</v>
      </c>
      <c r="F767" s="6" t="s">
        <v>71</v>
      </c>
      <c r="G767" s="6" t="s">
        <v>71</v>
      </c>
      <c r="H767" s="7"/>
      <c r="I767" s="35" t="str">
        <f t="shared" si="145"/>
        <v>160922</v>
      </c>
      <c r="J767" s="31" t="str">
        <f t="shared" si="146"/>
        <v>12</v>
      </c>
      <c r="N767" s="12" t="str">
        <f t="shared" si="147"/>
        <v>1</v>
      </c>
      <c r="O767" s="11" t="str">
        <f t="shared" si="148"/>
        <v>2</v>
      </c>
      <c r="P767" s="11" t="str">
        <f t="shared" si="149"/>
        <v>1</v>
      </c>
      <c r="Q767" s="11" t="str">
        <f t="shared" si="150"/>
        <v>6</v>
      </c>
      <c r="R767" s="11" t="str">
        <f t="shared" si="151"/>
        <v>0</v>
      </c>
      <c r="S767" s="11" t="str">
        <f t="shared" si="152"/>
        <v>9</v>
      </c>
      <c r="T767" s="11" t="str">
        <f t="shared" si="153"/>
        <v>2</v>
      </c>
      <c r="U767" s="11" t="str">
        <f t="shared" si="154"/>
        <v>2</v>
      </c>
      <c r="V767" s="11" t="str">
        <f t="shared" si="155"/>
        <v>3</v>
      </c>
      <c r="W767" s="11" t="str">
        <f t="shared" si="156"/>
        <v>2</v>
      </c>
      <c r="X767" s="11" t="str">
        <f t="shared" si="157"/>
        <v>2</v>
      </c>
    </row>
    <row r="768" spans="1:24" x14ac:dyDescent="0.35">
      <c r="A768" s="5">
        <v>14628</v>
      </c>
      <c r="B768" s="5">
        <v>12160922323</v>
      </c>
      <c r="C768" s="5">
        <v>727007</v>
      </c>
      <c r="D768" s="5">
        <v>3763544</v>
      </c>
      <c r="E768" s="6" t="s">
        <v>70</v>
      </c>
      <c r="F768" s="6" t="s">
        <v>71</v>
      </c>
      <c r="G768" s="6" t="s">
        <v>71</v>
      </c>
      <c r="H768" s="7"/>
      <c r="I768" s="35" t="str">
        <f t="shared" si="145"/>
        <v>160922</v>
      </c>
      <c r="J768" s="31" t="str">
        <f t="shared" si="146"/>
        <v>12</v>
      </c>
      <c r="N768" s="12" t="str">
        <f t="shared" si="147"/>
        <v>1</v>
      </c>
      <c r="O768" s="11" t="str">
        <f t="shared" si="148"/>
        <v>2</v>
      </c>
      <c r="P768" s="11" t="str">
        <f t="shared" si="149"/>
        <v>1</v>
      </c>
      <c r="Q768" s="11" t="str">
        <f t="shared" si="150"/>
        <v>6</v>
      </c>
      <c r="R768" s="11" t="str">
        <f t="shared" si="151"/>
        <v>0</v>
      </c>
      <c r="S768" s="11" t="str">
        <f t="shared" si="152"/>
        <v>9</v>
      </c>
      <c r="T768" s="11" t="str">
        <f t="shared" si="153"/>
        <v>2</v>
      </c>
      <c r="U768" s="11" t="str">
        <f t="shared" si="154"/>
        <v>2</v>
      </c>
      <c r="V768" s="11" t="str">
        <f t="shared" si="155"/>
        <v>3</v>
      </c>
      <c r="W768" s="11" t="str">
        <f t="shared" si="156"/>
        <v>2</v>
      </c>
      <c r="X768" s="11" t="str">
        <f t="shared" si="157"/>
        <v>3</v>
      </c>
    </row>
    <row r="769" spans="1:24" x14ac:dyDescent="0.35">
      <c r="A769" s="5">
        <v>14629</v>
      </c>
      <c r="B769" s="5">
        <v>12160922324</v>
      </c>
      <c r="C769" s="5">
        <v>727017</v>
      </c>
      <c r="D769" s="5">
        <v>3763563</v>
      </c>
      <c r="E769" s="6" t="s">
        <v>70</v>
      </c>
      <c r="F769" s="6" t="s">
        <v>71</v>
      </c>
      <c r="G769" s="6" t="s">
        <v>71</v>
      </c>
      <c r="H769" s="7"/>
      <c r="I769" s="35" t="str">
        <f t="shared" si="145"/>
        <v>160922</v>
      </c>
      <c r="J769" s="31" t="str">
        <f t="shared" si="146"/>
        <v>12</v>
      </c>
      <c r="N769" s="12" t="str">
        <f t="shared" si="147"/>
        <v>1</v>
      </c>
      <c r="O769" s="11" t="str">
        <f t="shared" si="148"/>
        <v>2</v>
      </c>
      <c r="P769" s="11" t="str">
        <f t="shared" si="149"/>
        <v>1</v>
      </c>
      <c r="Q769" s="11" t="str">
        <f t="shared" si="150"/>
        <v>6</v>
      </c>
      <c r="R769" s="11" t="str">
        <f t="shared" si="151"/>
        <v>0</v>
      </c>
      <c r="S769" s="11" t="str">
        <f t="shared" si="152"/>
        <v>9</v>
      </c>
      <c r="T769" s="11" t="str">
        <f t="shared" si="153"/>
        <v>2</v>
      </c>
      <c r="U769" s="11" t="str">
        <f t="shared" si="154"/>
        <v>2</v>
      </c>
      <c r="V769" s="11" t="str">
        <f t="shared" si="155"/>
        <v>3</v>
      </c>
      <c r="W769" s="11" t="str">
        <f t="shared" si="156"/>
        <v>2</v>
      </c>
      <c r="X769" s="11" t="str">
        <f t="shared" si="157"/>
        <v>4</v>
      </c>
    </row>
    <row r="770" spans="1:24" x14ac:dyDescent="0.35">
      <c r="A770" s="5">
        <v>14630</v>
      </c>
      <c r="B770" s="5">
        <v>12160922325</v>
      </c>
      <c r="C770" s="5">
        <v>727028</v>
      </c>
      <c r="D770" s="5">
        <v>3763595</v>
      </c>
      <c r="E770" s="6" t="s">
        <v>70</v>
      </c>
      <c r="F770" s="6" t="s">
        <v>71</v>
      </c>
      <c r="G770" s="6" t="s">
        <v>71</v>
      </c>
      <c r="H770" s="7"/>
      <c r="I770" s="35" t="str">
        <f t="shared" si="145"/>
        <v>160922</v>
      </c>
      <c r="J770" s="31" t="str">
        <f t="shared" si="146"/>
        <v>12</v>
      </c>
      <c r="N770" s="12" t="str">
        <f t="shared" si="147"/>
        <v>1</v>
      </c>
      <c r="O770" s="11" t="str">
        <f t="shared" si="148"/>
        <v>2</v>
      </c>
      <c r="P770" s="11" t="str">
        <f t="shared" si="149"/>
        <v>1</v>
      </c>
      <c r="Q770" s="11" t="str">
        <f t="shared" si="150"/>
        <v>6</v>
      </c>
      <c r="R770" s="11" t="str">
        <f t="shared" si="151"/>
        <v>0</v>
      </c>
      <c r="S770" s="11" t="str">
        <f t="shared" si="152"/>
        <v>9</v>
      </c>
      <c r="T770" s="11" t="str">
        <f t="shared" si="153"/>
        <v>2</v>
      </c>
      <c r="U770" s="11" t="str">
        <f t="shared" si="154"/>
        <v>2</v>
      </c>
      <c r="V770" s="11" t="str">
        <f t="shared" si="155"/>
        <v>3</v>
      </c>
      <c r="W770" s="11" t="str">
        <f t="shared" si="156"/>
        <v>2</v>
      </c>
      <c r="X770" s="11" t="str">
        <f t="shared" si="157"/>
        <v>5</v>
      </c>
    </row>
    <row r="771" spans="1:24" x14ac:dyDescent="0.35">
      <c r="A771" s="5">
        <v>14631</v>
      </c>
      <c r="B771" s="5">
        <v>12160922326</v>
      </c>
      <c r="C771" s="5">
        <v>727046</v>
      </c>
      <c r="D771" s="5">
        <v>3763504</v>
      </c>
      <c r="E771" s="6" t="s">
        <v>70</v>
      </c>
      <c r="F771" s="6" t="s">
        <v>71</v>
      </c>
      <c r="G771" s="6" t="s">
        <v>71</v>
      </c>
      <c r="H771" s="7"/>
      <c r="I771" s="35" t="str">
        <f t="shared" ref="I771:I834" si="158">MID(B771,IF(LEN(B771)=10,2,3),6)</f>
        <v>160922</v>
      </c>
      <c r="J771" s="31" t="str">
        <f t="shared" ref="J771:J834" si="159">TEXT(MID(B771,1,IF(LEN(B771)=10,1,2)),"00")</f>
        <v>12</v>
      </c>
      <c r="N771" s="12" t="str">
        <f t="shared" ref="N771:N834" si="160">IFERROR(MID($B771,LEN($B771)-10,1),0)</f>
        <v>1</v>
      </c>
      <c r="O771" s="11" t="str">
        <f t="shared" ref="O771:O834" si="161">MID($B771,LEN($B771)-9,1)</f>
        <v>2</v>
      </c>
      <c r="P771" s="11" t="str">
        <f t="shared" ref="P771:P834" si="162">MID($B771,LEN($B771)-8,1)</f>
        <v>1</v>
      </c>
      <c r="Q771" s="11" t="str">
        <f t="shared" ref="Q771:Q834" si="163">MID($B771,LEN($B771)-7,1)</f>
        <v>6</v>
      </c>
      <c r="R771" s="11" t="str">
        <f t="shared" ref="R771:R834" si="164">MID($B771,LEN($B771)-6,1)</f>
        <v>0</v>
      </c>
      <c r="S771" s="11" t="str">
        <f t="shared" ref="S771:S834" si="165">MID($B771,LEN($B771)-5,1)</f>
        <v>9</v>
      </c>
      <c r="T771" s="11" t="str">
        <f t="shared" ref="T771:T834" si="166">MID($B771,LEN($B771)-4,1)</f>
        <v>2</v>
      </c>
      <c r="U771" s="11" t="str">
        <f t="shared" ref="U771:U834" si="167">MID($B771,LEN($B771)-3,1)</f>
        <v>2</v>
      </c>
      <c r="V771" s="11" t="str">
        <f t="shared" ref="V771:V834" si="168">MID($B771,LEN($B771)-2,1)</f>
        <v>3</v>
      </c>
      <c r="W771" s="11" t="str">
        <f t="shared" ref="W771:W834" si="169">MID($B771,LEN($B771)-1,1)</f>
        <v>2</v>
      </c>
      <c r="X771" s="11" t="str">
        <f t="shared" ref="X771:X834" si="170">MID($B771,LEN($B771)-0,1)</f>
        <v>6</v>
      </c>
    </row>
    <row r="772" spans="1:24" x14ac:dyDescent="0.35">
      <c r="A772" s="5">
        <v>14632</v>
      </c>
      <c r="B772" s="5">
        <v>12160922327</v>
      </c>
      <c r="C772" s="5">
        <v>727065</v>
      </c>
      <c r="D772" s="5">
        <v>3763538</v>
      </c>
      <c r="E772" s="6" t="s">
        <v>70</v>
      </c>
      <c r="F772" s="6" t="s">
        <v>71</v>
      </c>
      <c r="G772" s="6" t="s">
        <v>71</v>
      </c>
      <c r="H772" s="7"/>
      <c r="I772" s="35" t="str">
        <f t="shared" si="158"/>
        <v>160922</v>
      </c>
      <c r="J772" s="31" t="str">
        <f t="shared" si="159"/>
        <v>12</v>
      </c>
      <c r="N772" s="12" t="str">
        <f t="shared" si="160"/>
        <v>1</v>
      </c>
      <c r="O772" s="11" t="str">
        <f t="shared" si="161"/>
        <v>2</v>
      </c>
      <c r="P772" s="11" t="str">
        <f t="shared" si="162"/>
        <v>1</v>
      </c>
      <c r="Q772" s="11" t="str">
        <f t="shared" si="163"/>
        <v>6</v>
      </c>
      <c r="R772" s="11" t="str">
        <f t="shared" si="164"/>
        <v>0</v>
      </c>
      <c r="S772" s="11" t="str">
        <f t="shared" si="165"/>
        <v>9</v>
      </c>
      <c r="T772" s="11" t="str">
        <f t="shared" si="166"/>
        <v>2</v>
      </c>
      <c r="U772" s="11" t="str">
        <f t="shared" si="167"/>
        <v>2</v>
      </c>
      <c r="V772" s="11" t="str">
        <f t="shared" si="168"/>
        <v>3</v>
      </c>
      <c r="W772" s="11" t="str">
        <f t="shared" si="169"/>
        <v>2</v>
      </c>
      <c r="X772" s="11" t="str">
        <f t="shared" si="170"/>
        <v>7</v>
      </c>
    </row>
    <row r="773" spans="1:24" x14ac:dyDescent="0.35">
      <c r="A773" s="5">
        <v>14633</v>
      </c>
      <c r="B773" s="5">
        <v>12160922328</v>
      </c>
      <c r="C773" s="5">
        <v>727082</v>
      </c>
      <c r="D773" s="5">
        <v>3763577</v>
      </c>
      <c r="E773" s="6" t="s">
        <v>70</v>
      </c>
      <c r="F773" s="6" t="s">
        <v>71</v>
      </c>
      <c r="G773" s="6" t="s">
        <v>71</v>
      </c>
      <c r="H773" s="7"/>
      <c r="I773" s="35" t="str">
        <f t="shared" si="158"/>
        <v>160922</v>
      </c>
      <c r="J773" s="31" t="str">
        <f t="shared" si="159"/>
        <v>12</v>
      </c>
      <c r="N773" s="12" t="str">
        <f t="shared" si="160"/>
        <v>1</v>
      </c>
      <c r="O773" s="11" t="str">
        <f t="shared" si="161"/>
        <v>2</v>
      </c>
      <c r="P773" s="11" t="str">
        <f t="shared" si="162"/>
        <v>1</v>
      </c>
      <c r="Q773" s="11" t="str">
        <f t="shared" si="163"/>
        <v>6</v>
      </c>
      <c r="R773" s="11" t="str">
        <f t="shared" si="164"/>
        <v>0</v>
      </c>
      <c r="S773" s="11" t="str">
        <f t="shared" si="165"/>
        <v>9</v>
      </c>
      <c r="T773" s="11" t="str">
        <f t="shared" si="166"/>
        <v>2</v>
      </c>
      <c r="U773" s="11" t="str">
        <f t="shared" si="167"/>
        <v>2</v>
      </c>
      <c r="V773" s="11" t="str">
        <f t="shared" si="168"/>
        <v>3</v>
      </c>
      <c r="W773" s="11" t="str">
        <f t="shared" si="169"/>
        <v>2</v>
      </c>
      <c r="X773" s="11" t="str">
        <f t="shared" si="170"/>
        <v>8</v>
      </c>
    </row>
    <row r="774" spans="1:24" x14ac:dyDescent="0.35">
      <c r="A774" s="5">
        <v>14634</v>
      </c>
      <c r="B774" s="5">
        <v>12160922329</v>
      </c>
      <c r="C774" s="5">
        <v>727102</v>
      </c>
      <c r="D774" s="5">
        <v>3763613</v>
      </c>
      <c r="E774" s="6" t="s">
        <v>70</v>
      </c>
      <c r="F774" s="6" t="s">
        <v>71</v>
      </c>
      <c r="G774" s="6" t="s">
        <v>71</v>
      </c>
      <c r="H774" s="7"/>
      <c r="I774" s="35" t="str">
        <f t="shared" si="158"/>
        <v>160922</v>
      </c>
      <c r="J774" s="31" t="str">
        <f t="shared" si="159"/>
        <v>12</v>
      </c>
      <c r="N774" s="12" t="str">
        <f t="shared" si="160"/>
        <v>1</v>
      </c>
      <c r="O774" s="11" t="str">
        <f t="shared" si="161"/>
        <v>2</v>
      </c>
      <c r="P774" s="11" t="str">
        <f t="shared" si="162"/>
        <v>1</v>
      </c>
      <c r="Q774" s="11" t="str">
        <f t="shared" si="163"/>
        <v>6</v>
      </c>
      <c r="R774" s="11" t="str">
        <f t="shared" si="164"/>
        <v>0</v>
      </c>
      <c r="S774" s="11" t="str">
        <f t="shared" si="165"/>
        <v>9</v>
      </c>
      <c r="T774" s="11" t="str">
        <f t="shared" si="166"/>
        <v>2</v>
      </c>
      <c r="U774" s="11" t="str">
        <f t="shared" si="167"/>
        <v>2</v>
      </c>
      <c r="V774" s="11" t="str">
        <f t="shared" si="168"/>
        <v>3</v>
      </c>
      <c r="W774" s="11" t="str">
        <f t="shared" si="169"/>
        <v>2</v>
      </c>
      <c r="X774" s="11" t="str">
        <f t="shared" si="170"/>
        <v>9</v>
      </c>
    </row>
    <row r="775" spans="1:24" x14ac:dyDescent="0.35">
      <c r="A775" s="5">
        <v>14635</v>
      </c>
      <c r="B775" s="5">
        <v>12160922330</v>
      </c>
      <c r="C775" s="5">
        <v>727103</v>
      </c>
      <c r="D775" s="5">
        <v>3763615</v>
      </c>
      <c r="E775" s="6" t="s">
        <v>70</v>
      </c>
      <c r="F775" s="6" t="s">
        <v>70</v>
      </c>
      <c r="G775" s="6" t="s">
        <v>70</v>
      </c>
      <c r="H775" s="7"/>
      <c r="I775" s="35" t="str">
        <f t="shared" si="158"/>
        <v>160922</v>
      </c>
      <c r="J775" s="31" t="str">
        <f t="shared" si="159"/>
        <v>12</v>
      </c>
      <c r="N775" s="12" t="str">
        <f t="shared" si="160"/>
        <v>1</v>
      </c>
      <c r="O775" s="11" t="str">
        <f t="shared" si="161"/>
        <v>2</v>
      </c>
      <c r="P775" s="11" t="str">
        <f t="shared" si="162"/>
        <v>1</v>
      </c>
      <c r="Q775" s="11" t="str">
        <f t="shared" si="163"/>
        <v>6</v>
      </c>
      <c r="R775" s="11" t="str">
        <f t="shared" si="164"/>
        <v>0</v>
      </c>
      <c r="S775" s="11" t="str">
        <f t="shared" si="165"/>
        <v>9</v>
      </c>
      <c r="T775" s="11" t="str">
        <f t="shared" si="166"/>
        <v>2</v>
      </c>
      <c r="U775" s="11" t="str">
        <f t="shared" si="167"/>
        <v>2</v>
      </c>
      <c r="V775" s="11" t="str">
        <f t="shared" si="168"/>
        <v>3</v>
      </c>
      <c r="W775" s="11" t="str">
        <f t="shared" si="169"/>
        <v>3</v>
      </c>
      <c r="X775" s="11" t="str">
        <f t="shared" si="170"/>
        <v>0</v>
      </c>
    </row>
    <row r="776" spans="1:24" x14ac:dyDescent="0.35">
      <c r="A776" s="5">
        <v>14636</v>
      </c>
      <c r="B776" s="5">
        <v>12160922331</v>
      </c>
      <c r="C776" s="5">
        <v>727102</v>
      </c>
      <c r="D776" s="5">
        <v>3763617</v>
      </c>
      <c r="E776" s="6" t="s">
        <v>70</v>
      </c>
      <c r="F776" s="6" t="s">
        <v>71</v>
      </c>
      <c r="G776" s="6" t="s">
        <v>71</v>
      </c>
      <c r="H776" s="7"/>
      <c r="I776" s="35" t="str">
        <f t="shared" si="158"/>
        <v>160922</v>
      </c>
      <c r="J776" s="31" t="str">
        <f t="shared" si="159"/>
        <v>12</v>
      </c>
      <c r="N776" s="12" t="str">
        <f t="shared" si="160"/>
        <v>1</v>
      </c>
      <c r="O776" s="11" t="str">
        <f t="shared" si="161"/>
        <v>2</v>
      </c>
      <c r="P776" s="11" t="str">
        <f t="shared" si="162"/>
        <v>1</v>
      </c>
      <c r="Q776" s="11" t="str">
        <f t="shared" si="163"/>
        <v>6</v>
      </c>
      <c r="R776" s="11" t="str">
        <f t="shared" si="164"/>
        <v>0</v>
      </c>
      <c r="S776" s="11" t="str">
        <f t="shared" si="165"/>
        <v>9</v>
      </c>
      <c r="T776" s="11" t="str">
        <f t="shared" si="166"/>
        <v>2</v>
      </c>
      <c r="U776" s="11" t="str">
        <f t="shared" si="167"/>
        <v>2</v>
      </c>
      <c r="V776" s="11" t="str">
        <f t="shared" si="168"/>
        <v>3</v>
      </c>
      <c r="W776" s="11" t="str">
        <f t="shared" si="169"/>
        <v>3</v>
      </c>
      <c r="X776" s="11" t="str">
        <f t="shared" si="170"/>
        <v>1</v>
      </c>
    </row>
    <row r="777" spans="1:24" x14ac:dyDescent="0.35">
      <c r="A777" s="5">
        <v>14637</v>
      </c>
      <c r="B777" s="5">
        <v>12160922332</v>
      </c>
      <c r="C777" s="5">
        <v>727068</v>
      </c>
      <c r="D777" s="5">
        <v>3763642</v>
      </c>
      <c r="E777" s="6" t="s">
        <v>70</v>
      </c>
      <c r="F777" s="6" t="s">
        <v>71</v>
      </c>
      <c r="G777" s="6" t="s">
        <v>71</v>
      </c>
      <c r="H777" s="7"/>
      <c r="I777" s="35" t="str">
        <f t="shared" si="158"/>
        <v>160922</v>
      </c>
      <c r="J777" s="31" t="str">
        <f t="shared" si="159"/>
        <v>12</v>
      </c>
      <c r="N777" s="12" t="str">
        <f t="shared" si="160"/>
        <v>1</v>
      </c>
      <c r="O777" s="11" t="str">
        <f t="shared" si="161"/>
        <v>2</v>
      </c>
      <c r="P777" s="11" t="str">
        <f t="shared" si="162"/>
        <v>1</v>
      </c>
      <c r="Q777" s="11" t="str">
        <f t="shared" si="163"/>
        <v>6</v>
      </c>
      <c r="R777" s="11" t="str">
        <f t="shared" si="164"/>
        <v>0</v>
      </c>
      <c r="S777" s="11" t="str">
        <f t="shared" si="165"/>
        <v>9</v>
      </c>
      <c r="T777" s="11" t="str">
        <f t="shared" si="166"/>
        <v>2</v>
      </c>
      <c r="U777" s="11" t="str">
        <f t="shared" si="167"/>
        <v>2</v>
      </c>
      <c r="V777" s="11" t="str">
        <f t="shared" si="168"/>
        <v>3</v>
      </c>
      <c r="W777" s="11" t="str">
        <f t="shared" si="169"/>
        <v>3</v>
      </c>
      <c r="X777" s="11" t="str">
        <f t="shared" si="170"/>
        <v>2</v>
      </c>
    </row>
    <row r="778" spans="1:24" x14ac:dyDescent="0.35">
      <c r="A778" s="5">
        <v>14638</v>
      </c>
      <c r="B778" s="5">
        <v>12160922333</v>
      </c>
      <c r="C778" s="5">
        <v>727084</v>
      </c>
      <c r="D778" s="5">
        <v>3763670</v>
      </c>
      <c r="E778" s="6" t="s">
        <v>70</v>
      </c>
      <c r="F778" s="6" t="s">
        <v>71</v>
      </c>
      <c r="G778" s="6" t="s">
        <v>71</v>
      </c>
      <c r="H778" s="7"/>
      <c r="I778" s="35" t="str">
        <f t="shared" si="158"/>
        <v>160922</v>
      </c>
      <c r="J778" s="31" t="str">
        <f t="shared" si="159"/>
        <v>12</v>
      </c>
      <c r="N778" s="12" t="str">
        <f t="shared" si="160"/>
        <v>1</v>
      </c>
      <c r="O778" s="11" t="str">
        <f t="shared" si="161"/>
        <v>2</v>
      </c>
      <c r="P778" s="11" t="str">
        <f t="shared" si="162"/>
        <v>1</v>
      </c>
      <c r="Q778" s="11" t="str">
        <f t="shared" si="163"/>
        <v>6</v>
      </c>
      <c r="R778" s="11" t="str">
        <f t="shared" si="164"/>
        <v>0</v>
      </c>
      <c r="S778" s="11" t="str">
        <f t="shared" si="165"/>
        <v>9</v>
      </c>
      <c r="T778" s="11" t="str">
        <f t="shared" si="166"/>
        <v>2</v>
      </c>
      <c r="U778" s="11" t="str">
        <f t="shared" si="167"/>
        <v>2</v>
      </c>
      <c r="V778" s="11" t="str">
        <f t="shared" si="168"/>
        <v>3</v>
      </c>
      <c r="W778" s="11" t="str">
        <f t="shared" si="169"/>
        <v>3</v>
      </c>
      <c r="X778" s="11" t="str">
        <f t="shared" si="170"/>
        <v>3</v>
      </c>
    </row>
    <row r="779" spans="1:24" x14ac:dyDescent="0.35">
      <c r="A779" s="5">
        <v>14639</v>
      </c>
      <c r="B779" s="5">
        <v>12160922334</v>
      </c>
      <c r="C779" s="5">
        <v>727122</v>
      </c>
      <c r="D779" s="5">
        <v>3763669</v>
      </c>
      <c r="E779" s="6" t="s">
        <v>70</v>
      </c>
      <c r="F779" s="6" t="s">
        <v>71</v>
      </c>
      <c r="G779" s="6" t="s">
        <v>71</v>
      </c>
      <c r="H779" s="7"/>
      <c r="I779" s="35" t="str">
        <f t="shared" si="158"/>
        <v>160922</v>
      </c>
      <c r="J779" s="31" t="str">
        <f t="shared" si="159"/>
        <v>12</v>
      </c>
      <c r="N779" s="12" t="str">
        <f t="shared" si="160"/>
        <v>1</v>
      </c>
      <c r="O779" s="11" t="str">
        <f t="shared" si="161"/>
        <v>2</v>
      </c>
      <c r="P779" s="11" t="str">
        <f t="shared" si="162"/>
        <v>1</v>
      </c>
      <c r="Q779" s="11" t="str">
        <f t="shared" si="163"/>
        <v>6</v>
      </c>
      <c r="R779" s="11" t="str">
        <f t="shared" si="164"/>
        <v>0</v>
      </c>
      <c r="S779" s="11" t="str">
        <f t="shared" si="165"/>
        <v>9</v>
      </c>
      <c r="T779" s="11" t="str">
        <f t="shared" si="166"/>
        <v>2</v>
      </c>
      <c r="U779" s="11" t="str">
        <f t="shared" si="167"/>
        <v>2</v>
      </c>
      <c r="V779" s="11" t="str">
        <f t="shared" si="168"/>
        <v>3</v>
      </c>
      <c r="W779" s="11" t="str">
        <f t="shared" si="169"/>
        <v>3</v>
      </c>
      <c r="X779" s="11" t="str">
        <f t="shared" si="170"/>
        <v>4</v>
      </c>
    </row>
    <row r="780" spans="1:24" x14ac:dyDescent="0.35">
      <c r="A780" s="5">
        <v>14640</v>
      </c>
      <c r="B780" s="5">
        <v>12160922335</v>
      </c>
      <c r="C780" s="5">
        <v>727141</v>
      </c>
      <c r="D780" s="5">
        <v>3763697</v>
      </c>
      <c r="E780" s="6" t="s">
        <v>70</v>
      </c>
      <c r="F780" s="6" t="s">
        <v>71</v>
      </c>
      <c r="G780" s="6" t="s">
        <v>71</v>
      </c>
      <c r="H780" s="7"/>
      <c r="I780" s="35" t="str">
        <f t="shared" si="158"/>
        <v>160922</v>
      </c>
      <c r="J780" s="31" t="str">
        <f t="shared" si="159"/>
        <v>12</v>
      </c>
      <c r="N780" s="12" t="str">
        <f t="shared" si="160"/>
        <v>1</v>
      </c>
      <c r="O780" s="11" t="str">
        <f t="shared" si="161"/>
        <v>2</v>
      </c>
      <c r="P780" s="11" t="str">
        <f t="shared" si="162"/>
        <v>1</v>
      </c>
      <c r="Q780" s="11" t="str">
        <f t="shared" si="163"/>
        <v>6</v>
      </c>
      <c r="R780" s="11" t="str">
        <f t="shared" si="164"/>
        <v>0</v>
      </c>
      <c r="S780" s="11" t="str">
        <f t="shared" si="165"/>
        <v>9</v>
      </c>
      <c r="T780" s="11" t="str">
        <f t="shared" si="166"/>
        <v>2</v>
      </c>
      <c r="U780" s="11" t="str">
        <f t="shared" si="167"/>
        <v>2</v>
      </c>
      <c r="V780" s="11" t="str">
        <f t="shared" si="168"/>
        <v>3</v>
      </c>
      <c r="W780" s="11" t="str">
        <f t="shared" si="169"/>
        <v>3</v>
      </c>
      <c r="X780" s="11" t="str">
        <f t="shared" si="170"/>
        <v>5</v>
      </c>
    </row>
    <row r="781" spans="1:24" x14ac:dyDescent="0.35">
      <c r="A781" s="5">
        <v>14641</v>
      </c>
      <c r="B781" s="5">
        <v>12160922336</v>
      </c>
      <c r="C781" s="5">
        <v>727012</v>
      </c>
      <c r="D781" s="5">
        <v>3763813</v>
      </c>
      <c r="E781" s="6" t="s">
        <v>70</v>
      </c>
      <c r="F781" s="6" t="s">
        <v>71</v>
      </c>
      <c r="G781" s="6" t="s">
        <v>71</v>
      </c>
      <c r="H781" s="7"/>
      <c r="I781" s="35" t="str">
        <f t="shared" si="158"/>
        <v>160922</v>
      </c>
      <c r="J781" s="31" t="str">
        <f t="shared" si="159"/>
        <v>12</v>
      </c>
      <c r="N781" s="12" t="str">
        <f t="shared" si="160"/>
        <v>1</v>
      </c>
      <c r="O781" s="11" t="str">
        <f t="shared" si="161"/>
        <v>2</v>
      </c>
      <c r="P781" s="11" t="str">
        <f t="shared" si="162"/>
        <v>1</v>
      </c>
      <c r="Q781" s="11" t="str">
        <f t="shared" si="163"/>
        <v>6</v>
      </c>
      <c r="R781" s="11" t="str">
        <f t="shared" si="164"/>
        <v>0</v>
      </c>
      <c r="S781" s="11" t="str">
        <f t="shared" si="165"/>
        <v>9</v>
      </c>
      <c r="T781" s="11" t="str">
        <f t="shared" si="166"/>
        <v>2</v>
      </c>
      <c r="U781" s="11" t="str">
        <f t="shared" si="167"/>
        <v>2</v>
      </c>
      <c r="V781" s="11" t="str">
        <f t="shared" si="168"/>
        <v>3</v>
      </c>
      <c r="W781" s="11" t="str">
        <f t="shared" si="169"/>
        <v>3</v>
      </c>
      <c r="X781" s="11" t="str">
        <f t="shared" si="170"/>
        <v>6</v>
      </c>
    </row>
    <row r="782" spans="1:24" x14ac:dyDescent="0.35">
      <c r="A782" s="5">
        <v>14642</v>
      </c>
      <c r="B782" s="5">
        <v>12160922337</v>
      </c>
      <c r="C782" s="5">
        <v>727012</v>
      </c>
      <c r="D782" s="5">
        <v>3763813</v>
      </c>
      <c r="E782" s="6" t="s">
        <v>70</v>
      </c>
      <c r="F782" s="6" t="s">
        <v>71</v>
      </c>
      <c r="G782" s="6" t="s">
        <v>71</v>
      </c>
      <c r="H782" s="7"/>
      <c r="I782" s="35" t="str">
        <f t="shared" si="158"/>
        <v>160922</v>
      </c>
      <c r="J782" s="31" t="str">
        <f t="shared" si="159"/>
        <v>12</v>
      </c>
      <c r="N782" s="12" t="str">
        <f t="shared" si="160"/>
        <v>1</v>
      </c>
      <c r="O782" s="11" t="str">
        <f t="shared" si="161"/>
        <v>2</v>
      </c>
      <c r="P782" s="11" t="str">
        <f t="shared" si="162"/>
        <v>1</v>
      </c>
      <c r="Q782" s="11" t="str">
        <f t="shared" si="163"/>
        <v>6</v>
      </c>
      <c r="R782" s="11" t="str">
        <f t="shared" si="164"/>
        <v>0</v>
      </c>
      <c r="S782" s="11" t="str">
        <f t="shared" si="165"/>
        <v>9</v>
      </c>
      <c r="T782" s="11" t="str">
        <f t="shared" si="166"/>
        <v>2</v>
      </c>
      <c r="U782" s="11" t="str">
        <f t="shared" si="167"/>
        <v>2</v>
      </c>
      <c r="V782" s="11" t="str">
        <f t="shared" si="168"/>
        <v>3</v>
      </c>
      <c r="W782" s="11" t="str">
        <f t="shared" si="169"/>
        <v>3</v>
      </c>
      <c r="X782" s="11" t="str">
        <f t="shared" si="170"/>
        <v>7</v>
      </c>
    </row>
    <row r="783" spans="1:24" x14ac:dyDescent="0.35">
      <c r="A783" s="5">
        <v>14643</v>
      </c>
      <c r="B783" s="5">
        <v>12160922338</v>
      </c>
      <c r="C783" s="5">
        <v>727010</v>
      </c>
      <c r="D783" s="5">
        <v>3763813</v>
      </c>
      <c r="E783" s="6" t="s">
        <v>70</v>
      </c>
      <c r="F783" s="6" t="s">
        <v>71</v>
      </c>
      <c r="G783" s="6" t="s">
        <v>71</v>
      </c>
      <c r="H783" s="7"/>
      <c r="I783" s="35" t="str">
        <f t="shared" si="158"/>
        <v>160922</v>
      </c>
      <c r="J783" s="31" t="str">
        <f t="shared" si="159"/>
        <v>12</v>
      </c>
      <c r="N783" s="12" t="str">
        <f t="shared" si="160"/>
        <v>1</v>
      </c>
      <c r="O783" s="11" t="str">
        <f t="shared" si="161"/>
        <v>2</v>
      </c>
      <c r="P783" s="11" t="str">
        <f t="shared" si="162"/>
        <v>1</v>
      </c>
      <c r="Q783" s="11" t="str">
        <f t="shared" si="163"/>
        <v>6</v>
      </c>
      <c r="R783" s="11" t="str">
        <f t="shared" si="164"/>
        <v>0</v>
      </c>
      <c r="S783" s="11" t="str">
        <f t="shared" si="165"/>
        <v>9</v>
      </c>
      <c r="T783" s="11" t="str">
        <f t="shared" si="166"/>
        <v>2</v>
      </c>
      <c r="U783" s="11" t="str">
        <f t="shared" si="167"/>
        <v>2</v>
      </c>
      <c r="V783" s="11" t="str">
        <f t="shared" si="168"/>
        <v>3</v>
      </c>
      <c r="W783" s="11" t="str">
        <f t="shared" si="169"/>
        <v>3</v>
      </c>
      <c r="X783" s="11" t="str">
        <f t="shared" si="170"/>
        <v>8</v>
      </c>
    </row>
    <row r="784" spans="1:24" x14ac:dyDescent="0.35">
      <c r="A784" s="5">
        <v>14644</v>
      </c>
      <c r="B784" s="5">
        <v>12160922339</v>
      </c>
      <c r="C784" s="5">
        <v>727044</v>
      </c>
      <c r="D784" s="5">
        <v>3763796</v>
      </c>
      <c r="E784" s="6" t="s">
        <v>70</v>
      </c>
      <c r="F784" s="6" t="s">
        <v>71</v>
      </c>
      <c r="G784" s="6" t="s">
        <v>71</v>
      </c>
      <c r="H784" s="7"/>
      <c r="I784" s="35" t="str">
        <f t="shared" si="158"/>
        <v>160922</v>
      </c>
      <c r="J784" s="31" t="str">
        <f t="shared" si="159"/>
        <v>12</v>
      </c>
      <c r="N784" s="12" t="str">
        <f t="shared" si="160"/>
        <v>1</v>
      </c>
      <c r="O784" s="11" t="str">
        <f t="shared" si="161"/>
        <v>2</v>
      </c>
      <c r="P784" s="11" t="str">
        <f t="shared" si="162"/>
        <v>1</v>
      </c>
      <c r="Q784" s="11" t="str">
        <f t="shared" si="163"/>
        <v>6</v>
      </c>
      <c r="R784" s="11" t="str">
        <f t="shared" si="164"/>
        <v>0</v>
      </c>
      <c r="S784" s="11" t="str">
        <f t="shared" si="165"/>
        <v>9</v>
      </c>
      <c r="T784" s="11" t="str">
        <f t="shared" si="166"/>
        <v>2</v>
      </c>
      <c r="U784" s="11" t="str">
        <f t="shared" si="167"/>
        <v>2</v>
      </c>
      <c r="V784" s="11" t="str">
        <f t="shared" si="168"/>
        <v>3</v>
      </c>
      <c r="W784" s="11" t="str">
        <f t="shared" si="169"/>
        <v>3</v>
      </c>
      <c r="X784" s="11" t="str">
        <f t="shared" si="170"/>
        <v>9</v>
      </c>
    </row>
    <row r="785" spans="1:24" x14ac:dyDescent="0.35">
      <c r="A785" s="5">
        <v>14645</v>
      </c>
      <c r="B785" s="5">
        <v>12160922340</v>
      </c>
      <c r="C785" s="5">
        <v>727104</v>
      </c>
      <c r="D785" s="5">
        <v>3763774</v>
      </c>
      <c r="E785" s="6" t="s">
        <v>70</v>
      </c>
      <c r="F785" s="6" t="s">
        <v>71</v>
      </c>
      <c r="G785" s="6" t="s">
        <v>71</v>
      </c>
      <c r="H785" s="7"/>
      <c r="I785" s="35" t="str">
        <f t="shared" si="158"/>
        <v>160922</v>
      </c>
      <c r="J785" s="31" t="str">
        <f t="shared" si="159"/>
        <v>12</v>
      </c>
      <c r="N785" s="12" t="str">
        <f t="shared" si="160"/>
        <v>1</v>
      </c>
      <c r="O785" s="11" t="str">
        <f t="shared" si="161"/>
        <v>2</v>
      </c>
      <c r="P785" s="11" t="str">
        <f t="shared" si="162"/>
        <v>1</v>
      </c>
      <c r="Q785" s="11" t="str">
        <f t="shared" si="163"/>
        <v>6</v>
      </c>
      <c r="R785" s="11" t="str">
        <f t="shared" si="164"/>
        <v>0</v>
      </c>
      <c r="S785" s="11" t="str">
        <f t="shared" si="165"/>
        <v>9</v>
      </c>
      <c r="T785" s="11" t="str">
        <f t="shared" si="166"/>
        <v>2</v>
      </c>
      <c r="U785" s="11" t="str">
        <f t="shared" si="167"/>
        <v>2</v>
      </c>
      <c r="V785" s="11" t="str">
        <f t="shared" si="168"/>
        <v>3</v>
      </c>
      <c r="W785" s="11" t="str">
        <f t="shared" si="169"/>
        <v>4</v>
      </c>
      <c r="X785" s="11" t="str">
        <f t="shared" si="170"/>
        <v>0</v>
      </c>
    </row>
    <row r="786" spans="1:24" x14ac:dyDescent="0.35">
      <c r="A786" s="5">
        <v>14646</v>
      </c>
      <c r="B786" s="5">
        <v>12160922341</v>
      </c>
      <c r="C786" s="5">
        <v>727149</v>
      </c>
      <c r="D786" s="5">
        <v>3763751</v>
      </c>
      <c r="E786" s="6" t="s">
        <v>70</v>
      </c>
      <c r="F786" s="6" t="s">
        <v>71</v>
      </c>
      <c r="G786" s="6" t="s">
        <v>71</v>
      </c>
      <c r="H786" s="7"/>
      <c r="I786" s="35" t="str">
        <f t="shared" si="158"/>
        <v>160922</v>
      </c>
      <c r="J786" s="31" t="str">
        <f t="shared" si="159"/>
        <v>12</v>
      </c>
      <c r="N786" s="12" t="str">
        <f t="shared" si="160"/>
        <v>1</v>
      </c>
      <c r="O786" s="11" t="str">
        <f t="shared" si="161"/>
        <v>2</v>
      </c>
      <c r="P786" s="11" t="str">
        <f t="shared" si="162"/>
        <v>1</v>
      </c>
      <c r="Q786" s="11" t="str">
        <f t="shared" si="163"/>
        <v>6</v>
      </c>
      <c r="R786" s="11" t="str">
        <f t="shared" si="164"/>
        <v>0</v>
      </c>
      <c r="S786" s="11" t="str">
        <f t="shared" si="165"/>
        <v>9</v>
      </c>
      <c r="T786" s="11" t="str">
        <f t="shared" si="166"/>
        <v>2</v>
      </c>
      <c r="U786" s="11" t="str">
        <f t="shared" si="167"/>
        <v>2</v>
      </c>
      <c r="V786" s="11" t="str">
        <f t="shared" si="168"/>
        <v>3</v>
      </c>
      <c r="W786" s="11" t="str">
        <f t="shared" si="169"/>
        <v>4</v>
      </c>
      <c r="X786" s="11" t="str">
        <f t="shared" si="170"/>
        <v>1</v>
      </c>
    </row>
    <row r="787" spans="1:24" x14ac:dyDescent="0.35">
      <c r="A787" s="5">
        <v>14647</v>
      </c>
      <c r="B787" s="5">
        <v>12160922342</v>
      </c>
      <c r="C787" s="5">
        <v>727156</v>
      </c>
      <c r="D787" s="5">
        <v>3763733</v>
      </c>
      <c r="E787" s="6" t="s">
        <v>70</v>
      </c>
      <c r="F787" s="6" t="s">
        <v>71</v>
      </c>
      <c r="G787" s="6" t="s">
        <v>71</v>
      </c>
      <c r="H787" s="7"/>
      <c r="I787" s="35" t="str">
        <f t="shared" si="158"/>
        <v>160922</v>
      </c>
      <c r="J787" s="31" t="str">
        <f t="shared" si="159"/>
        <v>12</v>
      </c>
      <c r="N787" s="12" t="str">
        <f t="shared" si="160"/>
        <v>1</v>
      </c>
      <c r="O787" s="11" t="str">
        <f t="shared" si="161"/>
        <v>2</v>
      </c>
      <c r="P787" s="11" t="str">
        <f t="shared" si="162"/>
        <v>1</v>
      </c>
      <c r="Q787" s="11" t="str">
        <f t="shared" si="163"/>
        <v>6</v>
      </c>
      <c r="R787" s="11" t="str">
        <f t="shared" si="164"/>
        <v>0</v>
      </c>
      <c r="S787" s="11" t="str">
        <f t="shared" si="165"/>
        <v>9</v>
      </c>
      <c r="T787" s="11" t="str">
        <f t="shared" si="166"/>
        <v>2</v>
      </c>
      <c r="U787" s="11" t="str">
        <f t="shared" si="167"/>
        <v>2</v>
      </c>
      <c r="V787" s="11" t="str">
        <f t="shared" si="168"/>
        <v>3</v>
      </c>
      <c r="W787" s="11" t="str">
        <f t="shared" si="169"/>
        <v>4</v>
      </c>
      <c r="X787" s="11" t="str">
        <f t="shared" si="170"/>
        <v>2</v>
      </c>
    </row>
    <row r="788" spans="1:24" x14ac:dyDescent="0.35">
      <c r="A788" s="5">
        <v>14648</v>
      </c>
      <c r="B788" s="5">
        <v>12160922343</v>
      </c>
      <c r="C788" s="5">
        <v>727157</v>
      </c>
      <c r="D788" s="5">
        <v>3763732</v>
      </c>
      <c r="E788" s="6" t="s">
        <v>70</v>
      </c>
      <c r="F788" s="6" t="s">
        <v>71</v>
      </c>
      <c r="G788" s="6" t="s">
        <v>71</v>
      </c>
      <c r="H788" s="7"/>
      <c r="I788" s="35" t="str">
        <f t="shared" si="158"/>
        <v>160922</v>
      </c>
      <c r="J788" s="31" t="str">
        <f t="shared" si="159"/>
        <v>12</v>
      </c>
      <c r="N788" s="12" t="str">
        <f t="shared" si="160"/>
        <v>1</v>
      </c>
      <c r="O788" s="11" t="str">
        <f t="shared" si="161"/>
        <v>2</v>
      </c>
      <c r="P788" s="11" t="str">
        <f t="shared" si="162"/>
        <v>1</v>
      </c>
      <c r="Q788" s="11" t="str">
        <f t="shared" si="163"/>
        <v>6</v>
      </c>
      <c r="R788" s="11" t="str">
        <f t="shared" si="164"/>
        <v>0</v>
      </c>
      <c r="S788" s="11" t="str">
        <f t="shared" si="165"/>
        <v>9</v>
      </c>
      <c r="T788" s="11" t="str">
        <f t="shared" si="166"/>
        <v>2</v>
      </c>
      <c r="U788" s="11" t="str">
        <f t="shared" si="167"/>
        <v>2</v>
      </c>
      <c r="V788" s="11" t="str">
        <f t="shared" si="168"/>
        <v>3</v>
      </c>
      <c r="W788" s="11" t="str">
        <f t="shared" si="169"/>
        <v>4</v>
      </c>
      <c r="X788" s="11" t="str">
        <f t="shared" si="170"/>
        <v>3</v>
      </c>
    </row>
    <row r="789" spans="1:24" x14ac:dyDescent="0.35">
      <c r="A789" s="5">
        <v>14649</v>
      </c>
      <c r="B789" s="5">
        <v>12160922344</v>
      </c>
      <c r="C789" s="5">
        <v>727156</v>
      </c>
      <c r="D789" s="5">
        <v>3763732</v>
      </c>
      <c r="E789" s="6" t="s">
        <v>70</v>
      </c>
      <c r="F789" s="6" t="s">
        <v>71</v>
      </c>
      <c r="G789" s="6" t="s">
        <v>71</v>
      </c>
      <c r="H789" s="7"/>
      <c r="I789" s="35" t="str">
        <f t="shared" si="158"/>
        <v>160922</v>
      </c>
      <c r="J789" s="31" t="str">
        <f t="shared" si="159"/>
        <v>12</v>
      </c>
      <c r="N789" s="12" t="str">
        <f t="shared" si="160"/>
        <v>1</v>
      </c>
      <c r="O789" s="11" t="str">
        <f t="shared" si="161"/>
        <v>2</v>
      </c>
      <c r="P789" s="11" t="str">
        <f t="shared" si="162"/>
        <v>1</v>
      </c>
      <c r="Q789" s="11" t="str">
        <f t="shared" si="163"/>
        <v>6</v>
      </c>
      <c r="R789" s="11" t="str">
        <f t="shared" si="164"/>
        <v>0</v>
      </c>
      <c r="S789" s="11" t="str">
        <f t="shared" si="165"/>
        <v>9</v>
      </c>
      <c r="T789" s="11" t="str">
        <f t="shared" si="166"/>
        <v>2</v>
      </c>
      <c r="U789" s="11" t="str">
        <f t="shared" si="167"/>
        <v>2</v>
      </c>
      <c r="V789" s="11" t="str">
        <f t="shared" si="168"/>
        <v>3</v>
      </c>
      <c r="W789" s="11" t="str">
        <f t="shared" si="169"/>
        <v>4</v>
      </c>
      <c r="X789" s="11" t="str">
        <f t="shared" si="170"/>
        <v>4</v>
      </c>
    </row>
    <row r="790" spans="1:24" x14ac:dyDescent="0.35">
      <c r="A790" s="5">
        <v>14650</v>
      </c>
      <c r="B790" s="5">
        <v>12160922345</v>
      </c>
      <c r="C790" s="5">
        <v>727185</v>
      </c>
      <c r="D790" s="5">
        <v>3763726</v>
      </c>
      <c r="E790" s="6" t="s">
        <v>70</v>
      </c>
      <c r="F790" s="6" t="s">
        <v>71</v>
      </c>
      <c r="G790" s="6" t="s">
        <v>71</v>
      </c>
      <c r="H790" s="7"/>
      <c r="I790" s="35" t="str">
        <f t="shared" si="158"/>
        <v>160922</v>
      </c>
      <c r="J790" s="31" t="str">
        <f t="shared" si="159"/>
        <v>12</v>
      </c>
      <c r="N790" s="12" t="str">
        <f t="shared" si="160"/>
        <v>1</v>
      </c>
      <c r="O790" s="11" t="str">
        <f t="shared" si="161"/>
        <v>2</v>
      </c>
      <c r="P790" s="11" t="str">
        <f t="shared" si="162"/>
        <v>1</v>
      </c>
      <c r="Q790" s="11" t="str">
        <f t="shared" si="163"/>
        <v>6</v>
      </c>
      <c r="R790" s="11" t="str">
        <f t="shared" si="164"/>
        <v>0</v>
      </c>
      <c r="S790" s="11" t="str">
        <f t="shared" si="165"/>
        <v>9</v>
      </c>
      <c r="T790" s="11" t="str">
        <f t="shared" si="166"/>
        <v>2</v>
      </c>
      <c r="U790" s="11" t="str">
        <f t="shared" si="167"/>
        <v>2</v>
      </c>
      <c r="V790" s="11" t="str">
        <f t="shared" si="168"/>
        <v>3</v>
      </c>
      <c r="W790" s="11" t="str">
        <f t="shared" si="169"/>
        <v>4</v>
      </c>
      <c r="X790" s="11" t="str">
        <f t="shared" si="170"/>
        <v>5</v>
      </c>
    </row>
    <row r="791" spans="1:24" x14ac:dyDescent="0.35">
      <c r="A791" s="5">
        <v>14651</v>
      </c>
      <c r="B791" s="5">
        <v>12160922346</v>
      </c>
      <c r="C791" s="5">
        <v>727210</v>
      </c>
      <c r="D791" s="5">
        <v>3763709</v>
      </c>
      <c r="E791" s="6" t="s">
        <v>70</v>
      </c>
      <c r="F791" s="6" t="s">
        <v>71</v>
      </c>
      <c r="G791" s="6" t="s">
        <v>71</v>
      </c>
      <c r="H791" s="7"/>
      <c r="I791" s="35" t="str">
        <f t="shared" si="158"/>
        <v>160922</v>
      </c>
      <c r="J791" s="31" t="str">
        <f t="shared" si="159"/>
        <v>12</v>
      </c>
      <c r="N791" s="12" t="str">
        <f t="shared" si="160"/>
        <v>1</v>
      </c>
      <c r="O791" s="11" t="str">
        <f t="shared" si="161"/>
        <v>2</v>
      </c>
      <c r="P791" s="11" t="str">
        <f t="shared" si="162"/>
        <v>1</v>
      </c>
      <c r="Q791" s="11" t="str">
        <f t="shared" si="163"/>
        <v>6</v>
      </c>
      <c r="R791" s="11" t="str">
        <f t="shared" si="164"/>
        <v>0</v>
      </c>
      <c r="S791" s="11" t="str">
        <f t="shared" si="165"/>
        <v>9</v>
      </c>
      <c r="T791" s="11" t="str">
        <f t="shared" si="166"/>
        <v>2</v>
      </c>
      <c r="U791" s="11" t="str">
        <f t="shared" si="167"/>
        <v>2</v>
      </c>
      <c r="V791" s="11" t="str">
        <f t="shared" si="168"/>
        <v>3</v>
      </c>
      <c r="W791" s="11" t="str">
        <f t="shared" si="169"/>
        <v>4</v>
      </c>
      <c r="X791" s="11" t="str">
        <f t="shared" si="170"/>
        <v>6</v>
      </c>
    </row>
    <row r="792" spans="1:24" x14ac:dyDescent="0.35">
      <c r="A792" s="5">
        <v>14652</v>
      </c>
      <c r="B792" s="5">
        <v>12160922347</v>
      </c>
      <c r="C792" s="5">
        <v>727203</v>
      </c>
      <c r="D792" s="5">
        <v>3763686</v>
      </c>
      <c r="E792" s="6" t="s">
        <v>70</v>
      </c>
      <c r="F792" s="6" t="s">
        <v>71</v>
      </c>
      <c r="G792" s="6" t="s">
        <v>71</v>
      </c>
      <c r="H792" s="7"/>
      <c r="I792" s="35" t="str">
        <f t="shared" si="158"/>
        <v>160922</v>
      </c>
      <c r="J792" s="31" t="str">
        <f t="shared" si="159"/>
        <v>12</v>
      </c>
      <c r="N792" s="12" t="str">
        <f t="shared" si="160"/>
        <v>1</v>
      </c>
      <c r="O792" s="11" t="str">
        <f t="shared" si="161"/>
        <v>2</v>
      </c>
      <c r="P792" s="11" t="str">
        <f t="shared" si="162"/>
        <v>1</v>
      </c>
      <c r="Q792" s="11" t="str">
        <f t="shared" si="163"/>
        <v>6</v>
      </c>
      <c r="R792" s="11" t="str">
        <f t="shared" si="164"/>
        <v>0</v>
      </c>
      <c r="S792" s="11" t="str">
        <f t="shared" si="165"/>
        <v>9</v>
      </c>
      <c r="T792" s="11" t="str">
        <f t="shared" si="166"/>
        <v>2</v>
      </c>
      <c r="U792" s="11" t="str">
        <f t="shared" si="167"/>
        <v>2</v>
      </c>
      <c r="V792" s="11" t="str">
        <f t="shared" si="168"/>
        <v>3</v>
      </c>
      <c r="W792" s="11" t="str">
        <f t="shared" si="169"/>
        <v>4</v>
      </c>
      <c r="X792" s="11" t="str">
        <f t="shared" si="170"/>
        <v>7</v>
      </c>
    </row>
    <row r="793" spans="1:24" x14ac:dyDescent="0.35">
      <c r="A793" s="5">
        <v>14653</v>
      </c>
      <c r="B793" s="5">
        <v>12160922348</v>
      </c>
      <c r="C793" s="5">
        <v>727191</v>
      </c>
      <c r="D793" s="5">
        <v>3763665</v>
      </c>
      <c r="E793" s="6" t="s">
        <v>70</v>
      </c>
      <c r="F793" s="6" t="s">
        <v>71</v>
      </c>
      <c r="G793" s="6" t="s">
        <v>71</v>
      </c>
      <c r="H793" s="7"/>
      <c r="I793" s="35" t="str">
        <f t="shared" si="158"/>
        <v>160922</v>
      </c>
      <c r="J793" s="31" t="str">
        <f t="shared" si="159"/>
        <v>12</v>
      </c>
      <c r="N793" s="12" t="str">
        <f t="shared" si="160"/>
        <v>1</v>
      </c>
      <c r="O793" s="11" t="str">
        <f t="shared" si="161"/>
        <v>2</v>
      </c>
      <c r="P793" s="11" t="str">
        <f t="shared" si="162"/>
        <v>1</v>
      </c>
      <c r="Q793" s="11" t="str">
        <f t="shared" si="163"/>
        <v>6</v>
      </c>
      <c r="R793" s="11" t="str">
        <f t="shared" si="164"/>
        <v>0</v>
      </c>
      <c r="S793" s="11" t="str">
        <f t="shared" si="165"/>
        <v>9</v>
      </c>
      <c r="T793" s="11" t="str">
        <f t="shared" si="166"/>
        <v>2</v>
      </c>
      <c r="U793" s="11" t="str">
        <f t="shared" si="167"/>
        <v>2</v>
      </c>
      <c r="V793" s="11" t="str">
        <f t="shared" si="168"/>
        <v>3</v>
      </c>
      <c r="W793" s="11" t="str">
        <f t="shared" si="169"/>
        <v>4</v>
      </c>
      <c r="X793" s="11" t="str">
        <f t="shared" si="170"/>
        <v>8</v>
      </c>
    </row>
    <row r="794" spans="1:24" x14ac:dyDescent="0.35">
      <c r="A794" s="5">
        <v>14654</v>
      </c>
      <c r="B794" s="5">
        <v>12160922349</v>
      </c>
      <c r="C794" s="5">
        <v>727189</v>
      </c>
      <c r="D794" s="5">
        <v>3763656</v>
      </c>
      <c r="E794" s="6" t="s">
        <v>70</v>
      </c>
      <c r="F794" s="6" t="s">
        <v>71</v>
      </c>
      <c r="G794" s="6" t="s">
        <v>71</v>
      </c>
      <c r="H794" s="7"/>
      <c r="I794" s="35" t="str">
        <f t="shared" si="158"/>
        <v>160922</v>
      </c>
      <c r="J794" s="31" t="str">
        <f t="shared" si="159"/>
        <v>12</v>
      </c>
      <c r="N794" s="12" t="str">
        <f t="shared" si="160"/>
        <v>1</v>
      </c>
      <c r="O794" s="11" t="str">
        <f t="shared" si="161"/>
        <v>2</v>
      </c>
      <c r="P794" s="11" t="str">
        <f t="shared" si="162"/>
        <v>1</v>
      </c>
      <c r="Q794" s="11" t="str">
        <f t="shared" si="163"/>
        <v>6</v>
      </c>
      <c r="R794" s="11" t="str">
        <f t="shared" si="164"/>
        <v>0</v>
      </c>
      <c r="S794" s="11" t="str">
        <f t="shared" si="165"/>
        <v>9</v>
      </c>
      <c r="T794" s="11" t="str">
        <f t="shared" si="166"/>
        <v>2</v>
      </c>
      <c r="U794" s="11" t="str">
        <f t="shared" si="167"/>
        <v>2</v>
      </c>
      <c r="V794" s="11" t="str">
        <f t="shared" si="168"/>
        <v>3</v>
      </c>
      <c r="W794" s="11" t="str">
        <f t="shared" si="169"/>
        <v>4</v>
      </c>
      <c r="X794" s="11" t="str">
        <f t="shared" si="170"/>
        <v>9</v>
      </c>
    </row>
    <row r="795" spans="1:24" x14ac:dyDescent="0.35">
      <c r="A795" s="5">
        <v>14655</v>
      </c>
      <c r="B795" s="5">
        <v>12160922350</v>
      </c>
      <c r="C795" s="5">
        <v>727182</v>
      </c>
      <c r="D795" s="5">
        <v>3763629</v>
      </c>
      <c r="E795" s="6" t="s">
        <v>70</v>
      </c>
      <c r="F795" s="6" t="s">
        <v>70</v>
      </c>
      <c r="G795" s="6" t="s">
        <v>70</v>
      </c>
      <c r="H795" s="7"/>
      <c r="I795" s="35" t="str">
        <f t="shared" si="158"/>
        <v>160922</v>
      </c>
      <c r="J795" s="31" t="str">
        <f t="shared" si="159"/>
        <v>12</v>
      </c>
      <c r="N795" s="12" t="str">
        <f t="shared" si="160"/>
        <v>1</v>
      </c>
      <c r="O795" s="11" t="str">
        <f t="shared" si="161"/>
        <v>2</v>
      </c>
      <c r="P795" s="11" t="str">
        <f t="shared" si="162"/>
        <v>1</v>
      </c>
      <c r="Q795" s="11" t="str">
        <f t="shared" si="163"/>
        <v>6</v>
      </c>
      <c r="R795" s="11" t="str">
        <f t="shared" si="164"/>
        <v>0</v>
      </c>
      <c r="S795" s="11" t="str">
        <f t="shared" si="165"/>
        <v>9</v>
      </c>
      <c r="T795" s="11" t="str">
        <f t="shared" si="166"/>
        <v>2</v>
      </c>
      <c r="U795" s="11" t="str">
        <f t="shared" si="167"/>
        <v>2</v>
      </c>
      <c r="V795" s="11" t="str">
        <f t="shared" si="168"/>
        <v>3</v>
      </c>
      <c r="W795" s="11" t="str">
        <f t="shared" si="169"/>
        <v>5</v>
      </c>
      <c r="X795" s="11" t="str">
        <f t="shared" si="170"/>
        <v>0</v>
      </c>
    </row>
    <row r="796" spans="1:24" x14ac:dyDescent="0.35">
      <c r="A796" s="5">
        <v>14656</v>
      </c>
      <c r="B796" s="5">
        <v>12160922351</v>
      </c>
      <c r="C796" s="5">
        <v>727182</v>
      </c>
      <c r="D796" s="5">
        <v>3763645</v>
      </c>
      <c r="E796" s="6" t="s">
        <v>70</v>
      </c>
      <c r="F796" s="6" t="s">
        <v>70</v>
      </c>
      <c r="G796" s="6" t="s">
        <v>70</v>
      </c>
      <c r="H796" s="7"/>
      <c r="I796" s="35" t="str">
        <f t="shared" si="158"/>
        <v>160922</v>
      </c>
      <c r="J796" s="31" t="str">
        <f t="shared" si="159"/>
        <v>12</v>
      </c>
      <c r="N796" s="12" t="str">
        <f t="shared" si="160"/>
        <v>1</v>
      </c>
      <c r="O796" s="11" t="str">
        <f t="shared" si="161"/>
        <v>2</v>
      </c>
      <c r="P796" s="11" t="str">
        <f t="shared" si="162"/>
        <v>1</v>
      </c>
      <c r="Q796" s="11" t="str">
        <f t="shared" si="163"/>
        <v>6</v>
      </c>
      <c r="R796" s="11" t="str">
        <f t="shared" si="164"/>
        <v>0</v>
      </c>
      <c r="S796" s="11" t="str">
        <f t="shared" si="165"/>
        <v>9</v>
      </c>
      <c r="T796" s="11" t="str">
        <f t="shared" si="166"/>
        <v>2</v>
      </c>
      <c r="U796" s="11" t="str">
        <f t="shared" si="167"/>
        <v>2</v>
      </c>
      <c r="V796" s="11" t="str">
        <f t="shared" si="168"/>
        <v>3</v>
      </c>
      <c r="W796" s="11" t="str">
        <f t="shared" si="169"/>
        <v>5</v>
      </c>
      <c r="X796" s="11" t="str">
        <f t="shared" si="170"/>
        <v>1</v>
      </c>
    </row>
    <row r="797" spans="1:24" x14ac:dyDescent="0.35">
      <c r="A797" s="5">
        <v>14657</v>
      </c>
      <c r="B797" s="5">
        <v>12160922352</v>
      </c>
      <c r="C797" s="5">
        <v>727168</v>
      </c>
      <c r="D797" s="5">
        <v>3763621</v>
      </c>
      <c r="E797" s="6" t="s">
        <v>70</v>
      </c>
      <c r="F797" s="6" t="s">
        <v>71</v>
      </c>
      <c r="G797" s="6" t="s">
        <v>71</v>
      </c>
      <c r="H797" s="7"/>
      <c r="I797" s="35" t="str">
        <f t="shared" si="158"/>
        <v>160922</v>
      </c>
      <c r="J797" s="31" t="str">
        <f t="shared" si="159"/>
        <v>12</v>
      </c>
      <c r="N797" s="12" t="str">
        <f t="shared" si="160"/>
        <v>1</v>
      </c>
      <c r="O797" s="11" t="str">
        <f t="shared" si="161"/>
        <v>2</v>
      </c>
      <c r="P797" s="11" t="str">
        <f t="shared" si="162"/>
        <v>1</v>
      </c>
      <c r="Q797" s="11" t="str">
        <f t="shared" si="163"/>
        <v>6</v>
      </c>
      <c r="R797" s="11" t="str">
        <f t="shared" si="164"/>
        <v>0</v>
      </c>
      <c r="S797" s="11" t="str">
        <f t="shared" si="165"/>
        <v>9</v>
      </c>
      <c r="T797" s="11" t="str">
        <f t="shared" si="166"/>
        <v>2</v>
      </c>
      <c r="U797" s="11" t="str">
        <f t="shared" si="167"/>
        <v>2</v>
      </c>
      <c r="V797" s="11" t="str">
        <f t="shared" si="168"/>
        <v>3</v>
      </c>
      <c r="W797" s="11" t="str">
        <f t="shared" si="169"/>
        <v>5</v>
      </c>
      <c r="X797" s="11" t="str">
        <f t="shared" si="170"/>
        <v>2</v>
      </c>
    </row>
    <row r="798" spans="1:24" x14ac:dyDescent="0.35">
      <c r="A798" s="5">
        <v>14658</v>
      </c>
      <c r="B798" s="5">
        <v>12160922353</v>
      </c>
      <c r="C798" s="5">
        <v>727149</v>
      </c>
      <c r="D798" s="5">
        <v>3763579</v>
      </c>
      <c r="E798" s="6" t="s">
        <v>70</v>
      </c>
      <c r="F798" s="6" t="s">
        <v>71</v>
      </c>
      <c r="G798" s="6" t="s">
        <v>71</v>
      </c>
      <c r="H798" s="7"/>
      <c r="I798" s="35" t="str">
        <f t="shared" si="158"/>
        <v>160922</v>
      </c>
      <c r="J798" s="31" t="str">
        <f t="shared" si="159"/>
        <v>12</v>
      </c>
      <c r="N798" s="12" t="str">
        <f t="shared" si="160"/>
        <v>1</v>
      </c>
      <c r="O798" s="11" t="str">
        <f t="shared" si="161"/>
        <v>2</v>
      </c>
      <c r="P798" s="11" t="str">
        <f t="shared" si="162"/>
        <v>1</v>
      </c>
      <c r="Q798" s="11" t="str">
        <f t="shared" si="163"/>
        <v>6</v>
      </c>
      <c r="R798" s="11" t="str">
        <f t="shared" si="164"/>
        <v>0</v>
      </c>
      <c r="S798" s="11" t="str">
        <f t="shared" si="165"/>
        <v>9</v>
      </c>
      <c r="T798" s="11" t="str">
        <f t="shared" si="166"/>
        <v>2</v>
      </c>
      <c r="U798" s="11" t="str">
        <f t="shared" si="167"/>
        <v>2</v>
      </c>
      <c r="V798" s="11" t="str">
        <f t="shared" si="168"/>
        <v>3</v>
      </c>
      <c r="W798" s="11" t="str">
        <f t="shared" si="169"/>
        <v>5</v>
      </c>
      <c r="X798" s="11" t="str">
        <f t="shared" si="170"/>
        <v>3</v>
      </c>
    </row>
    <row r="799" spans="1:24" x14ac:dyDescent="0.35">
      <c r="A799" s="5">
        <v>14659</v>
      </c>
      <c r="B799" s="5">
        <v>12160922354</v>
      </c>
      <c r="C799" s="5">
        <v>727139</v>
      </c>
      <c r="D799" s="5">
        <v>3763557</v>
      </c>
      <c r="E799" s="6" t="s">
        <v>70</v>
      </c>
      <c r="F799" s="6" t="s">
        <v>71</v>
      </c>
      <c r="G799" s="6" t="s">
        <v>71</v>
      </c>
      <c r="H799" s="7"/>
      <c r="I799" s="35" t="str">
        <f t="shared" si="158"/>
        <v>160922</v>
      </c>
      <c r="J799" s="31" t="str">
        <f t="shared" si="159"/>
        <v>12</v>
      </c>
      <c r="N799" s="12" t="str">
        <f t="shared" si="160"/>
        <v>1</v>
      </c>
      <c r="O799" s="11" t="str">
        <f t="shared" si="161"/>
        <v>2</v>
      </c>
      <c r="P799" s="11" t="str">
        <f t="shared" si="162"/>
        <v>1</v>
      </c>
      <c r="Q799" s="11" t="str">
        <f t="shared" si="163"/>
        <v>6</v>
      </c>
      <c r="R799" s="11" t="str">
        <f t="shared" si="164"/>
        <v>0</v>
      </c>
      <c r="S799" s="11" t="str">
        <f t="shared" si="165"/>
        <v>9</v>
      </c>
      <c r="T799" s="11" t="str">
        <f t="shared" si="166"/>
        <v>2</v>
      </c>
      <c r="U799" s="11" t="str">
        <f t="shared" si="167"/>
        <v>2</v>
      </c>
      <c r="V799" s="11" t="str">
        <f t="shared" si="168"/>
        <v>3</v>
      </c>
      <c r="W799" s="11" t="str">
        <f t="shared" si="169"/>
        <v>5</v>
      </c>
      <c r="X799" s="11" t="str">
        <f t="shared" si="170"/>
        <v>4</v>
      </c>
    </row>
    <row r="800" spans="1:24" x14ac:dyDescent="0.35">
      <c r="A800" s="5">
        <v>14660</v>
      </c>
      <c r="B800" s="5">
        <v>12160922355</v>
      </c>
      <c r="C800" s="5">
        <v>727114</v>
      </c>
      <c r="D800" s="5">
        <v>3763571</v>
      </c>
      <c r="E800" s="6" t="s">
        <v>70</v>
      </c>
      <c r="F800" s="6" t="s">
        <v>71</v>
      </c>
      <c r="G800" s="6" t="s">
        <v>71</v>
      </c>
      <c r="H800" s="7"/>
      <c r="I800" s="35" t="str">
        <f t="shared" si="158"/>
        <v>160922</v>
      </c>
      <c r="J800" s="31" t="str">
        <f t="shared" si="159"/>
        <v>12</v>
      </c>
      <c r="N800" s="12" t="str">
        <f t="shared" si="160"/>
        <v>1</v>
      </c>
      <c r="O800" s="11" t="str">
        <f t="shared" si="161"/>
        <v>2</v>
      </c>
      <c r="P800" s="11" t="str">
        <f t="shared" si="162"/>
        <v>1</v>
      </c>
      <c r="Q800" s="11" t="str">
        <f t="shared" si="163"/>
        <v>6</v>
      </c>
      <c r="R800" s="11" t="str">
        <f t="shared" si="164"/>
        <v>0</v>
      </c>
      <c r="S800" s="11" t="str">
        <f t="shared" si="165"/>
        <v>9</v>
      </c>
      <c r="T800" s="11" t="str">
        <f t="shared" si="166"/>
        <v>2</v>
      </c>
      <c r="U800" s="11" t="str">
        <f t="shared" si="167"/>
        <v>2</v>
      </c>
      <c r="V800" s="11" t="str">
        <f t="shared" si="168"/>
        <v>3</v>
      </c>
      <c r="W800" s="11" t="str">
        <f t="shared" si="169"/>
        <v>5</v>
      </c>
      <c r="X800" s="11" t="str">
        <f t="shared" si="170"/>
        <v>5</v>
      </c>
    </row>
    <row r="801" spans="1:24" x14ac:dyDescent="0.35">
      <c r="A801" s="5">
        <v>14661</v>
      </c>
      <c r="B801" s="5">
        <v>12160922356</v>
      </c>
      <c r="C801" s="5">
        <v>727128</v>
      </c>
      <c r="D801" s="5">
        <v>3763536</v>
      </c>
      <c r="E801" s="6" t="s">
        <v>70</v>
      </c>
      <c r="F801" s="6" t="s">
        <v>71</v>
      </c>
      <c r="G801" s="6" t="s">
        <v>71</v>
      </c>
      <c r="H801" s="7"/>
      <c r="I801" s="35" t="str">
        <f t="shared" si="158"/>
        <v>160922</v>
      </c>
      <c r="J801" s="31" t="str">
        <f t="shared" si="159"/>
        <v>12</v>
      </c>
      <c r="N801" s="12" t="str">
        <f t="shared" si="160"/>
        <v>1</v>
      </c>
      <c r="O801" s="11" t="str">
        <f t="shared" si="161"/>
        <v>2</v>
      </c>
      <c r="P801" s="11" t="str">
        <f t="shared" si="162"/>
        <v>1</v>
      </c>
      <c r="Q801" s="11" t="str">
        <f t="shared" si="163"/>
        <v>6</v>
      </c>
      <c r="R801" s="11" t="str">
        <f t="shared" si="164"/>
        <v>0</v>
      </c>
      <c r="S801" s="11" t="str">
        <f t="shared" si="165"/>
        <v>9</v>
      </c>
      <c r="T801" s="11" t="str">
        <f t="shared" si="166"/>
        <v>2</v>
      </c>
      <c r="U801" s="11" t="str">
        <f t="shared" si="167"/>
        <v>2</v>
      </c>
      <c r="V801" s="11" t="str">
        <f t="shared" si="168"/>
        <v>3</v>
      </c>
      <c r="W801" s="11" t="str">
        <f t="shared" si="169"/>
        <v>5</v>
      </c>
      <c r="X801" s="11" t="str">
        <f t="shared" si="170"/>
        <v>6</v>
      </c>
    </row>
    <row r="802" spans="1:24" x14ac:dyDescent="0.35">
      <c r="A802" s="5">
        <v>14662</v>
      </c>
      <c r="B802" s="5">
        <v>12160922357</v>
      </c>
      <c r="C802" s="5">
        <v>727105</v>
      </c>
      <c r="D802" s="5">
        <v>3763551</v>
      </c>
      <c r="E802" s="6" t="s">
        <v>70</v>
      </c>
      <c r="F802" s="6" t="s">
        <v>71</v>
      </c>
      <c r="G802" s="6" t="s">
        <v>71</v>
      </c>
      <c r="H802" s="7"/>
      <c r="I802" s="35" t="str">
        <f t="shared" si="158"/>
        <v>160922</v>
      </c>
      <c r="J802" s="31" t="str">
        <f t="shared" si="159"/>
        <v>12</v>
      </c>
      <c r="N802" s="12" t="str">
        <f t="shared" si="160"/>
        <v>1</v>
      </c>
      <c r="O802" s="11" t="str">
        <f t="shared" si="161"/>
        <v>2</v>
      </c>
      <c r="P802" s="11" t="str">
        <f t="shared" si="162"/>
        <v>1</v>
      </c>
      <c r="Q802" s="11" t="str">
        <f t="shared" si="163"/>
        <v>6</v>
      </c>
      <c r="R802" s="11" t="str">
        <f t="shared" si="164"/>
        <v>0</v>
      </c>
      <c r="S802" s="11" t="str">
        <f t="shared" si="165"/>
        <v>9</v>
      </c>
      <c r="T802" s="11" t="str">
        <f t="shared" si="166"/>
        <v>2</v>
      </c>
      <c r="U802" s="11" t="str">
        <f t="shared" si="167"/>
        <v>2</v>
      </c>
      <c r="V802" s="11" t="str">
        <f t="shared" si="168"/>
        <v>3</v>
      </c>
      <c r="W802" s="11" t="str">
        <f t="shared" si="169"/>
        <v>5</v>
      </c>
      <c r="X802" s="11" t="str">
        <f t="shared" si="170"/>
        <v>7</v>
      </c>
    </row>
    <row r="803" spans="1:24" x14ac:dyDescent="0.35">
      <c r="A803" s="5">
        <v>14663</v>
      </c>
      <c r="B803" s="5">
        <v>12160922358</v>
      </c>
      <c r="C803" s="5">
        <v>727115</v>
      </c>
      <c r="D803" s="5">
        <v>3763511</v>
      </c>
      <c r="E803" s="6" t="s">
        <v>70</v>
      </c>
      <c r="F803" s="6" t="s">
        <v>71</v>
      </c>
      <c r="G803" s="6" t="s">
        <v>71</v>
      </c>
      <c r="H803" s="7"/>
      <c r="I803" s="35" t="str">
        <f t="shared" si="158"/>
        <v>160922</v>
      </c>
      <c r="J803" s="31" t="str">
        <f t="shared" si="159"/>
        <v>12</v>
      </c>
      <c r="N803" s="12" t="str">
        <f t="shared" si="160"/>
        <v>1</v>
      </c>
      <c r="O803" s="11" t="str">
        <f t="shared" si="161"/>
        <v>2</v>
      </c>
      <c r="P803" s="11" t="str">
        <f t="shared" si="162"/>
        <v>1</v>
      </c>
      <c r="Q803" s="11" t="str">
        <f t="shared" si="163"/>
        <v>6</v>
      </c>
      <c r="R803" s="11" t="str">
        <f t="shared" si="164"/>
        <v>0</v>
      </c>
      <c r="S803" s="11" t="str">
        <f t="shared" si="165"/>
        <v>9</v>
      </c>
      <c r="T803" s="11" t="str">
        <f t="shared" si="166"/>
        <v>2</v>
      </c>
      <c r="U803" s="11" t="str">
        <f t="shared" si="167"/>
        <v>2</v>
      </c>
      <c r="V803" s="11" t="str">
        <f t="shared" si="168"/>
        <v>3</v>
      </c>
      <c r="W803" s="11" t="str">
        <f t="shared" si="169"/>
        <v>5</v>
      </c>
      <c r="X803" s="11" t="str">
        <f t="shared" si="170"/>
        <v>8</v>
      </c>
    </row>
    <row r="804" spans="1:24" x14ac:dyDescent="0.35">
      <c r="A804" s="5">
        <v>14664</v>
      </c>
      <c r="B804" s="5">
        <v>12160922359</v>
      </c>
      <c r="C804" s="5">
        <v>727076</v>
      </c>
      <c r="D804" s="5">
        <v>3763496</v>
      </c>
      <c r="E804" s="6" t="s">
        <v>70</v>
      </c>
      <c r="F804" s="6" t="s">
        <v>71</v>
      </c>
      <c r="G804" s="6" t="s">
        <v>71</v>
      </c>
      <c r="H804" s="7"/>
      <c r="I804" s="35" t="str">
        <f t="shared" si="158"/>
        <v>160922</v>
      </c>
      <c r="J804" s="31" t="str">
        <f t="shared" si="159"/>
        <v>12</v>
      </c>
      <c r="N804" s="12" t="str">
        <f t="shared" si="160"/>
        <v>1</v>
      </c>
      <c r="O804" s="11" t="str">
        <f t="shared" si="161"/>
        <v>2</v>
      </c>
      <c r="P804" s="11" t="str">
        <f t="shared" si="162"/>
        <v>1</v>
      </c>
      <c r="Q804" s="11" t="str">
        <f t="shared" si="163"/>
        <v>6</v>
      </c>
      <c r="R804" s="11" t="str">
        <f t="shared" si="164"/>
        <v>0</v>
      </c>
      <c r="S804" s="11" t="str">
        <f t="shared" si="165"/>
        <v>9</v>
      </c>
      <c r="T804" s="11" t="str">
        <f t="shared" si="166"/>
        <v>2</v>
      </c>
      <c r="U804" s="11" t="str">
        <f t="shared" si="167"/>
        <v>2</v>
      </c>
      <c r="V804" s="11" t="str">
        <f t="shared" si="168"/>
        <v>3</v>
      </c>
      <c r="W804" s="11" t="str">
        <f t="shared" si="169"/>
        <v>5</v>
      </c>
      <c r="X804" s="11" t="str">
        <f t="shared" si="170"/>
        <v>9</v>
      </c>
    </row>
    <row r="805" spans="1:24" x14ac:dyDescent="0.35">
      <c r="A805" s="5">
        <v>14665</v>
      </c>
      <c r="B805" s="5">
        <v>12160922360</v>
      </c>
      <c r="C805" s="5">
        <v>727106</v>
      </c>
      <c r="D805" s="5">
        <v>3763481</v>
      </c>
      <c r="E805" s="6" t="s">
        <v>70</v>
      </c>
      <c r="F805" s="6" t="s">
        <v>71</v>
      </c>
      <c r="G805" s="6" t="s">
        <v>71</v>
      </c>
      <c r="H805" s="7"/>
      <c r="I805" s="35" t="str">
        <f t="shared" si="158"/>
        <v>160922</v>
      </c>
      <c r="J805" s="31" t="str">
        <f t="shared" si="159"/>
        <v>12</v>
      </c>
      <c r="N805" s="12" t="str">
        <f t="shared" si="160"/>
        <v>1</v>
      </c>
      <c r="O805" s="11" t="str">
        <f t="shared" si="161"/>
        <v>2</v>
      </c>
      <c r="P805" s="11" t="str">
        <f t="shared" si="162"/>
        <v>1</v>
      </c>
      <c r="Q805" s="11" t="str">
        <f t="shared" si="163"/>
        <v>6</v>
      </c>
      <c r="R805" s="11" t="str">
        <f t="shared" si="164"/>
        <v>0</v>
      </c>
      <c r="S805" s="11" t="str">
        <f t="shared" si="165"/>
        <v>9</v>
      </c>
      <c r="T805" s="11" t="str">
        <f t="shared" si="166"/>
        <v>2</v>
      </c>
      <c r="U805" s="11" t="str">
        <f t="shared" si="167"/>
        <v>2</v>
      </c>
      <c r="V805" s="11" t="str">
        <f t="shared" si="168"/>
        <v>3</v>
      </c>
      <c r="W805" s="11" t="str">
        <f t="shared" si="169"/>
        <v>6</v>
      </c>
      <c r="X805" s="11" t="str">
        <f t="shared" si="170"/>
        <v>0</v>
      </c>
    </row>
    <row r="806" spans="1:24" x14ac:dyDescent="0.35">
      <c r="A806" s="5">
        <v>14666</v>
      </c>
      <c r="B806" s="5">
        <v>12160922361</v>
      </c>
      <c r="C806" s="5">
        <v>727106.1</v>
      </c>
      <c r="D806" s="5">
        <v>3763481.3</v>
      </c>
      <c r="E806" s="6" t="s">
        <v>70</v>
      </c>
      <c r="F806" s="6" t="s">
        <v>71</v>
      </c>
      <c r="G806" s="6" t="s">
        <v>71</v>
      </c>
      <c r="H806" s="7"/>
      <c r="I806" s="35" t="str">
        <f t="shared" si="158"/>
        <v>160922</v>
      </c>
      <c r="J806" s="31" t="str">
        <f t="shared" si="159"/>
        <v>12</v>
      </c>
      <c r="N806" s="12" t="str">
        <f t="shared" si="160"/>
        <v>1</v>
      </c>
      <c r="O806" s="11" t="str">
        <f t="shared" si="161"/>
        <v>2</v>
      </c>
      <c r="P806" s="11" t="str">
        <f t="shared" si="162"/>
        <v>1</v>
      </c>
      <c r="Q806" s="11" t="str">
        <f t="shared" si="163"/>
        <v>6</v>
      </c>
      <c r="R806" s="11" t="str">
        <f t="shared" si="164"/>
        <v>0</v>
      </c>
      <c r="S806" s="11" t="str">
        <f t="shared" si="165"/>
        <v>9</v>
      </c>
      <c r="T806" s="11" t="str">
        <f t="shared" si="166"/>
        <v>2</v>
      </c>
      <c r="U806" s="11" t="str">
        <f t="shared" si="167"/>
        <v>2</v>
      </c>
      <c r="V806" s="11" t="str">
        <f t="shared" si="168"/>
        <v>3</v>
      </c>
      <c r="W806" s="11" t="str">
        <f t="shared" si="169"/>
        <v>6</v>
      </c>
      <c r="X806" s="11" t="str">
        <f t="shared" si="170"/>
        <v>1</v>
      </c>
    </row>
    <row r="807" spans="1:24" x14ac:dyDescent="0.35">
      <c r="A807" s="5">
        <v>14667</v>
      </c>
      <c r="B807" s="5">
        <v>12160922362</v>
      </c>
      <c r="C807" s="5">
        <v>727106.2</v>
      </c>
      <c r="D807" s="5">
        <v>3763481.4</v>
      </c>
      <c r="E807" s="6" t="s">
        <v>70</v>
      </c>
      <c r="F807" s="6" t="s">
        <v>71</v>
      </c>
      <c r="G807" s="6" t="s">
        <v>71</v>
      </c>
      <c r="H807" s="7"/>
      <c r="I807" s="35" t="str">
        <f t="shared" si="158"/>
        <v>160922</v>
      </c>
      <c r="J807" s="31" t="str">
        <f t="shared" si="159"/>
        <v>12</v>
      </c>
      <c r="N807" s="12" t="str">
        <f t="shared" si="160"/>
        <v>1</v>
      </c>
      <c r="O807" s="11" t="str">
        <f t="shared" si="161"/>
        <v>2</v>
      </c>
      <c r="P807" s="11" t="str">
        <f t="shared" si="162"/>
        <v>1</v>
      </c>
      <c r="Q807" s="11" t="str">
        <f t="shared" si="163"/>
        <v>6</v>
      </c>
      <c r="R807" s="11" t="str">
        <f t="shared" si="164"/>
        <v>0</v>
      </c>
      <c r="S807" s="11" t="str">
        <f t="shared" si="165"/>
        <v>9</v>
      </c>
      <c r="T807" s="11" t="str">
        <f t="shared" si="166"/>
        <v>2</v>
      </c>
      <c r="U807" s="11" t="str">
        <f t="shared" si="167"/>
        <v>2</v>
      </c>
      <c r="V807" s="11" t="str">
        <f t="shared" si="168"/>
        <v>3</v>
      </c>
      <c r="W807" s="11" t="str">
        <f t="shared" si="169"/>
        <v>6</v>
      </c>
      <c r="X807" s="11" t="str">
        <f t="shared" si="170"/>
        <v>2</v>
      </c>
    </row>
    <row r="808" spans="1:24" x14ac:dyDescent="0.35">
      <c r="A808" s="5">
        <v>14668</v>
      </c>
      <c r="B808" s="5">
        <v>12160922363</v>
      </c>
      <c r="C808" s="5">
        <v>727130</v>
      </c>
      <c r="D808" s="5">
        <v>3763472</v>
      </c>
      <c r="E808" s="6" t="s">
        <v>70</v>
      </c>
      <c r="F808" s="6" t="s">
        <v>71</v>
      </c>
      <c r="G808" s="6" t="s">
        <v>71</v>
      </c>
      <c r="H808" s="7"/>
      <c r="I808" s="35" t="str">
        <f t="shared" si="158"/>
        <v>160922</v>
      </c>
      <c r="J808" s="31" t="str">
        <f t="shared" si="159"/>
        <v>12</v>
      </c>
      <c r="N808" s="12" t="str">
        <f t="shared" si="160"/>
        <v>1</v>
      </c>
      <c r="O808" s="11" t="str">
        <f t="shared" si="161"/>
        <v>2</v>
      </c>
      <c r="P808" s="11" t="str">
        <f t="shared" si="162"/>
        <v>1</v>
      </c>
      <c r="Q808" s="11" t="str">
        <f t="shared" si="163"/>
        <v>6</v>
      </c>
      <c r="R808" s="11" t="str">
        <f t="shared" si="164"/>
        <v>0</v>
      </c>
      <c r="S808" s="11" t="str">
        <f t="shared" si="165"/>
        <v>9</v>
      </c>
      <c r="T808" s="11" t="str">
        <f t="shared" si="166"/>
        <v>2</v>
      </c>
      <c r="U808" s="11" t="str">
        <f t="shared" si="167"/>
        <v>2</v>
      </c>
      <c r="V808" s="11" t="str">
        <f t="shared" si="168"/>
        <v>3</v>
      </c>
      <c r="W808" s="11" t="str">
        <f t="shared" si="169"/>
        <v>6</v>
      </c>
      <c r="X808" s="11" t="str">
        <f t="shared" si="170"/>
        <v>3</v>
      </c>
    </row>
    <row r="809" spans="1:24" x14ac:dyDescent="0.35">
      <c r="A809" s="5">
        <v>14669</v>
      </c>
      <c r="B809" s="5">
        <v>12160922364</v>
      </c>
      <c r="C809" s="5">
        <v>727142</v>
      </c>
      <c r="D809" s="5">
        <v>3763499</v>
      </c>
      <c r="E809" s="6" t="s">
        <v>70</v>
      </c>
      <c r="F809" s="6" t="s">
        <v>71</v>
      </c>
      <c r="G809" s="6" t="s">
        <v>71</v>
      </c>
      <c r="H809" s="7"/>
      <c r="I809" s="35" t="str">
        <f t="shared" si="158"/>
        <v>160922</v>
      </c>
      <c r="J809" s="31" t="str">
        <f t="shared" si="159"/>
        <v>12</v>
      </c>
      <c r="N809" s="12" t="str">
        <f t="shared" si="160"/>
        <v>1</v>
      </c>
      <c r="O809" s="11" t="str">
        <f t="shared" si="161"/>
        <v>2</v>
      </c>
      <c r="P809" s="11" t="str">
        <f t="shared" si="162"/>
        <v>1</v>
      </c>
      <c r="Q809" s="11" t="str">
        <f t="shared" si="163"/>
        <v>6</v>
      </c>
      <c r="R809" s="11" t="str">
        <f t="shared" si="164"/>
        <v>0</v>
      </c>
      <c r="S809" s="11" t="str">
        <f t="shared" si="165"/>
        <v>9</v>
      </c>
      <c r="T809" s="11" t="str">
        <f t="shared" si="166"/>
        <v>2</v>
      </c>
      <c r="U809" s="11" t="str">
        <f t="shared" si="167"/>
        <v>2</v>
      </c>
      <c r="V809" s="11" t="str">
        <f t="shared" si="168"/>
        <v>3</v>
      </c>
      <c r="W809" s="11" t="str">
        <f t="shared" si="169"/>
        <v>6</v>
      </c>
      <c r="X809" s="11" t="str">
        <f t="shared" si="170"/>
        <v>4</v>
      </c>
    </row>
    <row r="810" spans="1:24" x14ac:dyDescent="0.35">
      <c r="A810" s="5">
        <v>14670</v>
      </c>
      <c r="B810" s="5">
        <v>12160922365</v>
      </c>
      <c r="C810" s="5">
        <v>727183</v>
      </c>
      <c r="D810" s="5">
        <v>3763446</v>
      </c>
      <c r="E810" s="6" t="s">
        <v>70</v>
      </c>
      <c r="F810" s="6" t="s">
        <v>71</v>
      </c>
      <c r="G810" s="6" t="s">
        <v>71</v>
      </c>
      <c r="H810" s="7"/>
      <c r="I810" s="35" t="str">
        <f t="shared" si="158"/>
        <v>160922</v>
      </c>
      <c r="J810" s="31" t="str">
        <f t="shared" si="159"/>
        <v>12</v>
      </c>
      <c r="N810" s="12" t="str">
        <f t="shared" si="160"/>
        <v>1</v>
      </c>
      <c r="O810" s="11" t="str">
        <f t="shared" si="161"/>
        <v>2</v>
      </c>
      <c r="P810" s="11" t="str">
        <f t="shared" si="162"/>
        <v>1</v>
      </c>
      <c r="Q810" s="11" t="str">
        <f t="shared" si="163"/>
        <v>6</v>
      </c>
      <c r="R810" s="11" t="str">
        <f t="shared" si="164"/>
        <v>0</v>
      </c>
      <c r="S810" s="11" t="str">
        <f t="shared" si="165"/>
        <v>9</v>
      </c>
      <c r="T810" s="11" t="str">
        <f t="shared" si="166"/>
        <v>2</v>
      </c>
      <c r="U810" s="11" t="str">
        <f t="shared" si="167"/>
        <v>2</v>
      </c>
      <c r="V810" s="11" t="str">
        <f t="shared" si="168"/>
        <v>3</v>
      </c>
      <c r="W810" s="11" t="str">
        <f t="shared" si="169"/>
        <v>6</v>
      </c>
      <c r="X810" s="11" t="str">
        <f t="shared" si="170"/>
        <v>5</v>
      </c>
    </row>
    <row r="811" spans="1:24" x14ac:dyDescent="0.35">
      <c r="A811" s="5">
        <v>14671</v>
      </c>
      <c r="B811" s="5">
        <v>12160922366</v>
      </c>
      <c r="C811" s="5">
        <v>727158</v>
      </c>
      <c r="D811" s="5">
        <v>3763487</v>
      </c>
      <c r="E811" s="6" t="s">
        <v>70</v>
      </c>
      <c r="F811" s="6" t="s">
        <v>71</v>
      </c>
      <c r="G811" s="6" t="s">
        <v>71</v>
      </c>
      <c r="H811" s="7"/>
      <c r="I811" s="35" t="str">
        <f t="shared" si="158"/>
        <v>160922</v>
      </c>
      <c r="J811" s="31" t="str">
        <f t="shared" si="159"/>
        <v>12</v>
      </c>
      <c r="N811" s="12" t="str">
        <f t="shared" si="160"/>
        <v>1</v>
      </c>
      <c r="O811" s="11" t="str">
        <f t="shared" si="161"/>
        <v>2</v>
      </c>
      <c r="P811" s="11" t="str">
        <f t="shared" si="162"/>
        <v>1</v>
      </c>
      <c r="Q811" s="11" t="str">
        <f t="shared" si="163"/>
        <v>6</v>
      </c>
      <c r="R811" s="11" t="str">
        <f t="shared" si="164"/>
        <v>0</v>
      </c>
      <c r="S811" s="11" t="str">
        <f t="shared" si="165"/>
        <v>9</v>
      </c>
      <c r="T811" s="11" t="str">
        <f t="shared" si="166"/>
        <v>2</v>
      </c>
      <c r="U811" s="11" t="str">
        <f t="shared" si="167"/>
        <v>2</v>
      </c>
      <c r="V811" s="11" t="str">
        <f t="shared" si="168"/>
        <v>3</v>
      </c>
      <c r="W811" s="11" t="str">
        <f t="shared" si="169"/>
        <v>6</v>
      </c>
      <c r="X811" s="11" t="str">
        <f t="shared" si="170"/>
        <v>6</v>
      </c>
    </row>
    <row r="812" spans="1:24" x14ac:dyDescent="0.35">
      <c r="A812" s="5">
        <v>14672</v>
      </c>
      <c r="B812" s="5">
        <v>12160922367</v>
      </c>
      <c r="C812" s="5">
        <v>727162</v>
      </c>
      <c r="D812" s="5">
        <v>3763509</v>
      </c>
      <c r="E812" s="6" t="s">
        <v>70</v>
      </c>
      <c r="F812" s="6" t="s">
        <v>71</v>
      </c>
      <c r="G812" s="6" t="s">
        <v>71</v>
      </c>
      <c r="H812" s="7"/>
      <c r="I812" s="35" t="str">
        <f t="shared" si="158"/>
        <v>160922</v>
      </c>
      <c r="J812" s="31" t="str">
        <f t="shared" si="159"/>
        <v>12</v>
      </c>
      <c r="N812" s="12" t="str">
        <f t="shared" si="160"/>
        <v>1</v>
      </c>
      <c r="O812" s="11" t="str">
        <f t="shared" si="161"/>
        <v>2</v>
      </c>
      <c r="P812" s="11" t="str">
        <f t="shared" si="162"/>
        <v>1</v>
      </c>
      <c r="Q812" s="11" t="str">
        <f t="shared" si="163"/>
        <v>6</v>
      </c>
      <c r="R812" s="11" t="str">
        <f t="shared" si="164"/>
        <v>0</v>
      </c>
      <c r="S812" s="11" t="str">
        <f t="shared" si="165"/>
        <v>9</v>
      </c>
      <c r="T812" s="11" t="str">
        <f t="shared" si="166"/>
        <v>2</v>
      </c>
      <c r="U812" s="11" t="str">
        <f t="shared" si="167"/>
        <v>2</v>
      </c>
      <c r="V812" s="11" t="str">
        <f t="shared" si="168"/>
        <v>3</v>
      </c>
      <c r="W812" s="11" t="str">
        <f t="shared" si="169"/>
        <v>6</v>
      </c>
      <c r="X812" s="11" t="str">
        <f t="shared" si="170"/>
        <v>7</v>
      </c>
    </row>
    <row r="813" spans="1:24" x14ac:dyDescent="0.35">
      <c r="A813" s="5">
        <v>14673</v>
      </c>
      <c r="B813" s="5">
        <v>12160922368</v>
      </c>
      <c r="C813" s="5">
        <v>727168</v>
      </c>
      <c r="D813" s="5">
        <v>3763536</v>
      </c>
      <c r="E813" s="6" t="s">
        <v>70</v>
      </c>
      <c r="F813" s="6" t="s">
        <v>71</v>
      </c>
      <c r="G813" s="6" t="s">
        <v>71</v>
      </c>
      <c r="H813" s="7"/>
      <c r="I813" s="35" t="str">
        <f t="shared" si="158"/>
        <v>160922</v>
      </c>
      <c r="J813" s="31" t="str">
        <f t="shared" si="159"/>
        <v>12</v>
      </c>
      <c r="N813" s="12" t="str">
        <f t="shared" si="160"/>
        <v>1</v>
      </c>
      <c r="O813" s="11" t="str">
        <f t="shared" si="161"/>
        <v>2</v>
      </c>
      <c r="P813" s="11" t="str">
        <f t="shared" si="162"/>
        <v>1</v>
      </c>
      <c r="Q813" s="11" t="str">
        <f t="shared" si="163"/>
        <v>6</v>
      </c>
      <c r="R813" s="11" t="str">
        <f t="shared" si="164"/>
        <v>0</v>
      </c>
      <c r="S813" s="11" t="str">
        <f t="shared" si="165"/>
        <v>9</v>
      </c>
      <c r="T813" s="11" t="str">
        <f t="shared" si="166"/>
        <v>2</v>
      </c>
      <c r="U813" s="11" t="str">
        <f t="shared" si="167"/>
        <v>2</v>
      </c>
      <c r="V813" s="11" t="str">
        <f t="shared" si="168"/>
        <v>3</v>
      </c>
      <c r="W813" s="11" t="str">
        <f t="shared" si="169"/>
        <v>6</v>
      </c>
      <c r="X813" s="11" t="str">
        <f t="shared" si="170"/>
        <v>8</v>
      </c>
    </row>
    <row r="814" spans="1:24" x14ac:dyDescent="0.35">
      <c r="A814" s="5">
        <v>14674</v>
      </c>
      <c r="B814" s="5">
        <v>12160922369</v>
      </c>
      <c r="C814" s="5">
        <v>727177</v>
      </c>
      <c r="D814" s="5">
        <v>3763560</v>
      </c>
      <c r="E814" s="6" t="s">
        <v>70</v>
      </c>
      <c r="F814" s="6" t="s">
        <v>71</v>
      </c>
      <c r="G814" s="6" t="s">
        <v>71</v>
      </c>
      <c r="H814" s="7"/>
      <c r="I814" s="35" t="str">
        <f t="shared" si="158"/>
        <v>160922</v>
      </c>
      <c r="J814" s="31" t="str">
        <f t="shared" si="159"/>
        <v>12</v>
      </c>
      <c r="N814" s="12" t="str">
        <f t="shared" si="160"/>
        <v>1</v>
      </c>
      <c r="O814" s="11" t="str">
        <f t="shared" si="161"/>
        <v>2</v>
      </c>
      <c r="P814" s="11" t="str">
        <f t="shared" si="162"/>
        <v>1</v>
      </c>
      <c r="Q814" s="11" t="str">
        <f t="shared" si="163"/>
        <v>6</v>
      </c>
      <c r="R814" s="11" t="str">
        <f t="shared" si="164"/>
        <v>0</v>
      </c>
      <c r="S814" s="11" t="str">
        <f t="shared" si="165"/>
        <v>9</v>
      </c>
      <c r="T814" s="11" t="str">
        <f t="shared" si="166"/>
        <v>2</v>
      </c>
      <c r="U814" s="11" t="str">
        <f t="shared" si="167"/>
        <v>2</v>
      </c>
      <c r="V814" s="11" t="str">
        <f t="shared" si="168"/>
        <v>3</v>
      </c>
      <c r="W814" s="11" t="str">
        <f t="shared" si="169"/>
        <v>6</v>
      </c>
      <c r="X814" s="11" t="str">
        <f t="shared" si="170"/>
        <v>9</v>
      </c>
    </row>
    <row r="815" spans="1:24" x14ac:dyDescent="0.35">
      <c r="A815" s="5">
        <v>14675</v>
      </c>
      <c r="B815" s="5">
        <v>12160922370</v>
      </c>
      <c r="C815" s="5">
        <v>727176</v>
      </c>
      <c r="D815" s="5">
        <v>3763579</v>
      </c>
      <c r="E815" s="6" t="s">
        <v>70</v>
      </c>
      <c r="F815" s="6" t="s">
        <v>71</v>
      </c>
      <c r="G815" s="6" t="s">
        <v>71</v>
      </c>
      <c r="H815" s="7"/>
      <c r="I815" s="35" t="str">
        <f t="shared" si="158"/>
        <v>160922</v>
      </c>
      <c r="J815" s="31" t="str">
        <f t="shared" si="159"/>
        <v>12</v>
      </c>
      <c r="N815" s="12" t="str">
        <f t="shared" si="160"/>
        <v>1</v>
      </c>
      <c r="O815" s="11" t="str">
        <f t="shared" si="161"/>
        <v>2</v>
      </c>
      <c r="P815" s="11" t="str">
        <f t="shared" si="162"/>
        <v>1</v>
      </c>
      <c r="Q815" s="11" t="str">
        <f t="shared" si="163"/>
        <v>6</v>
      </c>
      <c r="R815" s="11" t="str">
        <f t="shared" si="164"/>
        <v>0</v>
      </c>
      <c r="S815" s="11" t="str">
        <f t="shared" si="165"/>
        <v>9</v>
      </c>
      <c r="T815" s="11" t="str">
        <f t="shared" si="166"/>
        <v>2</v>
      </c>
      <c r="U815" s="11" t="str">
        <f t="shared" si="167"/>
        <v>2</v>
      </c>
      <c r="V815" s="11" t="str">
        <f t="shared" si="168"/>
        <v>3</v>
      </c>
      <c r="W815" s="11" t="str">
        <f t="shared" si="169"/>
        <v>7</v>
      </c>
      <c r="X815" s="11" t="str">
        <f t="shared" si="170"/>
        <v>0</v>
      </c>
    </row>
    <row r="816" spans="1:24" x14ac:dyDescent="0.35">
      <c r="A816" s="5">
        <v>14676</v>
      </c>
      <c r="B816" s="5">
        <v>12160922371</v>
      </c>
      <c r="C816" s="5">
        <v>727181</v>
      </c>
      <c r="D816" s="5">
        <v>3763600</v>
      </c>
      <c r="E816" s="6" t="s">
        <v>70</v>
      </c>
      <c r="F816" s="6" t="s">
        <v>71</v>
      </c>
      <c r="G816" s="6" t="s">
        <v>71</v>
      </c>
      <c r="H816" s="7"/>
      <c r="I816" s="35" t="str">
        <f t="shared" si="158"/>
        <v>160922</v>
      </c>
      <c r="J816" s="31" t="str">
        <f t="shared" si="159"/>
        <v>12</v>
      </c>
      <c r="N816" s="12" t="str">
        <f t="shared" si="160"/>
        <v>1</v>
      </c>
      <c r="O816" s="11" t="str">
        <f t="shared" si="161"/>
        <v>2</v>
      </c>
      <c r="P816" s="11" t="str">
        <f t="shared" si="162"/>
        <v>1</v>
      </c>
      <c r="Q816" s="11" t="str">
        <f t="shared" si="163"/>
        <v>6</v>
      </c>
      <c r="R816" s="11" t="str">
        <f t="shared" si="164"/>
        <v>0</v>
      </c>
      <c r="S816" s="11" t="str">
        <f t="shared" si="165"/>
        <v>9</v>
      </c>
      <c r="T816" s="11" t="str">
        <f t="shared" si="166"/>
        <v>2</v>
      </c>
      <c r="U816" s="11" t="str">
        <f t="shared" si="167"/>
        <v>2</v>
      </c>
      <c r="V816" s="11" t="str">
        <f t="shared" si="168"/>
        <v>3</v>
      </c>
      <c r="W816" s="11" t="str">
        <f t="shared" si="169"/>
        <v>7</v>
      </c>
      <c r="X816" s="11" t="str">
        <f t="shared" si="170"/>
        <v>1</v>
      </c>
    </row>
    <row r="817" spans="1:24" s="19" customFormat="1" x14ac:dyDescent="0.35">
      <c r="A817" s="8">
        <v>15492</v>
      </c>
      <c r="B817" s="8">
        <v>14230924024</v>
      </c>
      <c r="C817" s="8">
        <v>727056</v>
      </c>
      <c r="D817" s="8">
        <v>3763177</v>
      </c>
      <c r="E817" s="22" t="s">
        <v>70</v>
      </c>
      <c r="F817" s="22" t="s">
        <v>70</v>
      </c>
      <c r="G817" s="22" t="s">
        <v>70</v>
      </c>
      <c r="H817" s="23"/>
      <c r="I817" s="35" t="str">
        <f t="shared" si="158"/>
        <v>230924</v>
      </c>
      <c r="J817" s="31" t="str">
        <f t="shared" si="159"/>
        <v>14</v>
      </c>
      <c r="N817" s="24" t="str">
        <f t="shared" si="160"/>
        <v>1</v>
      </c>
      <c r="O817" s="25" t="str">
        <f t="shared" si="161"/>
        <v>4</v>
      </c>
      <c r="P817" s="25" t="str">
        <f t="shared" si="162"/>
        <v>2</v>
      </c>
      <c r="Q817" s="25" t="str">
        <f t="shared" si="163"/>
        <v>3</v>
      </c>
      <c r="R817" s="25" t="str">
        <f t="shared" si="164"/>
        <v>0</v>
      </c>
      <c r="S817" s="25" t="str">
        <f t="shared" si="165"/>
        <v>9</v>
      </c>
      <c r="T817" s="25" t="str">
        <f t="shared" si="166"/>
        <v>2</v>
      </c>
      <c r="U817" s="25" t="str">
        <f t="shared" si="167"/>
        <v>4</v>
      </c>
      <c r="V817" s="25" t="str">
        <f t="shared" si="168"/>
        <v>0</v>
      </c>
      <c r="W817" s="25" t="str">
        <f t="shared" si="169"/>
        <v>2</v>
      </c>
      <c r="X817" s="25" t="str">
        <f t="shared" si="170"/>
        <v>4</v>
      </c>
    </row>
    <row r="818" spans="1:24" x14ac:dyDescent="0.35">
      <c r="A818" s="5">
        <v>15493</v>
      </c>
      <c r="B818" s="5">
        <v>14230924025</v>
      </c>
      <c r="C818" s="5">
        <v>727035</v>
      </c>
      <c r="D818" s="5">
        <v>3763232</v>
      </c>
      <c r="E818" s="6" t="s">
        <v>70</v>
      </c>
      <c r="F818" s="6" t="s">
        <v>70</v>
      </c>
      <c r="G818" s="6" t="s">
        <v>70</v>
      </c>
      <c r="H818" s="7"/>
      <c r="I818" s="35" t="str">
        <f t="shared" si="158"/>
        <v>230924</v>
      </c>
      <c r="J818" s="31" t="str">
        <f t="shared" si="159"/>
        <v>14</v>
      </c>
      <c r="N818" s="12" t="str">
        <f t="shared" si="160"/>
        <v>1</v>
      </c>
      <c r="O818" s="11" t="str">
        <f t="shared" si="161"/>
        <v>4</v>
      </c>
      <c r="P818" s="11" t="str">
        <f t="shared" si="162"/>
        <v>2</v>
      </c>
      <c r="Q818" s="11" t="str">
        <f t="shared" si="163"/>
        <v>3</v>
      </c>
      <c r="R818" s="11" t="str">
        <f t="shared" si="164"/>
        <v>0</v>
      </c>
      <c r="S818" s="11" t="str">
        <f t="shared" si="165"/>
        <v>9</v>
      </c>
      <c r="T818" s="11" t="str">
        <f t="shared" si="166"/>
        <v>2</v>
      </c>
      <c r="U818" s="11" t="str">
        <f t="shared" si="167"/>
        <v>4</v>
      </c>
      <c r="V818" s="11" t="str">
        <f t="shared" si="168"/>
        <v>0</v>
      </c>
      <c r="W818" s="11" t="str">
        <f t="shared" si="169"/>
        <v>2</v>
      </c>
      <c r="X818" s="11" t="str">
        <f t="shared" si="170"/>
        <v>5</v>
      </c>
    </row>
    <row r="819" spans="1:24" x14ac:dyDescent="0.35">
      <c r="A819" s="5">
        <v>15494</v>
      </c>
      <c r="B819" s="5">
        <v>14230924026</v>
      </c>
      <c r="C819" s="5">
        <v>726864</v>
      </c>
      <c r="D819" s="5">
        <v>3763311</v>
      </c>
      <c r="E819" s="6" t="s">
        <v>70</v>
      </c>
      <c r="F819" s="6" t="s">
        <v>70</v>
      </c>
      <c r="G819" s="6" t="s">
        <v>70</v>
      </c>
      <c r="H819" s="7"/>
      <c r="I819" s="35" t="str">
        <f t="shared" si="158"/>
        <v>230924</v>
      </c>
      <c r="J819" s="31" t="str">
        <f t="shared" si="159"/>
        <v>14</v>
      </c>
      <c r="N819" s="12" t="str">
        <f t="shared" si="160"/>
        <v>1</v>
      </c>
      <c r="O819" s="11" t="str">
        <f t="shared" si="161"/>
        <v>4</v>
      </c>
      <c r="P819" s="11" t="str">
        <f t="shared" si="162"/>
        <v>2</v>
      </c>
      <c r="Q819" s="11" t="str">
        <f t="shared" si="163"/>
        <v>3</v>
      </c>
      <c r="R819" s="11" t="str">
        <f t="shared" si="164"/>
        <v>0</v>
      </c>
      <c r="S819" s="11" t="str">
        <f t="shared" si="165"/>
        <v>9</v>
      </c>
      <c r="T819" s="11" t="str">
        <f t="shared" si="166"/>
        <v>2</v>
      </c>
      <c r="U819" s="11" t="str">
        <f t="shared" si="167"/>
        <v>4</v>
      </c>
      <c r="V819" s="11" t="str">
        <f t="shared" si="168"/>
        <v>0</v>
      </c>
      <c r="W819" s="11" t="str">
        <f t="shared" si="169"/>
        <v>2</v>
      </c>
      <c r="X819" s="11" t="str">
        <f t="shared" si="170"/>
        <v>6</v>
      </c>
    </row>
    <row r="820" spans="1:24" x14ac:dyDescent="0.35">
      <c r="A820" s="5">
        <v>15495</v>
      </c>
      <c r="B820" s="5">
        <v>14230924027</v>
      </c>
      <c r="C820" s="5">
        <v>726814</v>
      </c>
      <c r="D820" s="5">
        <v>3763466</v>
      </c>
      <c r="E820" s="6" t="s">
        <v>70</v>
      </c>
      <c r="F820" s="6" t="s">
        <v>70</v>
      </c>
      <c r="G820" s="6" t="s">
        <v>70</v>
      </c>
      <c r="H820" s="7"/>
      <c r="I820" s="35" t="str">
        <f t="shared" si="158"/>
        <v>230924</v>
      </c>
      <c r="J820" s="31" t="str">
        <f t="shared" si="159"/>
        <v>14</v>
      </c>
      <c r="N820" s="12" t="str">
        <f t="shared" si="160"/>
        <v>1</v>
      </c>
      <c r="O820" s="11" t="str">
        <f t="shared" si="161"/>
        <v>4</v>
      </c>
      <c r="P820" s="11" t="str">
        <f t="shared" si="162"/>
        <v>2</v>
      </c>
      <c r="Q820" s="11" t="str">
        <f t="shared" si="163"/>
        <v>3</v>
      </c>
      <c r="R820" s="11" t="str">
        <f t="shared" si="164"/>
        <v>0</v>
      </c>
      <c r="S820" s="11" t="str">
        <f t="shared" si="165"/>
        <v>9</v>
      </c>
      <c r="T820" s="11" t="str">
        <f t="shared" si="166"/>
        <v>2</v>
      </c>
      <c r="U820" s="11" t="str">
        <f t="shared" si="167"/>
        <v>4</v>
      </c>
      <c r="V820" s="11" t="str">
        <f t="shared" si="168"/>
        <v>0</v>
      </c>
      <c r="W820" s="11" t="str">
        <f t="shared" si="169"/>
        <v>2</v>
      </c>
      <c r="X820" s="11" t="str">
        <f t="shared" si="170"/>
        <v>7</v>
      </c>
    </row>
    <row r="821" spans="1:24" x14ac:dyDescent="0.35">
      <c r="A821" s="5">
        <v>15496</v>
      </c>
      <c r="B821" s="5">
        <v>14230924028</v>
      </c>
      <c r="C821" s="5">
        <v>726442</v>
      </c>
      <c r="D821" s="5">
        <v>3762555</v>
      </c>
      <c r="E821" s="6" t="s">
        <v>70</v>
      </c>
      <c r="F821" s="6" t="s">
        <v>70</v>
      </c>
      <c r="G821" s="6" t="s">
        <v>70</v>
      </c>
      <c r="H821" s="7"/>
      <c r="I821" s="35" t="str">
        <f t="shared" si="158"/>
        <v>230924</v>
      </c>
      <c r="J821" s="31" t="str">
        <f t="shared" si="159"/>
        <v>14</v>
      </c>
      <c r="N821" s="12" t="str">
        <f t="shared" si="160"/>
        <v>1</v>
      </c>
      <c r="O821" s="11" t="str">
        <f t="shared" si="161"/>
        <v>4</v>
      </c>
      <c r="P821" s="11" t="str">
        <f t="shared" si="162"/>
        <v>2</v>
      </c>
      <c r="Q821" s="11" t="str">
        <f t="shared" si="163"/>
        <v>3</v>
      </c>
      <c r="R821" s="11" t="str">
        <f t="shared" si="164"/>
        <v>0</v>
      </c>
      <c r="S821" s="11" t="str">
        <f t="shared" si="165"/>
        <v>9</v>
      </c>
      <c r="T821" s="11" t="str">
        <f t="shared" si="166"/>
        <v>2</v>
      </c>
      <c r="U821" s="11" t="str">
        <f t="shared" si="167"/>
        <v>4</v>
      </c>
      <c r="V821" s="11" t="str">
        <f t="shared" si="168"/>
        <v>0</v>
      </c>
      <c r="W821" s="11" t="str">
        <f t="shared" si="169"/>
        <v>2</v>
      </c>
      <c r="X821" s="11" t="str">
        <f t="shared" si="170"/>
        <v>8</v>
      </c>
    </row>
    <row r="822" spans="1:24" x14ac:dyDescent="0.35">
      <c r="A822" s="5">
        <v>15497</v>
      </c>
      <c r="B822" s="5">
        <v>14230924029</v>
      </c>
      <c r="C822" s="5">
        <v>726455</v>
      </c>
      <c r="D822" s="5">
        <v>3762583</v>
      </c>
      <c r="E822" s="6" t="s">
        <v>70</v>
      </c>
      <c r="F822" s="6" t="s">
        <v>70</v>
      </c>
      <c r="G822" s="6" t="s">
        <v>70</v>
      </c>
      <c r="H822" s="7"/>
      <c r="I822" s="35" t="str">
        <f t="shared" si="158"/>
        <v>230924</v>
      </c>
      <c r="J822" s="31" t="str">
        <f t="shared" si="159"/>
        <v>14</v>
      </c>
      <c r="N822" s="12" t="str">
        <f t="shared" si="160"/>
        <v>1</v>
      </c>
      <c r="O822" s="11" t="str">
        <f t="shared" si="161"/>
        <v>4</v>
      </c>
      <c r="P822" s="11" t="str">
        <f t="shared" si="162"/>
        <v>2</v>
      </c>
      <c r="Q822" s="11" t="str">
        <f t="shared" si="163"/>
        <v>3</v>
      </c>
      <c r="R822" s="11" t="str">
        <f t="shared" si="164"/>
        <v>0</v>
      </c>
      <c r="S822" s="11" t="str">
        <f t="shared" si="165"/>
        <v>9</v>
      </c>
      <c r="T822" s="11" t="str">
        <f t="shared" si="166"/>
        <v>2</v>
      </c>
      <c r="U822" s="11" t="str">
        <f t="shared" si="167"/>
        <v>4</v>
      </c>
      <c r="V822" s="11" t="str">
        <f t="shared" si="168"/>
        <v>0</v>
      </c>
      <c r="W822" s="11" t="str">
        <f t="shared" si="169"/>
        <v>2</v>
      </c>
      <c r="X822" s="11" t="str">
        <f t="shared" si="170"/>
        <v>9</v>
      </c>
    </row>
    <row r="823" spans="1:24" x14ac:dyDescent="0.35">
      <c r="A823" s="5">
        <v>15498</v>
      </c>
      <c r="B823" s="5">
        <v>14230924030</v>
      </c>
      <c r="C823" s="5">
        <v>726470</v>
      </c>
      <c r="D823" s="5">
        <v>3762620</v>
      </c>
      <c r="E823" s="6" t="s">
        <v>70</v>
      </c>
      <c r="F823" s="6" t="s">
        <v>70</v>
      </c>
      <c r="G823" s="6" t="s">
        <v>70</v>
      </c>
      <c r="H823" s="7"/>
      <c r="I823" s="35" t="str">
        <f t="shared" si="158"/>
        <v>230924</v>
      </c>
      <c r="J823" s="31" t="str">
        <f t="shared" si="159"/>
        <v>14</v>
      </c>
      <c r="N823" s="12" t="str">
        <f t="shared" si="160"/>
        <v>1</v>
      </c>
      <c r="O823" s="11" t="str">
        <f t="shared" si="161"/>
        <v>4</v>
      </c>
      <c r="P823" s="11" t="str">
        <f t="shared" si="162"/>
        <v>2</v>
      </c>
      <c r="Q823" s="11" t="str">
        <f t="shared" si="163"/>
        <v>3</v>
      </c>
      <c r="R823" s="11" t="str">
        <f t="shared" si="164"/>
        <v>0</v>
      </c>
      <c r="S823" s="11" t="str">
        <f t="shared" si="165"/>
        <v>9</v>
      </c>
      <c r="T823" s="11" t="str">
        <f t="shared" si="166"/>
        <v>2</v>
      </c>
      <c r="U823" s="11" t="str">
        <f t="shared" si="167"/>
        <v>4</v>
      </c>
      <c r="V823" s="11" t="str">
        <f t="shared" si="168"/>
        <v>0</v>
      </c>
      <c r="W823" s="11" t="str">
        <f t="shared" si="169"/>
        <v>3</v>
      </c>
      <c r="X823" s="11" t="str">
        <f t="shared" si="170"/>
        <v>0</v>
      </c>
    </row>
    <row r="824" spans="1:24" x14ac:dyDescent="0.35">
      <c r="A824" s="5">
        <v>15499</v>
      </c>
      <c r="B824" s="5">
        <v>14230924031</v>
      </c>
      <c r="C824" s="5">
        <v>726486</v>
      </c>
      <c r="D824" s="5">
        <v>3762654</v>
      </c>
      <c r="E824" s="6" t="s">
        <v>70</v>
      </c>
      <c r="F824" s="6" t="s">
        <v>70</v>
      </c>
      <c r="G824" s="6" t="s">
        <v>70</v>
      </c>
      <c r="H824" s="7"/>
      <c r="I824" s="35" t="str">
        <f t="shared" si="158"/>
        <v>230924</v>
      </c>
      <c r="J824" s="31" t="str">
        <f t="shared" si="159"/>
        <v>14</v>
      </c>
      <c r="N824" s="12" t="str">
        <f t="shared" si="160"/>
        <v>1</v>
      </c>
      <c r="O824" s="11" t="str">
        <f t="shared" si="161"/>
        <v>4</v>
      </c>
      <c r="P824" s="11" t="str">
        <f t="shared" si="162"/>
        <v>2</v>
      </c>
      <c r="Q824" s="11" t="str">
        <f t="shared" si="163"/>
        <v>3</v>
      </c>
      <c r="R824" s="11" t="str">
        <f t="shared" si="164"/>
        <v>0</v>
      </c>
      <c r="S824" s="11" t="str">
        <f t="shared" si="165"/>
        <v>9</v>
      </c>
      <c r="T824" s="11" t="str">
        <f t="shared" si="166"/>
        <v>2</v>
      </c>
      <c r="U824" s="11" t="str">
        <f t="shared" si="167"/>
        <v>4</v>
      </c>
      <c r="V824" s="11" t="str">
        <f t="shared" si="168"/>
        <v>0</v>
      </c>
      <c r="W824" s="11" t="str">
        <f t="shared" si="169"/>
        <v>3</v>
      </c>
      <c r="X824" s="11" t="str">
        <f t="shared" si="170"/>
        <v>1</v>
      </c>
    </row>
    <row r="825" spans="1:24" x14ac:dyDescent="0.35">
      <c r="A825" s="5">
        <v>15500</v>
      </c>
      <c r="B825" s="5">
        <v>14230924032</v>
      </c>
      <c r="C825" s="5">
        <v>726503</v>
      </c>
      <c r="D825" s="5">
        <v>3762685</v>
      </c>
      <c r="E825" s="6" t="s">
        <v>70</v>
      </c>
      <c r="F825" s="6" t="s">
        <v>70</v>
      </c>
      <c r="G825" s="6" t="s">
        <v>70</v>
      </c>
      <c r="H825" s="7"/>
      <c r="I825" s="35" t="str">
        <f t="shared" si="158"/>
        <v>230924</v>
      </c>
      <c r="J825" s="31" t="str">
        <f t="shared" si="159"/>
        <v>14</v>
      </c>
      <c r="N825" s="12" t="str">
        <f t="shared" si="160"/>
        <v>1</v>
      </c>
      <c r="O825" s="11" t="str">
        <f t="shared" si="161"/>
        <v>4</v>
      </c>
      <c r="P825" s="11" t="str">
        <f t="shared" si="162"/>
        <v>2</v>
      </c>
      <c r="Q825" s="11" t="str">
        <f t="shared" si="163"/>
        <v>3</v>
      </c>
      <c r="R825" s="11" t="str">
        <f t="shared" si="164"/>
        <v>0</v>
      </c>
      <c r="S825" s="11" t="str">
        <f t="shared" si="165"/>
        <v>9</v>
      </c>
      <c r="T825" s="11" t="str">
        <f t="shared" si="166"/>
        <v>2</v>
      </c>
      <c r="U825" s="11" t="str">
        <f t="shared" si="167"/>
        <v>4</v>
      </c>
      <c r="V825" s="11" t="str">
        <f t="shared" si="168"/>
        <v>0</v>
      </c>
      <c r="W825" s="11" t="str">
        <f t="shared" si="169"/>
        <v>3</v>
      </c>
      <c r="X825" s="11" t="str">
        <f t="shared" si="170"/>
        <v>2</v>
      </c>
    </row>
    <row r="826" spans="1:24" x14ac:dyDescent="0.35">
      <c r="A826" s="5">
        <v>15501</v>
      </c>
      <c r="B826" s="5">
        <v>14230924033</v>
      </c>
      <c r="C826" s="5">
        <v>726502</v>
      </c>
      <c r="D826" s="5">
        <v>3762686</v>
      </c>
      <c r="E826" s="6" t="s">
        <v>70</v>
      </c>
      <c r="F826" s="6" t="s">
        <v>70</v>
      </c>
      <c r="G826" s="6" t="s">
        <v>70</v>
      </c>
      <c r="H826" s="7"/>
      <c r="I826" s="35" t="str">
        <f t="shared" si="158"/>
        <v>230924</v>
      </c>
      <c r="J826" s="31" t="str">
        <f t="shared" si="159"/>
        <v>14</v>
      </c>
      <c r="N826" s="12" t="str">
        <f t="shared" si="160"/>
        <v>1</v>
      </c>
      <c r="O826" s="11" t="str">
        <f t="shared" si="161"/>
        <v>4</v>
      </c>
      <c r="P826" s="11" t="str">
        <f t="shared" si="162"/>
        <v>2</v>
      </c>
      <c r="Q826" s="11" t="str">
        <f t="shared" si="163"/>
        <v>3</v>
      </c>
      <c r="R826" s="11" t="str">
        <f t="shared" si="164"/>
        <v>0</v>
      </c>
      <c r="S826" s="11" t="str">
        <f t="shared" si="165"/>
        <v>9</v>
      </c>
      <c r="T826" s="11" t="str">
        <f t="shared" si="166"/>
        <v>2</v>
      </c>
      <c r="U826" s="11" t="str">
        <f t="shared" si="167"/>
        <v>4</v>
      </c>
      <c r="V826" s="11" t="str">
        <f t="shared" si="168"/>
        <v>0</v>
      </c>
      <c r="W826" s="11" t="str">
        <f t="shared" si="169"/>
        <v>3</v>
      </c>
      <c r="X826" s="11" t="str">
        <f t="shared" si="170"/>
        <v>3</v>
      </c>
    </row>
    <row r="827" spans="1:24" x14ac:dyDescent="0.35">
      <c r="A827" s="5">
        <v>15502</v>
      </c>
      <c r="B827" s="5">
        <v>14230924034</v>
      </c>
      <c r="C827" s="5">
        <v>726504</v>
      </c>
      <c r="D827" s="5">
        <v>3762688</v>
      </c>
      <c r="E827" s="6" t="s">
        <v>70</v>
      </c>
      <c r="F827" s="6" t="s">
        <v>70</v>
      </c>
      <c r="G827" s="6" t="s">
        <v>70</v>
      </c>
      <c r="H827" s="7"/>
      <c r="I827" s="35" t="str">
        <f t="shared" si="158"/>
        <v>230924</v>
      </c>
      <c r="J827" s="31" t="str">
        <f t="shared" si="159"/>
        <v>14</v>
      </c>
      <c r="N827" s="12" t="str">
        <f t="shared" si="160"/>
        <v>1</v>
      </c>
      <c r="O827" s="11" t="str">
        <f t="shared" si="161"/>
        <v>4</v>
      </c>
      <c r="P827" s="11" t="str">
        <f t="shared" si="162"/>
        <v>2</v>
      </c>
      <c r="Q827" s="11" t="str">
        <f t="shared" si="163"/>
        <v>3</v>
      </c>
      <c r="R827" s="11" t="str">
        <f t="shared" si="164"/>
        <v>0</v>
      </c>
      <c r="S827" s="11" t="str">
        <f t="shared" si="165"/>
        <v>9</v>
      </c>
      <c r="T827" s="11" t="str">
        <f t="shared" si="166"/>
        <v>2</v>
      </c>
      <c r="U827" s="11" t="str">
        <f t="shared" si="167"/>
        <v>4</v>
      </c>
      <c r="V827" s="11" t="str">
        <f t="shared" si="168"/>
        <v>0</v>
      </c>
      <c r="W827" s="11" t="str">
        <f t="shared" si="169"/>
        <v>3</v>
      </c>
      <c r="X827" s="11" t="str">
        <f t="shared" si="170"/>
        <v>4</v>
      </c>
    </row>
    <row r="828" spans="1:24" x14ac:dyDescent="0.35">
      <c r="A828" s="5">
        <v>15503</v>
      </c>
      <c r="B828" s="5">
        <v>14230924035</v>
      </c>
      <c r="C828" s="5">
        <v>726528</v>
      </c>
      <c r="D828" s="5">
        <v>3762734</v>
      </c>
      <c r="E828" s="6" t="s">
        <v>70</v>
      </c>
      <c r="F828" s="6" t="s">
        <v>70</v>
      </c>
      <c r="G828" s="6" t="s">
        <v>70</v>
      </c>
      <c r="H828" s="7"/>
      <c r="I828" s="35" t="str">
        <f t="shared" si="158"/>
        <v>230924</v>
      </c>
      <c r="J828" s="31" t="str">
        <f t="shared" si="159"/>
        <v>14</v>
      </c>
      <c r="N828" s="12" t="str">
        <f t="shared" si="160"/>
        <v>1</v>
      </c>
      <c r="O828" s="11" t="str">
        <f t="shared" si="161"/>
        <v>4</v>
      </c>
      <c r="P828" s="11" t="str">
        <f t="shared" si="162"/>
        <v>2</v>
      </c>
      <c r="Q828" s="11" t="str">
        <f t="shared" si="163"/>
        <v>3</v>
      </c>
      <c r="R828" s="11" t="str">
        <f t="shared" si="164"/>
        <v>0</v>
      </c>
      <c r="S828" s="11" t="str">
        <f t="shared" si="165"/>
        <v>9</v>
      </c>
      <c r="T828" s="11" t="str">
        <f t="shared" si="166"/>
        <v>2</v>
      </c>
      <c r="U828" s="11" t="str">
        <f t="shared" si="167"/>
        <v>4</v>
      </c>
      <c r="V828" s="11" t="str">
        <f t="shared" si="168"/>
        <v>0</v>
      </c>
      <c r="W828" s="11" t="str">
        <f t="shared" si="169"/>
        <v>3</v>
      </c>
      <c r="X828" s="11" t="str">
        <f t="shared" si="170"/>
        <v>5</v>
      </c>
    </row>
    <row r="829" spans="1:24" x14ac:dyDescent="0.35">
      <c r="A829" s="5">
        <v>15504</v>
      </c>
      <c r="B829" s="5">
        <v>14230924036</v>
      </c>
      <c r="C829" s="5">
        <v>726543</v>
      </c>
      <c r="D829" s="5">
        <v>3762773</v>
      </c>
      <c r="E829" s="6" t="s">
        <v>70</v>
      </c>
      <c r="F829" s="6" t="s">
        <v>70</v>
      </c>
      <c r="G829" s="6" t="s">
        <v>70</v>
      </c>
      <c r="H829" s="7"/>
      <c r="I829" s="35" t="str">
        <f t="shared" si="158"/>
        <v>230924</v>
      </c>
      <c r="J829" s="31" t="str">
        <f t="shared" si="159"/>
        <v>14</v>
      </c>
      <c r="N829" s="12" t="str">
        <f t="shared" si="160"/>
        <v>1</v>
      </c>
      <c r="O829" s="11" t="str">
        <f t="shared" si="161"/>
        <v>4</v>
      </c>
      <c r="P829" s="11" t="str">
        <f t="shared" si="162"/>
        <v>2</v>
      </c>
      <c r="Q829" s="11" t="str">
        <f t="shared" si="163"/>
        <v>3</v>
      </c>
      <c r="R829" s="11" t="str">
        <f t="shared" si="164"/>
        <v>0</v>
      </c>
      <c r="S829" s="11" t="str">
        <f t="shared" si="165"/>
        <v>9</v>
      </c>
      <c r="T829" s="11" t="str">
        <f t="shared" si="166"/>
        <v>2</v>
      </c>
      <c r="U829" s="11" t="str">
        <f t="shared" si="167"/>
        <v>4</v>
      </c>
      <c r="V829" s="11" t="str">
        <f t="shared" si="168"/>
        <v>0</v>
      </c>
      <c r="W829" s="11" t="str">
        <f t="shared" si="169"/>
        <v>3</v>
      </c>
      <c r="X829" s="11" t="str">
        <f t="shared" si="170"/>
        <v>6</v>
      </c>
    </row>
    <row r="830" spans="1:24" x14ac:dyDescent="0.35">
      <c r="A830" s="5">
        <v>15505</v>
      </c>
      <c r="B830" s="5">
        <v>14230924037</v>
      </c>
      <c r="C830" s="5">
        <v>726568</v>
      </c>
      <c r="D830" s="5">
        <v>3762829</v>
      </c>
      <c r="E830" s="6" t="s">
        <v>70</v>
      </c>
      <c r="F830" s="6" t="s">
        <v>70</v>
      </c>
      <c r="G830" s="6" t="s">
        <v>70</v>
      </c>
      <c r="H830" s="7"/>
      <c r="I830" s="35" t="str">
        <f t="shared" si="158"/>
        <v>230924</v>
      </c>
      <c r="J830" s="31" t="str">
        <f t="shared" si="159"/>
        <v>14</v>
      </c>
      <c r="N830" s="12" t="str">
        <f t="shared" si="160"/>
        <v>1</v>
      </c>
      <c r="O830" s="11" t="str">
        <f t="shared" si="161"/>
        <v>4</v>
      </c>
      <c r="P830" s="11" t="str">
        <f t="shared" si="162"/>
        <v>2</v>
      </c>
      <c r="Q830" s="11" t="str">
        <f t="shared" si="163"/>
        <v>3</v>
      </c>
      <c r="R830" s="11" t="str">
        <f t="shared" si="164"/>
        <v>0</v>
      </c>
      <c r="S830" s="11" t="str">
        <f t="shared" si="165"/>
        <v>9</v>
      </c>
      <c r="T830" s="11" t="str">
        <f t="shared" si="166"/>
        <v>2</v>
      </c>
      <c r="U830" s="11" t="str">
        <f t="shared" si="167"/>
        <v>4</v>
      </c>
      <c r="V830" s="11" t="str">
        <f t="shared" si="168"/>
        <v>0</v>
      </c>
      <c r="W830" s="11" t="str">
        <f t="shared" si="169"/>
        <v>3</v>
      </c>
      <c r="X830" s="11" t="str">
        <f t="shared" si="170"/>
        <v>7</v>
      </c>
    </row>
    <row r="831" spans="1:24" x14ac:dyDescent="0.35">
      <c r="A831" s="5">
        <v>15506</v>
      </c>
      <c r="B831" s="5">
        <v>14230924038</v>
      </c>
      <c r="C831" s="5">
        <v>726588</v>
      </c>
      <c r="D831" s="5">
        <v>3762868</v>
      </c>
      <c r="E831" s="6" t="s">
        <v>70</v>
      </c>
      <c r="F831" s="6" t="s">
        <v>70</v>
      </c>
      <c r="G831" s="6" t="s">
        <v>70</v>
      </c>
      <c r="H831" s="7"/>
      <c r="I831" s="35" t="str">
        <f t="shared" si="158"/>
        <v>230924</v>
      </c>
      <c r="J831" s="31" t="str">
        <f t="shared" si="159"/>
        <v>14</v>
      </c>
      <c r="N831" s="12" t="str">
        <f t="shared" si="160"/>
        <v>1</v>
      </c>
      <c r="O831" s="11" t="str">
        <f t="shared" si="161"/>
        <v>4</v>
      </c>
      <c r="P831" s="11" t="str">
        <f t="shared" si="162"/>
        <v>2</v>
      </c>
      <c r="Q831" s="11" t="str">
        <f t="shared" si="163"/>
        <v>3</v>
      </c>
      <c r="R831" s="11" t="str">
        <f t="shared" si="164"/>
        <v>0</v>
      </c>
      <c r="S831" s="11" t="str">
        <f t="shared" si="165"/>
        <v>9</v>
      </c>
      <c r="T831" s="11" t="str">
        <f t="shared" si="166"/>
        <v>2</v>
      </c>
      <c r="U831" s="11" t="str">
        <f t="shared" si="167"/>
        <v>4</v>
      </c>
      <c r="V831" s="11" t="str">
        <f t="shared" si="168"/>
        <v>0</v>
      </c>
      <c r="W831" s="11" t="str">
        <f t="shared" si="169"/>
        <v>3</v>
      </c>
      <c r="X831" s="11" t="str">
        <f t="shared" si="170"/>
        <v>8</v>
      </c>
    </row>
    <row r="832" spans="1:24" x14ac:dyDescent="0.35">
      <c r="A832" s="5">
        <v>15507</v>
      </c>
      <c r="B832" s="5">
        <v>14230924039</v>
      </c>
      <c r="C832" s="5">
        <v>726607</v>
      </c>
      <c r="D832" s="5">
        <v>3762907</v>
      </c>
      <c r="E832" s="6" t="s">
        <v>70</v>
      </c>
      <c r="F832" s="6" t="s">
        <v>70</v>
      </c>
      <c r="G832" s="6" t="s">
        <v>70</v>
      </c>
      <c r="H832" s="7"/>
      <c r="I832" s="35" t="str">
        <f t="shared" si="158"/>
        <v>230924</v>
      </c>
      <c r="J832" s="31" t="str">
        <f t="shared" si="159"/>
        <v>14</v>
      </c>
      <c r="N832" s="12" t="str">
        <f t="shared" si="160"/>
        <v>1</v>
      </c>
      <c r="O832" s="11" t="str">
        <f t="shared" si="161"/>
        <v>4</v>
      </c>
      <c r="P832" s="11" t="str">
        <f t="shared" si="162"/>
        <v>2</v>
      </c>
      <c r="Q832" s="11" t="str">
        <f t="shared" si="163"/>
        <v>3</v>
      </c>
      <c r="R832" s="11" t="str">
        <f t="shared" si="164"/>
        <v>0</v>
      </c>
      <c r="S832" s="11" t="str">
        <f t="shared" si="165"/>
        <v>9</v>
      </c>
      <c r="T832" s="11" t="str">
        <f t="shared" si="166"/>
        <v>2</v>
      </c>
      <c r="U832" s="11" t="str">
        <f t="shared" si="167"/>
        <v>4</v>
      </c>
      <c r="V832" s="11" t="str">
        <f t="shared" si="168"/>
        <v>0</v>
      </c>
      <c r="W832" s="11" t="str">
        <f t="shared" si="169"/>
        <v>3</v>
      </c>
      <c r="X832" s="11" t="str">
        <f t="shared" si="170"/>
        <v>9</v>
      </c>
    </row>
    <row r="833" spans="1:24" x14ac:dyDescent="0.35">
      <c r="A833" s="5">
        <v>15508</v>
      </c>
      <c r="B833" s="5">
        <v>14230924040</v>
      </c>
      <c r="C833" s="5">
        <v>726606</v>
      </c>
      <c r="D833" s="5">
        <v>3762907</v>
      </c>
      <c r="E833" s="6" t="s">
        <v>70</v>
      </c>
      <c r="F833" s="6" t="s">
        <v>70</v>
      </c>
      <c r="G833" s="6" t="s">
        <v>70</v>
      </c>
      <c r="H833" s="7"/>
      <c r="I833" s="35" t="str">
        <f t="shared" si="158"/>
        <v>230924</v>
      </c>
      <c r="J833" s="31" t="str">
        <f t="shared" si="159"/>
        <v>14</v>
      </c>
      <c r="N833" s="12" t="str">
        <f t="shared" si="160"/>
        <v>1</v>
      </c>
      <c r="O833" s="11" t="str">
        <f t="shared" si="161"/>
        <v>4</v>
      </c>
      <c r="P833" s="11" t="str">
        <f t="shared" si="162"/>
        <v>2</v>
      </c>
      <c r="Q833" s="11" t="str">
        <f t="shared" si="163"/>
        <v>3</v>
      </c>
      <c r="R833" s="11" t="str">
        <f t="shared" si="164"/>
        <v>0</v>
      </c>
      <c r="S833" s="11" t="str">
        <f t="shared" si="165"/>
        <v>9</v>
      </c>
      <c r="T833" s="11" t="str">
        <f t="shared" si="166"/>
        <v>2</v>
      </c>
      <c r="U833" s="11" t="str">
        <f t="shared" si="167"/>
        <v>4</v>
      </c>
      <c r="V833" s="11" t="str">
        <f t="shared" si="168"/>
        <v>0</v>
      </c>
      <c r="W833" s="11" t="str">
        <f t="shared" si="169"/>
        <v>4</v>
      </c>
      <c r="X833" s="11" t="str">
        <f t="shared" si="170"/>
        <v>0</v>
      </c>
    </row>
    <row r="834" spans="1:24" x14ac:dyDescent="0.35">
      <c r="A834" s="5">
        <v>15509</v>
      </c>
      <c r="B834" s="5">
        <v>14230924041</v>
      </c>
      <c r="C834" s="5">
        <v>726607</v>
      </c>
      <c r="D834" s="5">
        <v>3762905</v>
      </c>
      <c r="E834" s="6" t="s">
        <v>70</v>
      </c>
      <c r="F834" s="6" t="s">
        <v>70</v>
      </c>
      <c r="G834" s="6" t="s">
        <v>70</v>
      </c>
      <c r="H834" s="7"/>
      <c r="I834" s="35" t="str">
        <f t="shared" si="158"/>
        <v>230924</v>
      </c>
      <c r="J834" s="31" t="str">
        <f t="shared" si="159"/>
        <v>14</v>
      </c>
      <c r="N834" s="12" t="str">
        <f t="shared" si="160"/>
        <v>1</v>
      </c>
      <c r="O834" s="11" t="str">
        <f t="shared" si="161"/>
        <v>4</v>
      </c>
      <c r="P834" s="11" t="str">
        <f t="shared" si="162"/>
        <v>2</v>
      </c>
      <c r="Q834" s="11" t="str">
        <f t="shared" si="163"/>
        <v>3</v>
      </c>
      <c r="R834" s="11" t="str">
        <f t="shared" si="164"/>
        <v>0</v>
      </c>
      <c r="S834" s="11" t="str">
        <f t="shared" si="165"/>
        <v>9</v>
      </c>
      <c r="T834" s="11" t="str">
        <f t="shared" si="166"/>
        <v>2</v>
      </c>
      <c r="U834" s="11" t="str">
        <f t="shared" si="167"/>
        <v>4</v>
      </c>
      <c r="V834" s="11" t="str">
        <f t="shared" si="168"/>
        <v>0</v>
      </c>
      <c r="W834" s="11" t="str">
        <f t="shared" si="169"/>
        <v>4</v>
      </c>
      <c r="X834" s="11" t="str">
        <f t="shared" si="170"/>
        <v>1</v>
      </c>
    </row>
    <row r="835" spans="1:24" x14ac:dyDescent="0.35">
      <c r="A835" s="5">
        <v>15510</v>
      </c>
      <c r="B835" s="5">
        <v>14230924042</v>
      </c>
      <c r="C835" s="5">
        <v>726628</v>
      </c>
      <c r="D835" s="5">
        <v>3762945</v>
      </c>
      <c r="E835" s="6" t="s">
        <v>70</v>
      </c>
      <c r="F835" s="6" t="s">
        <v>70</v>
      </c>
      <c r="G835" s="6" t="s">
        <v>70</v>
      </c>
      <c r="H835" s="7"/>
      <c r="I835" s="35" t="str">
        <f t="shared" ref="I835:I843" si="171">MID(B835,IF(LEN(B835)=10,2,3),6)</f>
        <v>230924</v>
      </c>
      <c r="J835" s="31" t="str">
        <f t="shared" ref="J835:J843" si="172">TEXT(MID(B835,1,IF(LEN(B835)=10,1,2)),"00")</f>
        <v>14</v>
      </c>
      <c r="N835" s="12" t="str">
        <f t="shared" ref="N835:N843" si="173">IFERROR(MID($B835,LEN($B835)-10,1),0)</f>
        <v>1</v>
      </c>
      <c r="O835" s="11" t="str">
        <f t="shared" ref="O835:O843" si="174">MID($B835,LEN($B835)-9,1)</f>
        <v>4</v>
      </c>
      <c r="P835" s="11" t="str">
        <f t="shared" ref="P835:P843" si="175">MID($B835,LEN($B835)-8,1)</f>
        <v>2</v>
      </c>
      <c r="Q835" s="11" t="str">
        <f t="shared" ref="Q835:Q843" si="176">MID($B835,LEN($B835)-7,1)</f>
        <v>3</v>
      </c>
      <c r="R835" s="11" t="str">
        <f t="shared" ref="R835:R843" si="177">MID($B835,LEN($B835)-6,1)</f>
        <v>0</v>
      </c>
      <c r="S835" s="11" t="str">
        <f t="shared" ref="S835:S843" si="178">MID($B835,LEN($B835)-5,1)</f>
        <v>9</v>
      </c>
      <c r="T835" s="11" t="str">
        <f t="shared" ref="T835:T843" si="179">MID($B835,LEN($B835)-4,1)</f>
        <v>2</v>
      </c>
      <c r="U835" s="11" t="str">
        <f t="shared" ref="U835:U843" si="180">MID($B835,LEN($B835)-3,1)</f>
        <v>4</v>
      </c>
      <c r="V835" s="11" t="str">
        <f t="shared" ref="V835:V843" si="181">MID($B835,LEN($B835)-2,1)</f>
        <v>0</v>
      </c>
      <c r="W835" s="11" t="str">
        <f t="shared" ref="W835:W843" si="182">MID($B835,LEN($B835)-1,1)</f>
        <v>4</v>
      </c>
      <c r="X835" s="11" t="str">
        <f t="shared" ref="X835:X843" si="183">MID($B835,LEN($B835)-0,1)</f>
        <v>2</v>
      </c>
    </row>
    <row r="836" spans="1:24" x14ac:dyDescent="0.35">
      <c r="A836" s="5">
        <v>15511</v>
      </c>
      <c r="B836" s="5">
        <v>14230924043</v>
      </c>
      <c r="C836" s="5">
        <v>726647</v>
      </c>
      <c r="D836" s="5">
        <v>3762995</v>
      </c>
      <c r="E836" s="6" t="s">
        <v>70</v>
      </c>
      <c r="F836" s="6" t="s">
        <v>70</v>
      </c>
      <c r="G836" s="6" t="s">
        <v>70</v>
      </c>
      <c r="H836" s="7"/>
      <c r="I836" s="35" t="str">
        <f t="shared" si="171"/>
        <v>230924</v>
      </c>
      <c r="J836" s="31" t="str">
        <f t="shared" si="172"/>
        <v>14</v>
      </c>
      <c r="N836" s="12" t="str">
        <f t="shared" si="173"/>
        <v>1</v>
      </c>
      <c r="O836" s="11" t="str">
        <f t="shared" si="174"/>
        <v>4</v>
      </c>
      <c r="P836" s="11" t="str">
        <f t="shared" si="175"/>
        <v>2</v>
      </c>
      <c r="Q836" s="11" t="str">
        <f t="shared" si="176"/>
        <v>3</v>
      </c>
      <c r="R836" s="11" t="str">
        <f t="shared" si="177"/>
        <v>0</v>
      </c>
      <c r="S836" s="11" t="str">
        <f t="shared" si="178"/>
        <v>9</v>
      </c>
      <c r="T836" s="11" t="str">
        <f t="shared" si="179"/>
        <v>2</v>
      </c>
      <c r="U836" s="11" t="str">
        <f t="shared" si="180"/>
        <v>4</v>
      </c>
      <c r="V836" s="11" t="str">
        <f t="shared" si="181"/>
        <v>0</v>
      </c>
      <c r="W836" s="11" t="str">
        <f t="shared" si="182"/>
        <v>4</v>
      </c>
      <c r="X836" s="11" t="str">
        <f t="shared" si="183"/>
        <v>3</v>
      </c>
    </row>
    <row r="837" spans="1:24" x14ac:dyDescent="0.35">
      <c r="A837" s="5">
        <v>15512</v>
      </c>
      <c r="B837" s="5">
        <v>14230924044</v>
      </c>
      <c r="C837" s="5">
        <v>726668</v>
      </c>
      <c r="D837" s="5">
        <v>3763038</v>
      </c>
      <c r="E837" s="6" t="s">
        <v>70</v>
      </c>
      <c r="F837" s="6" t="s">
        <v>70</v>
      </c>
      <c r="G837" s="6" t="s">
        <v>70</v>
      </c>
      <c r="H837" s="7"/>
      <c r="I837" s="35" t="str">
        <f t="shared" si="171"/>
        <v>230924</v>
      </c>
      <c r="J837" s="31" t="str">
        <f t="shared" si="172"/>
        <v>14</v>
      </c>
      <c r="N837" s="12" t="str">
        <f t="shared" si="173"/>
        <v>1</v>
      </c>
      <c r="O837" s="11" t="str">
        <f t="shared" si="174"/>
        <v>4</v>
      </c>
      <c r="P837" s="11" t="str">
        <f t="shared" si="175"/>
        <v>2</v>
      </c>
      <c r="Q837" s="11" t="str">
        <f t="shared" si="176"/>
        <v>3</v>
      </c>
      <c r="R837" s="11" t="str">
        <f t="shared" si="177"/>
        <v>0</v>
      </c>
      <c r="S837" s="11" t="str">
        <f t="shared" si="178"/>
        <v>9</v>
      </c>
      <c r="T837" s="11" t="str">
        <f t="shared" si="179"/>
        <v>2</v>
      </c>
      <c r="U837" s="11" t="str">
        <f t="shared" si="180"/>
        <v>4</v>
      </c>
      <c r="V837" s="11" t="str">
        <f t="shared" si="181"/>
        <v>0</v>
      </c>
      <c r="W837" s="11" t="str">
        <f t="shared" si="182"/>
        <v>4</v>
      </c>
      <c r="X837" s="11" t="str">
        <f t="shared" si="183"/>
        <v>4</v>
      </c>
    </row>
    <row r="838" spans="1:24" x14ac:dyDescent="0.35">
      <c r="A838" s="5">
        <v>15513</v>
      </c>
      <c r="B838" s="5">
        <v>14230924045</v>
      </c>
      <c r="C838" s="5">
        <v>726672</v>
      </c>
      <c r="D838" s="5">
        <v>3763038</v>
      </c>
      <c r="E838" s="6" t="s">
        <v>70</v>
      </c>
      <c r="F838" s="6" t="s">
        <v>70</v>
      </c>
      <c r="G838" s="6" t="s">
        <v>70</v>
      </c>
      <c r="H838" s="7"/>
      <c r="I838" s="35" t="str">
        <f t="shared" si="171"/>
        <v>230924</v>
      </c>
      <c r="J838" s="31" t="str">
        <f t="shared" si="172"/>
        <v>14</v>
      </c>
      <c r="N838" s="12" t="str">
        <f t="shared" si="173"/>
        <v>1</v>
      </c>
      <c r="O838" s="11" t="str">
        <f t="shared" si="174"/>
        <v>4</v>
      </c>
      <c r="P838" s="11" t="str">
        <f t="shared" si="175"/>
        <v>2</v>
      </c>
      <c r="Q838" s="11" t="str">
        <f t="shared" si="176"/>
        <v>3</v>
      </c>
      <c r="R838" s="11" t="str">
        <f t="shared" si="177"/>
        <v>0</v>
      </c>
      <c r="S838" s="11" t="str">
        <f t="shared" si="178"/>
        <v>9</v>
      </c>
      <c r="T838" s="11" t="str">
        <f t="shared" si="179"/>
        <v>2</v>
      </c>
      <c r="U838" s="11" t="str">
        <f t="shared" si="180"/>
        <v>4</v>
      </c>
      <c r="V838" s="11" t="str">
        <f t="shared" si="181"/>
        <v>0</v>
      </c>
      <c r="W838" s="11" t="str">
        <f t="shared" si="182"/>
        <v>4</v>
      </c>
      <c r="X838" s="11" t="str">
        <f t="shared" si="183"/>
        <v>5</v>
      </c>
    </row>
    <row r="839" spans="1:24" x14ac:dyDescent="0.35">
      <c r="A839" s="5">
        <v>15514</v>
      </c>
      <c r="B839" s="5">
        <v>14230924046</v>
      </c>
      <c r="C839" s="5">
        <v>726669</v>
      </c>
      <c r="D839" s="5">
        <v>3763040</v>
      </c>
      <c r="E839" s="6" t="s">
        <v>70</v>
      </c>
      <c r="F839" s="6" t="s">
        <v>70</v>
      </c>
      <c r="G839" s="6" t="s">
        <v>70</v>
      </c>
      <c r="H839" s="7"/>
      <c r="I839" s="35" t="str">
        <f t="shared" si="171"/>
        <v>230924</v>
      </c>
      <c r="J839" s="31" t="str">
        <f t="shared" si="172"/>
        <v>14</v>
      </c>
      <c r="N839" s="12" t="str">
        <f t="shared" si="173"/>
        <v>1</v>
      </c>
      <c r="O839" s="11" t="str">
        <f t="shared" si="174"/>
        <v>4</v>
      </c>
      <c r="P839" s="11" t="str">
        <f t="shared" si="175"/>
        <v>2</v>
      </c>
      <c r="Q839" s="11" t="str">
        <f t="shared" si="176"/>
        <v>3</v>
      </c>
      <c r="R839" s="11" t="str">
        <f t="shared" si="177"/>
        <v>0</v>
      </c>
      <c r="S839" s="11" t="str">
        <f t="shared" si="178"/>
        <v>9</v>
      </c>
      <c r="T839" s="11" t="str">
        <f t="shared" si="179"/>
        <v>2</v>
      </c>
      <c r="U839" s="11" t="str">
        <f t="shared" si="180"/>
        <v>4</v>
      </c>
      <c r="V839" s="11" t="str">
        <f t="shared" si="181"/>
        <v>0</v>
      </c>
      <c r="W839" s="11" t="str">
        <f t="shared" si="182"/>
        <v>4</v>
      </c>
      <c r="X839" s="11" t="str">
        <f t="shared" si="183"/>
        <v>6</v>
      </c>
    </row>
    <row r="840" spans="1:24" x14ac:dyDescent="0.35">
      <c r="A840" s="5">
        <v>15515</v>
      </c>
      <c r="B840" s="5">
        <v>14230924047</v>
      </c>
      <c r="C840" s="5">
        <v>726667</v>
      </c>
      <c r="D840" s="5">
        <v>3763038</v>
      </c>
      <c r="E840" s="6" t="s">
        <v>70</v>
      </c>
      <c r="F840" s="6" t="s">
        <v>70</v>
      </c>
      <c r="G840" s="6" t="s">
        <v>70</v>
      </c>
      <c r="H840" s="7"/>
      <c r="I840" s="35" t="str">
        <f t="shared" si="171"/>
        <v>230924</v>
      </c>
      <c r="J840" s="31" t="str">
        <f t="shared" si="172"/>
        <v>14</v>
      </c>
      <c r="N840" s="12" t="str">
        <f t="shared" si="173"/>
        <v>1</v>
      </c>
      <c r="O840" s="11" t="str">
        <f t="shared" si="174"/>
        <v>4</v>
      </c>
      <c r="P840" s="11" t="str">
        <f t="shared" si="175"/>
        <v>2</v>
      </c>
      <c r="Q840" s="11" t="str">
        <f t="shared" si="176"/>
        <v>3</v>
      </c>
      <c r="R840" s="11" t="str">
        <f t="shared" si="177"/>
        <v>0</v>
      </c>
      <c r="S840" s="11" t="str">
        <f t="shared" si="178"/>
        <v>9</v>
      </c>
      <c r="T840" s="11" t="str">
        <f t="shared" si="179"/>
        <v>2</v>
      </c>
      <c r="U840" s="11" t="str">
        <f t="shared" si="180"/>
        <v>4</v>
      </c>
      <c r="V840" s="11" t="str">
        <f t="shared" si="181"/>
        <v>0</v>
      </c>
      <c r="W840" s="11" t="str">
        <f t="shared" si="182"/>
        <v>4</v>
      </c>
      <c r="X840" s="11" t="str">
        <f t="shared" si="183"/>
        <v>7</v>
      </c>
    </row>
    <row r="841" spans="1:24" x14ac:dyDescent="0.35">
      <c r="A841" s="5">
        <v>15516</v>
      </c>
      <c r="B841" s="5">
        <v>14230924048</v>
      </c>
      <c r="C841" s="5">
        <v>726667</v>
      </c>
      <c r="D841" s="5">
        <v>3763036</v>
      </c>
      <c r="E841" s="6" t="s">
        <v>70</v>
      </c>
      <c r="F841" s="6" t="s">
        <v>70</v>
      </c>
      <c r="G841" s="6" t="s">
        <v>70</v>
      </c>
      <c r="H841" s="7"/>
      <c r="I841" s="35" t="str">
        <f t="shared" si="171"/>
        <v>230924</v>
      </c>
      <c r="J841" s="31" t="str">
        <f t="shared" si="172"/>
        <v>14</v>
      </c>
      <c r="N841" s="12" t="str">
        <f t="shared" si="173"/>
        <v>1</v>
      </c>
      <c r="O841" s="11" t="str">
        <f t="shared" si="174"/>
        <v>4</v>
      </c>
      <c r="P841" s="11" t="str">
        <f t="shared" si="175"/>
        <v>2</v>
      </c>
      <c r="Q841" s="11" t="str">
        <f t="shared" si="176"/>
        <v>3</v>
      </c>
      <c r="R841" s="11" t="str">
        <f t="shared" si="177"/>
        <v>0</v>
      </c>
      <c r="S841" s="11" t="str">
        <f t="shared" si="178"/>
        <v>9</v>
      </c>
      <c r="T841" s="11" t="str">
        <f t="shared" si="179"/>
        <v>2</v>
      </c>
      <c r="U841" s="11" t="str">
        <f t="shared" si="180"/>
        <v>4</v>
      </c>
      <c r="V841" s="11" t="str">
        <f t="shared" si="181"/>
        <v>0</v>
      </c>
      <c r="W841" s="11" t="str">
        <f t="shared" si="182"/>
        <v>4</v>
      </c>
      <c r="X841" s="11" t="str">
        <f t="shared" si="183"/>
        <v>8</v>
      </c>
    </row>
    <row r="842" spans="1:24" x14ac:dyDescent="0.35">
      <c r="A842" s="5">
        <v>15517</v>
      </c>
      <c r="B842" s="5">
        <v>14230924049</v>
      </c>
      <c r="C842" s="5">
        <v>726691</v>
      </c>
      <c r="D842" s="5">
        <v>3763082</v>
      </c>
      <c r="E842" s="6" t="s">
        <v>70</v>
      </c>
      <c r="F842" s="6" t="s">
        <v>70</v>
      </c>
      <c r="G842" s="6" t="s">
        <v>70</v>
      </c>
      <c r="H842" s="7"/>
      <c r="I842" s="35" t="str">
        <f t="shared" si="171"/>
        <v>230924</v>
      </c>
      <c r="J842" s="31" t="str">
        <f t="shared" si="172"/>
        <v>14</v>
      </c>
      <c r="N842" s="12" t="str">
        <f t="shared" si="173"/>
        <v>1</v>
      </c>
      <c r="O842" s="11" t="str">
        <f t="shared" si="174"/>
        <v>4</v>
      </c>
      <c r="P842" s="11" t="str">
        <f t="shared" si="175"/>
        <v>2</v>
      </c>
      <c r="Q842" s="11" t="str">
        <f t="shared" si="176"/>
        <v>3</v>
      </c>
      <c r="R842" s="11" t="str">
        <f t="shared" si="177"/>
        <v>0</v>
      </c>
      <c r="S842" s="11" t="str">
        <f t="shared" si="178"/>
        <v>9</v>
      </c>
      <c r="T842" s="11" t="str">
        <f t="shared" si="179"/>
        <v>2</v>
      </c>
      <c r="U842" s="11" t="str">
        <f t="shared" si="180"/>
        <v>4</v>
      </c>
      <c r="V842" s="11" t="str">
        <f t="shared" si="181"/>
        <v>0</v>
      </c>
      <c r="W842" s="11" t="str">
        <f t="shared" si="182"/>
        <v>4</v>
      </c>
      <c r="X842" s="11" t="str">
        <f t="shared" si="183"/>
        <v>9</v>
      </c>
    </row>
    <row r="843" spans="1:24" x14ac:dyDescent="0.35">
      <c r="A843" s="5">
        <v>15518</v>
      </c>
      <c r="B843" s="5">
        <v>14230924050</v>
      </c>
      <c r="C843" s="5">
        <v>726804</v>
      </c>
      <c r="D843" s="5">
        <v>3762930</v>
      </c>
      <c r="E843" s="6" t="s">
        <v>70</v>
      </c>
      <c r="F843" s="6" t="s">
        <v>70</v>
      </c>
      <c r="G843" s="6" t="s">
        <v>70</v>
      </c>
      <c r="H843" s="7"/>
      <c r="I843" s="35" t="str">
        <f t="shared" si="171"/>
        <v>230924</v>
      </c>
      <c r="J843" s="31" t="str">
        <f t="shared" si="172"/>
        <v>14</v>
      </c>
      <c r="N843" s="12" t="str">
        <f t="shared" si="173"/>
        <v>1</v>
      </c>
      <c r="O843" s="11" t="str">
        <f t="shared" si="174"/>
        <v>4</v>
      </c>
      <c r="P843" s="11" t="str">
        <f t="shared" si="175"/>
        <v>2</v>
      </c>
      <c r="Q843" s="11" t="str">
        <f t="shared" si="176"/>
        <v>3</v>
      </c>
      <c r="R843" s="11" t="str">
        <f t="shared" si="177"/>
        <v>0</v>
      </c>
      <c r="S843" s="11" t="str">
        <f t="shared" si="178"/>
        <v>9</v>
      </c>
      <c r="T843" s="11" t="str">
        <f t="shared" si="179"/>
        <v>2</v>
      </c>
      <c r="U843" s="11" t="str">
        <f t="shared" si="180"/>
        <v>4</v>
      </c>
      <c r="V843" s="11" t="str">
        <f t="shared" si="181"/>
        <v>0</v>
      </c>
      <c r="W843" s="11" t="str">
        <f t="shared" si="182"/>
        <v>5</v>
      </c>
      <c r="X843" s="11" t="str">
        <f t="shared" si="183"/>
        <v>0</v>
      </c>
    </row>
    <row r="844" spans="1:24" s="19" customFormat="1" x14ac:dyDescent="0.35">
      <c r="I844" s="32"/>
    </row>
    <row r="845" spans="1:24" x14ac:dyDescent="0.35">
      <c r="I845"/>
    </row>
    <row r="846" spans="1:24" x14ac:dyDescent="0.35">
      <c r="I846"/>
    </row>
    <row r="847" spans="1:24" x14ac:dyDescent="0.35">
      <c r="I847"/>
    </row>
    <row r="848" spans="1:24" x14ac:dyDescent="0.35">
      <c r="I848"/>
    </row>
    <row r="849" spans="9:9" x14ac:dyDescent="0.35">
      <c r="I849"/>
    </row>
    <row r="850" spans="9:9" x14ac:dyDescent="0.35">
      <c r="I850"/>
    </row>
    <row r="851" spans="9:9" x14ac:dyDescent="0.35">
      <c r="I851"/>
    </row>
    <row r="852" spans="9:9" x14ac:dyDescent="0.35">
      <c r="I852"/>
    </row>
    <row r="853" spans="9:9" x14ac:dyDescent="0.35">
      <c r="I853"/>
    </row>
    <row r="854" spans="9:9" x14ac:dyDescent="0.35">
      <c r="I854"/>
    </row>
    <row r="855" spans="9:9" x14ac:dyDescent="0.35">
      <c r="I855"/>
    </row>
    <row r="856" spans="9:9" x14ac:dyDescent="0.35">
      <c r="I856"/>
    </row>
    <row r="857" spans="9:9" x14ac:dyDescent="0.35">
      <c r="I857"/>
    </row>
    <row r="858" spans="9:9" x14ac:dyDescent="0.35">
      <c r="I858"/>
    </row>
    <row r="859" spans="9:9" x14ac:dyDescent="0.35">
      <c r="I859"/>
    </row>
    <row r="860" spans="9:9" x14ac:dyDescent="0.35">
      <c r="I860"/>
    </row>
    <row r="861" spans="9:9" x14ac:dyDescent="0.35">
      <c r="I861"/>
    </row>
    <row r="862" spans="9:9" x14ac:dyDescent="0.35">
      <c r="I862"/>
    </row>
    <row r="863" spans="9:9" x14ac:dyDescent="0.35">
      <c r="I863"/>
    </row>
    <row r="864" spans="9:9" x14ac:dyDescent="0.35">
      <c r="I864"/>
    </row>
    <row r="865" spans="9:9" x14ac:dyDescent="0.35">
      <c r="I865"/>
    </row>
    <row r="866" spans="9:9" x14ac:dyDescent="0.35">
      <c r="I866"/>
    </row>
    <row r="867" spans="9:9" x14ac:dyDescent="0.35">
      <c r="I867"/>
    </row>
    <row r="868" spans="9:9" x14ac:dyDescent="0.35">
      <c r="I868"/>
    </row>
    <row r="869" spans="9:9" x14ac:dyDescent="0.35">
      <c r="I869"/>
    </row>
    <row r="870" spans="9:9" x14ac:dyDescent="0.35">
      <c r="I870"/>
    </row>
    <row r="871" spans="9:9" x14ac:dyDescent="0.35">
      <c r="I871"/>
    </row>
    <row r="872" spans="9:9" x14ac:dyDescent="0.35">
      <c r="I872"/>
    </row>
    <row r="873" spans="9:9" x14ac:dyDescent="0.35">
      <c r="I873"/>
    </row>
    <row r="874" spans="9:9" x14ac:dyDescent="0.35">
      <c r="I874"/>
    </row>
    <row r="875" spans="9:9" x14ac:dyDescent="0.35">
      <c r="I875"/>
    </row>
    <row r="876" spans="9:9" x14ac:dyDescent="0.35">
      <c r="I876"/>
    </row>
    <row r="877" spans="9:9" x14ac:dyDescent="0.35">
      <c r="I877"/>
    </row>
    <row r="878" spans="9:9" x14ac:dyDescent="0.35">
      <c r="I878"/>
    </row>
    <row r="879" spans="9:9" x14ac:dyDescent="0.35">
      <c r="I879"/>
    </row>
    <row r="880" spans="9:9" x14ac:dyDescent="0.35">
      <c r="I880"/>
    </row>
    <row r="881" spans="9:9" x14ac:dyDescent="0.35">
      <c r="I881"/>
    </row>
    <row r="882" spans="9:9" x14ac:dyDescent="0.35">
      <c r="I882"/>
    </row>
    <row r="883" spans="9:9" x14ac:dyDescent="0.35">
      <c r="I883"/>
    </row>
    <row r="884" spans="9:9" x14ac:dyDescent="0.35">
      <c r="I884"/>
    </row>
    <row r="885" spans="9:9" x14ac:dyDescent="0.35">
      <c r="I885"/>
    </row>
    <row r="886" spans="9:9" x14ac:dyDescent="0.35">
      <c r="I886"/>
    </row>
    <row r="887" spans="9:9" x14ac:dyDescent="0.35">
      <c r="I887"/>
    </row>
    <row r="888" spans="9:9" x14ac:dyDescent="0.35">
      <c r="I888"/>
    </row>
    <row r="889" spans="9:9" x14ac:dyDescent="0.35">
      <c r="I889"/>
    </row>
    <row r="890" spans="9:9" x14ac:dyDescent="0.35">
      <c r="I890"/>
    </row>
    <row r="891" spans="9:9" x14ac:dyDescent="0.35">
      <c r="I891"/>
    </row>
    <row r="892" spans="9:9" x14ac:dyDescent="0.35">
      <c r="I892"/>
    </row>
    <row r="893" spans="9:9" x14ac:dyDescent="0.35">
      <c r="I893"/>
    </row>
    <row r="894" spans="9:9" x14ac:dyDescent="0.35">
      <c r="I894"/>
    </row>
    <row r="895" spans="9:9" x14ac:dyDescent="0.35">
      <c r="I895"/>
    </row>
    <row r="896" spans="9:9" x14ac:dyDescent="0.35">
      <c r="I896"/>
    </row>
    <row r="897" spans="9:9" x14ac:dyDescent="0.35">
      <c r="I897"/>
    </row>
    <row r="898" spans="9:9" x14ac:dyDescent="0.35">
      <c r="I898"/>
    </row>
    <row r="899" spans="9:9" x14ac:dyDescent="0.35">
      <c r="I899"/>
    </row>
    <row r="900" spans="9:9" x14ac:dyDescent="0.35">
      <c r="I900"/>
    </row>
    <row r="901" spans="9:9" x14ac:dyDescent="0.35">
      <c r="I901"/>
    </row>
    <row r="902" spans="9:9" x14ac:dyDescent="0.35">
      <c r="I902"/>
    </row>
    <row r="903" spans="9:9" x14ac:dyDescent="0.35">
      <c r="I903"/>
    </row>
    <row r="904" spans="9:9" x14ac:dyDescent="0.35">
      <c r="I904"/>
    </row>
    <row r="905" spans="9:9" x14ac:dyDescent="0.35">
      <c r="I905"/>
    </row>
    <row r="906" spans="9:9" x14ac:dyDescent="0.35">
      <c r="I906"/>
    </row>
    <row r="907" spans="9:9" x14ac:dyDescent="0.35">
      <c r="I907"/>
    </row>
    <row r="908" spans="9:9" x14ac:dyDescent="0.35">
      <c r="I908"/>
    </row>
    <row r="909" spans="9:9" x14ac:dyDescent="0.35">
      <c r="I909"/>
    </row>
    <row r="910" spans="9:9" x14ac:dyDescent="0.35">
      <c r="I910"/>
    </row>
    <row r="911" spans="9:9" x14ac:dyDescent="0.35">
      <c r="I911"/>
    </row>
    <row r="912" spans="9:9" x14ac:dyDescent="0.35">
      <c r="I912"/>
    </row>
    <row r="913" spans="9:9" x14ac:dyDescent="0.35">
      <c r="I913"/>
    </row>
    <row r="914" spans="9:9" x14ac:dyDescent="0.35">
      <c r="I914"/>
    </row>
    <row r="915" spans="9:9" x14ac:dyDescent="0.35">
      <c r="I915"/>
    </row>
    <row r="916" spans="9:9" x14ac:dyDescent="0.35">
      <c r="I916"/>
    </row>
    <row r="917" spans="9:9" x14ac:dyDescent="0.35">
      <c r="I917"/>
    </row>
    <row r="918" spans="9:9" x14ac:dyDescent="0.35">
      <c r="I918"/>
    </row>
    <row r="919" spans="9:9" x14ac:dyDescent="0.35">
      <c r="I919"/>
    </row>
    <row r="920" spans="9:9" x14ac:dyDescent="0.35">
      <c r="I920"/>
    </row>
    <row r="921" spans="9:9" x14ac:dyDescent="0.35">
      <c r="I921"/>
    </row>
    <row r="922" spans="9:9" x14ac:dyDescent="0.35">
      <c r="I922"/>
    </row>
    <row r="923" spans="9:9" x14ac:dyDescent="0.35">
      <c r="I923"/>
    </row>
    <row r="924" spans="9:9" x14ac:dyDescent="0.35">
      <c r="I924"/>
    </row>
    <row r="925" spans="9:9" x14ac:dyDescent="0.35">
      <c r="I925"/>
    </row>
    <row r="926" spans="9:9" x14ac:dyDescent="0.35">
      <c r="I926"/>
    </row>
    <row r="927" spans="9:9" x14ac:dyDescent="0.35">
      <c r="I927"/>
    </row>
    <row r="928" spans="9:9" x14ac:dyDescent="0.35">
      <c r="I928"/>
    </row>
    <row r="929" spans="9:9" x14ac:dyDescent="0.35">
      <c r="I929"/>
    </row>
    <row r="930" spans="9:9" x14ac:dyDescent="0.35">
      <c r="I930"/>
    </row>
    <row r="931" spans="9:9" x14ac:dyDescent="0.35">
      <c r="I931"/>
    </row>
    <row r="932" spans="9:9" x14ac:dyDescent="0.35">
      <c r="I932"/>
    </row>
    <row r="933" spans="9:9" x14ac:dyDescent="0.35">
      <c r="I933"/>
    </row>
    <row r="934" spans="9:9" x14ac:dyDescent="0.35">
      <c r="I934"/>
    </row>
    <row r="935" spans="9:9" x14ac:dyDescent="0.35">
      <c r="I935"/>
    </row>
    <row r="936" spans="9:9" x14ac:dyDescent="0.35">
      <c r="I936"/>
    </row>
    <row r="937" spans="9:9" x14ac:dyDescent="0.35">
      <c r="I937"/>
    </row>
    <row r="938" spans="9:9" x14ac:dyDescent="0.35">
      <c r="I938"/>
    </row>
    <row r="939" spans="9:9" x14ac:dyDescent="0.35">
      <c r="I939"/>
    </row>
    <row r="940" spans="9:9" x14ac:dyDescent="0.35">
      <c r="I940"/>
    </row>
    <row r="941" spans="9:9" x14ac:dyDescent="0.35">
      <c r="I941"/>
    </row>
    <row r="942" spans="9:9" x14ac:dyDescent="0.35">
      <c r="I942"/>
    </row>
    <row r="943" spans="9:9" x14ac:dyDescent="0.35">
      <c r="I943"/>
    </row>
    <row r="944" spans="9:9" x14ac:dyDescent="0.35">
      <c r="I944"/>
    </row>
    <row r="945" spans="9:9" x14ac:dyDescent="0.35">
      <c r="I945"/>
    </row>
    <row r="946" spans="9:9" x14ac:dyDescent="0.35">
      <c r="I946"/>
    </row>
    <row r="947" spans="9:9" x14ac:dyDescent="0.35">
      <c r="I947"/>
    </row>
    <row r="948" spans="9:9" x14ac:dyDescent="0.35">
      <c r="I948"/>
    </row>
    <row r="949" spans="9:9" x14ac:dyDescent="0.35">
      <c r="I949"/>
    </row>
    <row r="950" spans="9:9" x14ac:dyDescent="0.35">
      <c r="I950"/>
    </row>
    <row r="951" spans="9:9" x14ac:dyDescent="0.35">
      <c r="I951"/>
    </row>
    <row r="952" spans="9:9" x14ac:dyDescent="0.35">
      <c r="I952"/>
    </row>
    <row r="953" spans="9:9" x14ac:dyDescent="0.35">
      <c r="I953"/>
    </row>
    <row r="954" spans="9:9" x14ac:dyDescent="0.35">
      <c r="I954"/>
    </row>
    <row r="955" spans="9:9" x14ac:dyDescent="0.35">
      <c r="I955"/>
    </row>
    <row r="956" spans="9:9" x14ac:dyDescent="0.35">
      <c r="I956"/>
    </row>
    <row r="957" spans="9:9" x14ac:dyDescent="0.35">
      <c r="I957"/>
    </row>
    <row r="958" spans="9:9" x14ac:dyDescent="0.35">
      <c r="I958"/>
    </row>
    <row r="959" spans="9:9" x14ac:dyDescent="0.35">
      <c r="I959"/>
    </row>
    <row r="960" spans="9:9" x14ac:dyDescent="0.35">
      <c r="I960"/>
    </row>
    <row r="961" spans="9:9" x14ac:dyDescent="0.35">
      <c r="I961"/>
    </row>
    <row r="962" spans="9:9" x14ac:dyDescent="0.35">
      <c r="I962"/>
    </row>
    <row r="963" spans="9:9" x14ac:dyDescent="0.35">
      <c r="I963"/>
    </row>
    <row r="964" spans="9:9" x14ac:dyDescent="0.35">
      <c r="I964"/>
    </row>
    <row r="965" spans="9:9" x14ac:dyDescent="0.35">
      <c r="I965"/>
    </row>
    <row r="966" spans="9:9" x14ac:dyDescent="0.35">
      <c r="I966"/>
    </row>
    <row r="967" spans="9:9" x14ac:dyDescent="0.35">
      <c r="I967"/>
    </row>
    <row r="968" spans="9:9" x14ac:dyDescent="0.35">
      <c r="I968"/>
    </row>
    <row r="969" spans="9:9" x14ac:dyDescent="0.35">
      <c r="I969"/>
    </row>
    <row r="970" spans="9:9" x14ac:dyDescent="0.35">
      <c r="I970"/>
    </row>
    <row r="971" spans="9:9" x14ac:dyDescent="0.35">
      <c r="I971"/>
    </row>
    <row r="972" spans="9:9" x14ac:dyDescent="0.35">
      <c r="I972"/>
    </row>
    <row r="973" spans="9:9" x14ac:dyDescent="0.35">
      <c r="I973"/>
    </row>
    <row r="974" spans="9:9" x14ac:dyDescent="0.35">
      <c r="I974"/>
    </row>
    <row r="975" spans="9:9" x14ac:dyDescent="0.35">
      <c r="I975"/>
    </row>
    <row r="976" spans="9:9" x14ac:dyDescent="0.35">
      <c r="I976"/>
    </row>
    <row r="977" spans="9:9" x14ac:dyDescent="0.35">
      <c r="I977"/>
    </row>
    <row r="978" spans="9:9" x14ac:dyDescent="0.35">
      <c r="I978"/>
    </row>
    <row r="979" spans="9:9" x14ac:dyDescent="0.35">
      <c r="I979"/>
    </row>
    <row r="980" spans="9:9" x14ac:dyDescent="0.35">
      <c r="I980"/>
    </row>
    <row r="981" spans="9:9" x14ac:dyDescent="0.35">
      <c r="I981"/>
    </row>
    <row r="982" spans="9:9" x14ac:dyDescent="0.35">
      <c r="I982"/>
    </row>
    <row r="983" spans="9:9" x14ac:dyDescent="0.35">
      <c r="I983"/>
    </row>
    <row r="984" spans="9:9" x14ac:dyDescent="0.35">
      <c r="I984"/>
    </row>
    <row r="985" spans="9:9" x14ac:dyDescent="0.35">
      <c r="I985"/>
    </row>
    <row r="986" spans="9:9" x14ac:dyDescent="0.35">
      <c r="I986"/>
    </row>
    <row r="987" spans="9:9" x14ac:dyDescent="0.35">
      <c r="I987"/>
    </row>
    <row r="988" spans="9:9" x14ac:dyDescent="0.35">
      <c r="I988"/>
    </row>
    <row r="989" spans="9:9" x14ac:dyDescent="0.35">
      <c r="I989"/>
    </row>
    <row r="990" spans="9:9" x14ac:dyDescent="0.35">
      <c r="I990"/>
    </row>
    <row r="991" spans="9:9" x14ac:dyDescent="0.35">
      <c r="I991"/>
    </row>
    <row r="992" spans="9:9" x14ac:dyDescent="0.35">
      <c r="I992"/>
    </row>
    <row r="993" spans="9:9" x14ac:dyDescent="0.35">
      <c r="I993"/>
    </row>
    <row r="994" spans="9:9" x14ac:dyDescent="0.35">
      <c r="I994"/>
    </row>
    <row r="995" spans="9:9" x14ac:dyDescent="0.35">
      <c r="I995"/>
    </row>
    <row r="996" spans="9:9" x14ac:dyDescent="0.35">
      <c r="I996"/>
    </row>
    <row r="997" spans="9:9" x14ac:dyDescent="0.35">
      <c r="I997"/>
    </row>
    <row r="998" spans="9:9" x14ac:dyDescent="0.35">
      <c r="I998"/>
    </row>
    <row r="999" spans="9:9" x14ac:dyDescent="0.35">
      <c r="I999"/>
    </row>
    <row r="1000" spans="9:9" x14ac:dyDescent="0.35">
      <c r="I1000"/>
    </row>
    <row r="1001" spans="9:9" x14ac:dyDescent="0.35">
      <c r="I1001"/>
    </row>
    <row r="1002" spans="9:9" x14ac:dyDescent="0.35">
      <c r="I1002"/>
    </row>
    <row r="1003" spans="9:9" x14ac:dyDescent="0.35">
      <c r="I1003"/>
    </row>
    <row r="1004" spans="9:9" x14ac:dyDescent="0.35">
      <c r="I1004"/>
    </row>
    <row r="1005" spans="9:9" x14ac:dyDescent="0.35">
      <c r="I1005"/>
    </row>
    <row r="1006" spans="9:9" x14ac:dyDescent="0.35">
      <c r="I1006"/>
    </row>
    <row r="1007" spans="9:9" x14ac:dyDescent="0.35">
      <c r="I1007"/>
    </row>
    <row r="1008" spans="9:9" x14ac:dyDescent="0.35">
      <c r="I1008"/>
    </row>
    <row r="1009" spans="9:9" x14ac:dyDescent="0.35">
      <c r="I1009"/>
    </row>
    <row r="1010" spans="9:9" x14ac:dyDescent="0.35">
      <c r="I1010"/>
    </row>
    <row r="1011" spans="9:9" x14ac:dyDescent="0.35">
      <c r="I1011"/>
    </row>
    <row r="1012" spans="9:9" x14ac:dyDescent="0.35">
      <c r="I1012"/>
    </row>
    <row r="1013" spans="9:9" x14ac:dyDescent="0.35">
      <c r="I1013"/>
    </row>
    <row r="1014" spans="9:9" x14ac:dyDescent="0.35">
      <c r="I1014"/>
    </row>
    <row r="1015" spans="9:9" x14ac:dyDescent="0.35">
      <c r="I1015"/>
    </row>
    <row r="1016" spans="9:9" x14ac:dyDescent="0.35">
      <c r="I1016"/>
    </row>
    <row r="1017" spans="9:9" x14ac:dyDescent="0.35">
      <c r="I1017"/>
    </row>
    <row r="1018" spans="9:9" x14ac:dyDescent="0.35">
      <c r="I1018"/>
    </row>
    <row r="1019" spans="9:9" x14ac:dyDescent="0.35">
      <c r="I1019"/>
    </row>
    <row r="1020" spans="9:9" x14ac:dyDescent="0.35">
      <c r="I1020"/>
    </row>
    <row r="1021" spans="9:9" x14ac:dyDescent="0.35">
      <c r="I1021"/>
    </row>
    <row r="1022" spans="9:9" x14ac:dyDescent="0.35">
      <c r="I1022"/>
    </row>
    <row r="1023" spans="9:9" x14ac:dyDescent="0.35">
      <c r="I1023"/>
    </row>
    <row r="1024" spans="9:9" x14ac:dyDescent="0.35">
      <c r="I1024"/>
    </row>
    <row r="1025" spans="9:9" x14ac:dyDescent="0.35">
      <c r="I1025"/>
    </row>
    <row r="1026" spans="9:9" x14ac:dyDescent="0.35">
      <c r="I1026"/>
    </row>
    <row r="1027" spans="9:9" x14ac:dyDescent="0.35">
      <c r="I1027"/>
    </row>
    <row r="1028" spans="9:9" x14ac:dyDescent="0.35">
      <c r="I1028"/>
    </row>
    <row r="1029" spans="9:9" x14ac:dyDescent="0.35">
      <c r="I1029"/>
    </row>
    <row r="1030" spans="9:9" x14ac:dyDescent="0.35">
      <c r="I1030"/>
    </row>
    <row r="1031" spans="9:9" x14ac:dyDescent="0.35">
      <c r="I1031"/>
    </row>
    <row r="1032" spans="9:9" x14ac:dyDescent="0.35">
      <c r="I1032"/>
    </row>
    <row r="1033" spans="9:9" x14ac:dyDescent="0.35">
      <c r="I1033"/>
    </row>
    <row r="1034" spans="9:9" x14ac:dyDescent="0.35">
      <c r="I1034"/>
    </row>
    <row r="1035" spans="9:9" x14ac:dyDescent="0.35">
      <c r="I1035"/>
    </row>
    <row r="1036" spans="9:9" x14ac:dyDescent="0.35">
      <c r="I1036"/>
    </row>
    <row r="1037" spans="9:9" x14ac:dyDescent="0.35">
      <c r="I1037"/>
    </row>
    <row r="1038" spans="9:9" x14ac:dyDescent="0.35">
      <c r="I1038"/>
    </row>
    <row r="1039" spans="9:9" x14ac:dyDescent="0.35">
      <c r="I1039"/>
    </row>
    <row r="1040" spans="9:9" x14ac:dyDescent="0.35">
      <c r="I1040"/>
    </row>
    <row r="1041" spans="9:9" x14ac:dyDescent="0.35">
      <c r="I1041"/>
    </row>
    <row r="1042" spans="9:9" x14ac:dyDescent="0.35">
      <c r="I1042"/>
    </row>
    <row r="1043" spans="9:9" x14ac:dyDescent="0.35">
      <c r="I1043"/>
    </row>
    <row r="1044" spans="9:9" x14ac:dyDescent="0.35">
      <c r="I1044"/>
    </row>
    <row r="1045" spans="9:9" x14ac:dyDescent="0.35">
      <c r="I1045"/>
    </row>
    <row r="1046" spans="9:9" x14ac:dyDescent="0.35">
      <c r="I1046"/>
    </row>
    <row r="1047" spans="9:9" x14ac:dyDescent="0.35">
      <c r="I1047"/>
    </row>
    <row r="1048" spans="9:9" x14ac:dyDescent="0.35">
      <c r="I1048"/>
    </row>
    <row r="1049" spans="9:9" x14ac:dyDescent="0.35">
      <c r="I1049"/>
    </row>
    <row r="1050" spans="9:9" x14ac:dyDescent="0.35">
      <c r="I1050"/>
    </row>
    <row r="1051" spans="9:9" x14ac:dyDescent="0.35">
      <c r="I1051"/>
    </row>
    <row r="1052" spans="9:9" x14ac:dyDescent="0.35">
      <c r="I1052"/>
    </row>
    <row r="1053" spans="9:9" x14ac:dyDescent="0.35">
      <c r="I1053"/>
    </row>
    <row r="1054" spans="9:9" x14ac:dyDescent="0.35">
      <c r="I1054"/>
    </row>
    <row r="1055" spans="9:9" x14ac:dyDescent="0.35">
      <c r="I1055"/>
    </row>
    <row r="1056" spans="9:9" x14ac:dyDescent="0.35">
      <c r="I1056"/>
    </row>
    <row r="1057" spans="9:9" x14ac:dyDescent="0.35">
      <c r="I1057"/>
    </row>
    <row r="1058" spans="9:9" x14ac:dyDescent="0.35">
      <c r="I1058"/>
    </row>
    <row r="1059" spans="9:9" x14ac:dyDescent="0.35">
      <c r="I1059"/>
    </row>
    <row r="1060" spans="9:9" x14ac:dyDescent="0.35">
      <c r="I1060"/>
    </row>
    <row r="1061" spans="9:9" x14ac:dyDescent="0.35">
      <c r="I1061"/>
    </row>
    <row r="1062" spans="9:9" x14ac:dyDescent="0.35">
      <c r="I1062"/>
    </row>
    <row r="1063" spans="9:9" x14ac:dyDescent="0.35">
      <c r="I1063"/>
    </row>
    <row r="1064" spans="9:9" x14ac:dyDescent="0.35">
      <c r="I1064"/>
    </row>
    <row r="1065" spans="9:9" x14ac:dyDescent="0.35">
      <c r="I1065"/>
    </row>
    <row r="1066" spans="9:9" x14ac:dyDescent="0.35">
      <c r="I1066"/>
    </row>
    <row r="1067" spans="9:9" x14ac:dyDescent="0.35">
      <c r="I1067"/>
    </row>
    <row r="1068" spans="9:9" x14ac:dyDescent="0.35">
      <c r="I1068"/>
    </row>
    <row r="1069" spans="9:9" x14ac:dyDescent="0.35">
      <c r="I1069"/>
    </row>
    <row r="1070" spans="9:9" x14ac:dyDescent="0.35">
      <c r="I1070"/>
    </row>
    <row r="1071" spans="9:9" x14ac:dyDescent="0.35">
      <c r="I1071"/>
    </row>
    <row r="1072" spans="9:9" x14ac:dyDescent="0.35">
      <c r="I1072"/>
    </row>
    <row r="1073" spans="9:9" x14ac:dyDescent="0.35">
      <c r="I1073"/>
    </row>
    <row r="1074" spans="9:9" x14ac:dyDescent="0.35">
      <c r="I1074"/>
    </row>
    <row r="1075" spans="9:9" x14ac:dyDescent="0.35">
      <c r="I1075"/>
    </row>
    <row r="1076" spans="9:9" x14ac:dyDescent="0.35">
      <c r="I1076"/>
    </row>
    <row r="1077" spans="9:9" x14ac:dyDescent="0.35">
      <c r="I1077"/>
    </row>
    <row r="1078" spans="9:9" x14ac:dyDescent="0.35">
      <c r="I1078"/>
    </row>
    <row r="1079" spans="9:9" x14ac:dyDescent="0.35">
      <c r="I1079"/>
    </row>
    <row r="1080" spans="9:9" x14ac:dyDescent="0.35">
      <c r="I1080"/>
    </row>
    <row r="1081" spans="9:9" x14ac:dyDescent="0.35">
      <c r="I1081"/>
    </row>
    <row r="1082" spans="9:9" x14ac:dyDescent="0.35">
      <c r="I1082"/>
    </row>
    <row r="1083" spans="9:9" x14ac:dyDescent="0.35">
      <c r="I1083"/>
    </row>
    <row r="1084" spans="9:9" x14ac:dyDescent="0.35">
      <c r="I1084"/>
    </row>
    <row r="1085" spans="9:9" x14ac:dyDescent="0.35">
      <c r="I1085"/>
    </row>
    <row r="1086" spans="9:9" x14ac:dyDescent="0.35">
      <c r="I1086" s="33"/>
    </row>
  </sheetData>
  <autoFilter ref="A1:AB1086" xr:uid="{00000000-0001-0000-0100-000000000000}"/>
  <conditionalFormatting sqref="A1:A1048576">
    <cfRule type="duplicateValues" dxfId="18" priority="4"/>
  </conditionalFormatting>
  <conditionalFormatting sqref="B1:B1048576">
    <cfRule type="duplicateValues" dxfId="17" priority="3"/>
  </conditionalFormatting>
  <conditionalFormatting sqref="C1:D1048576">
    <cfRule type="duplicateValues" dxfId="16" priority="1"/>
  </conditionalFormatting>
  <conditionalFormatting sqref="AA6">
    <cfRule type="duplicateValues" dxfId="15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7C84-0249-4257-980C-96FD83D45894}">
  <dimension ref="A1:O127"/>
  <sheetViews>
    <sheetView workbookViewId="0">
      <selection activeCell="P17" sqref="P17"/>
    </sheetView>
  </sheetViews>
  <sheetFormatPr defaultRowHeight="14.5" x14ac:dyDescent="0.35"/>
  <cols>
    <col min="2" max="2" width="10.81640625" bestFit="1" customWidth="1"/>
    <col min="7" max="7" width="13.26953125" customWidth="1"/>
    <col min="14" max="15" width="12.36328125" bestFit="1" customWidth="1"/>
  </cols>
  <sheetData>
    <row r="1" spans="1:15" x14ac:dyDescent="0.35">
      <c r="A1" t="s">
        <v>749</v>
      </c>
      <c r="B1">
        <v>1</v>
      </c>
      <c r="F1" t="s">
        <v>749</v>
      </c>
      <c r="G1">
        <v>12</v>
      </c>
    </row>
    <row r="2" spans="1:15" x14ac:dyDescent="0.35">
      <c r="A2" s="4" t="s">
        <v>62</v>
      </c>
      <c r="B2" s="4" t="s">
        <v>63</v>
      </c>
      <c r="C2" s="4" t="s">
        <v>64</v>
      </c>
      <c r="D2" s="4" t="s">
        <v>65</v>
      </c>
      <c r="F2" s="4" t="s">
        <v>62</v>
      </c>
      <c r="G2" s="4" t="s">
        <v>63</v>
      </c>
      <c r="H2" s="4" t="s">
        <v>64</v>
      </c>
      <c r="I2" s="4" t="s">
        <v>65</v>
      </c>
      <c r="N2" t="s">
        <v>750</v>
      </c>
      <c r="O2" t="s">
        <v>751</v>
      </c>
    </row>
    <row r="3" spans="1:15" x14ac:dyDescent="0.35">
      <c r="A3" s="8">
        <v>14108</v>
      </c>
      <c r="B3" s="8">
        <v>1160922247</v>
      </c>
      <c r="C3" s="8">
        <v>726862</v>
      </c>
      <c r="D3" s="8">
        <v>3763313</v>
      </c>
      <c r="F3" s="8">
        <v>14552</v>
      </c>
      <c r="G3" s="8">
        <v>12160922247</v>
      </c>
      <c r="H3" s="8">
        <v>726862</v>
      </c>
      <c r="I3" s="8">
        <v>3763313</v>
      </c>
      <c r="J3" s="22" t="s">
        <v>70</v>
      </c>
      <c r="K3" s="22" t="s">
        <v>71</v>
      </c>
      <c r="L3" s="22" t="s">
        <v>71</v>
      </c>
      <c r="N3" t="str">
        <f>IF(C3=H3,"", "Not Same")</f>
        <v/>
      </c>
      <c r="O3" t="str">
        <f>IF(D3=I3,"", "Not Same")</f>
        <v/>
      </c>
    </row>
    <row r="4" spans="1:15" x14ac:dyDescent="0.35">
      <c r="A4" s="5">
        <v>14109</v>
      </c>
      <c r="B4" s="5">
        <v>1160922248</v>
      </c>
      <c r="C4" s="5">
        <v>726861</v>
      </c>
      <c r="D4" s="5">
        <v>3763314</v>
      </c>
      <c r="F4" s="5">
        <v>14553</v>
      </c>
      <c r="G4" s="5">
        <v>12160922248</v>
      </c>
      <c r="H4" s="5">
        <v>726861</v>
      </c>
      <c r="I4" s="5">
        <v>3763314</v>
      </c>
      <c r="J4" s="6" t="s">
        <v>70</v>
      </c>
      <c r="K4" s="6" t="s">
        <v>71</v>
      </c>
      <c r="L4" s="6" t="s">
        <v>71</v>
      </c>
      <c r="N4" t="str">
        <f t="shared" ref="N4:N67" si="0">IF(C4=H4,"", "Not Same")</f>
        <v/>
      </c>
      <c r="O4" t="str">
        <f t="shared" ref="O4:O67" si="1">IF(D4=I4,"", "Not Same")</f>
        <v/>
      </c>
    </row>
    <row r="5" spans="1:15" x14ac:dyDescent="0.35">
      <c r="A5" s="5">
        <v>14110</v>
      </c>
      <c r="B5" s="5">
        <v>1160922249</v>
      </c>
      <c r="C5" s="5">
        <v>726860</v>
      </c>
      <c r="D5" s="5">
        <v>3763314</v>
      </c>
      <c r="F5" s="5">
        <v>14554</v>
      </c>
      <c r="G5" s="5">
        <v>12160922249</v>
      </c>
      <c r="H5" s="5">
        <v>726860</v>
      </c>
      <c r="I5" s="5">
        <v>3763314</v>
      </c>
      <c r="J5" s="6" t="s">
        <v>70</v>
      </c>
      <c r="K5" s="6" t="s">
        <v>71</v>
      </c>
      <c r="L5" s="6" t="s">
        <v>71</v>
      </c>
      <c r="N5" t="str">
        <f t="shared" si="0"/>
        <v/>
      </c>
      <c r="O5" t="str">
        <f t="shared" si="1"/>
        <v/>
      </c>
    </row>
    <row r="6" spans="1:15" x14ac:dyDescent="0.35">
      <c r="A6" s="5">
        <v>14111</v>
      </c>
      <c r="B6" s="5">
        <v>1160922250</v>
      </c>
      <c r="C6" s="5">
        <v>726798</v>
      </c>
      <c r="D6" s="5">
        <v>3763313</v>
      </c>
      <c r="F6" s="5">
        <v>14555</v>
      </c>
      <c r="G6" s="5">
        <v>12160922250</v>
      </c>
      <c r="H6" s="5">
        <v>726798</v>
      </c>
      <c r="I6" s="5">
        <v>3763313</v>
      </c>
      <c r="J6" s="6" t="s">
        <v>70</v>
      </c>
      <c r="K6" s="6" t="s">
        <v>71</v>
      </c>
      <c r="L6" s="6" t="s">
        <v>71</v>
      </c>
      <c r="N6" t="str">
        <f t="shared" si="0"/>
        <v/>
      </c>
      <c r="O6" t="str">
        <f t="shared" si="1"/>
        <v/>
      </c>
    </row>
    <row r="7" spans="1:15" x14ac:dyDescent="0.35">
      <c r="A7" s="5">
        <v>14112</v>
      </c>
      <c r="B7" s="5">
        <v>1160922251</v>
      </c>
      <c r="C7" s="5">
        <v>726840</v>
      </c>
      <c r="D7" s="5">
        <v>3763265</v>
      </c>
      <c r="F7" s="5">
        <v>14556</v>
      </c>
      <c r="G7" s="5">
        <v>12160922251</v>
      </c>
      <c r="H7" s="5">
        <v>726840</v>
      </c>
      <c r="I7" s="5">
        <v>3763265</v>
      </c>
      <c r="J7" s="6" t="s">
        <v>70</v>
      </c>
      <c r="K7" s="6" t="s">
        <v>71</v>
      </c>
      <c r="L7" s="6" t="s">
        <v>71</v>
      </c>
      <c r="N7" t="str">
        <f t="shared" si="0"/>
        <v/>
      </c>
      <c r="O7" t="str">
        <f t="shared" si="1"/>
        <v/>
      </c>
    </row>
    <row r="8" spans="1:15" x14ac:dyDescent="0.35">
      <c r="A8" s="5">
        <v>14113</v>
      </c>
      <c r="B8" s="5">
        <v>1160922252</v>
      </c>
      <c r="C8" s="5">
        <v>726828</v>
      </c>
      <c r="D8" s="5">
        <v>3763238</v>
      </c>
      <c r="F8" s="5">
        <v>14557</v>
      </c>
      <c r="G8" s="5">
        <v>12160922252</v>
      </c>
      <c r="H8" s="5">
        <v>726828</v>
      </c>
      <c r="I8" s="5">
        <v>3763238</v>
      </c>
      <c r="J8" s="6" t="s">
        <v>70</v>
      </c>
      <c r="K8" s="6" t="s">
        <v>71</v>
      </c>
      <c r="L8" s="6" t="s">
        <v>71</v>
      </c>
      <c r="N8" t="str">
        <f t="shared" si="0"/>
        <v/>
      </c>
      <c r="O8" t="str">
        <f t="shared" si="1"/>
        <v/>
      </c>
    </row>
    <row r="9" spans="1:15" x14ac:dyDescent="0.35">
      <c r="A9" s="5">
        <v>14114</v>
      </c>
      <c r="B9" s="5">
        <v>1160922253</v>
      </c>
      <c r="C9" s="5">
        <v>726879</v>
      </c>
      <c r="D9" s="5">
        <v>3763307</v>
      </c>
      <c r="F9" s="5">
        <v>14558</v>
      </c>
      <c r="G9" s="5">
        <v>12160922253</v>
      </c>
      <c r="H9" s="5">
        <v>726879</v>
      </c>
      <c r="I9" s="5">
        <v>3763307</v>
      </c>
      <c r="J9" s="6" t="s">
        <v>70</v>
      </c>
      <c r="K9" s="6" t="s">
        <v>71</v>
      </c>
      <c r="L9" s="6" t="s">
        <v>71</v>
      </c>
      <c r="N9" t="str">
        <f t="shared" si="0"/>
        <v/>
      </c>
      <c r="O9" t="str">
        <f t="shared" si="1"/>
        <v/>
      </c>
    </row>
    <row r="10" spans="1:15" x14ac:dyDescent="0.35">
      <c r="A10" s="5">
        <v>14115</v>
      </c>
      <c r="B10" s="5">
        <v>1160922254</v>
      </c>
      <c r="C10" s="5">
        <v>726907</v>
      </c>
      <c r="D10" s="5">
        <v>3763294</v>
      </c>
      <c r="F10" s="5">
        <v>14559</v>
      </c>
      <c r="G10" s="5">
        <v>12160922254</v>
      </c>
      <c r="H10" s="5">
        <v>726907</v>
      </c>
      <c r="I10" s="5">
        <v>3763294</v>
      </c>
      <c r="J10" s="6" t="s">
        <v>70</v>
      </c>
      <c r="K10" s="6" t="s">
        <v>71</v>
      </c>
      <c r="L10" s="6" t="s">
        <v>71</v>
      </c>
      <c r="N10" t="str">
        <f t="shared" si="0"/>
        <v/>
      </c>
      <c r="O10" t="str">
        <f t="shared" si="1"/>
        <v/>
      </c>
    </row>
    <row r="11" spans="1:15" x14ac:dyDescent="0.35">
      <c r="A11" s="5">
        <v>14116</v>
      </c>
      <c r="B11" s="5">
        <v>1160922255</v>
      </c>
      <c r="C11" s="5">
        <v>726941</v>
      </c>
      <c r="D11" s="5">
        <v>3763279</v>
      </c>
      <c r="F11" s="5">
        <v>14560</v>
      </c>
      <c r="G11" s="5">
        <v>12160922255</v>
      </c>
      <c r="H11" s="5">
        <v>726941</v>
      </c>
      <c r="I11" s="5">
        <v>3763279</v>
      </c>
      <c r="J11" s="6" t="s">
        <v>70</v>
      </c>
      <c r="K11" s="6" t="s">
        <v>71</v>
      </c>
      <c r="L11" s="6" t="s">
        <v>71</v>
      </c>
      <c r="N11" t="str">
        <f t="shared" si="0"/>
        <v/>
      </c>
      <c r="O11" t="str">
        <f t="shared" si="1"/>
        <v/>
      </c>
    </row>
    <row r="12" spans="1:15" x14ac:dyDescent="0.35">
      <c r="A12" s="5">
        <v>14117</v>
      </c>
      <c r="B12" s="5">
        <v>1160922256</v>
      </c>
      <c r="C12" s="5">
        <v>726942</v>
      </c>
      <c r="D12" s="5">
        <v>3763279</v>
      </c>
      <c r="F12" s="5">
        <v>14561</v>
      </c>
      <c r="G12" s="5">
        <v>12160922256</v>
      </c>
      <c r="H12" s="5">
        <v>726941.1</v>
      </c>
      <c r="I12" s="5">
        <v>3763279.3</v>
      </c>
      <c r="J12" s="6" t="s">
        <v>70</v>
      </c>
      <c r="K12" s="6" t="s">
        <v>71</v>
      </c>
      <c r="L12" s="6" t="s">
        <v>71</v>
      </c>
      <c r="N12" t="str">
        <f t="shared" si="0"/>
        <v>Not Same</v>
      </c>
      <c r="O12" t="str">
        <f t="shared" si="1"/>
        <v>Not Same</v>
      </c>
    </row>
    <row r="13" spans="1:15" x14ac:dyDescent="0.35">
      <c r="A13" s="5">
        <v>14118</v>
      </c>
      <c r="B13" s="5">
        <v>1160922257</v>
      </c>
      <c r="C13" s="5">
        <v>726940</v>
      </c>
      <c r="D13" s="5">
        <v>3763279</v>
      </c>
      <c r="F13" s="5">
        <v>14562</v>
      </c>
      <c r="G13" s="5">
        <v>12160922257</v>
      </c>
      <c r="H13" s="5">
        <v>726941.2</v>
      </c>
      <c r="I13" s="5">
        <v>3763279.4</v>
      </c>
      <c r="J13" s="6" t="s">
        <v>70</v>
      </c>
      <c r="K13" s="6" t="s">
        <v>71</v>
      </c>
      <c r="L13" s="6" t="s">
        <v>71</v>
      </c>
      <c r="N13" t="str">
        <f t="shared" si="0"/>
        <v>Not Same</v>
      </c>
      <c r="O13" t="str">
        <f t="shared" si="1"/>
        <v>Not Same</v>
      </c>
    </row>
    <row r="14" spans="1:15" x14ac:dyDescent="0.35">
      <c r="A14" s="5">
        <v>14119</v>
      </c>
      <c r="B14" s="5">
        <v>1160922258</v>
      </c>
      <c r="C14" s="5">
        <v>726994</v>
      </c>
      <c r="D14" s="5">
        <v>3763250</v>
      </c>
      <c r="F14" s="5">
        <v>14563</v>
      </c>
      <c r="G14" s="5">
        <v>12160922258</v>
      </c>
      <c r="H14" s="5">
        <v>726994</v>
      </c>
      <c r="I14" s="5">
        <v>3763250</v>
      </c>
      <c r="J14" s="6" t="s">
        <v>70</v>
      </c>
      <c r="K14" s="6" t="s">
        <v>71</v>
      </c>
      <c r="L14" s="6" t="s">
        <v>71</v>
      </c>
      <c r="N14" t="str">
        <f t="shared" si="0"/>
        <v/>
      </c>
      <c r="O14" t="str">
        <f t="shared" si="1"/>
        <v/>
      </c>
    </row>
    <row r="15" spans="1:15" x14ac:dyDescent="0.35">
      <c r="A15" s="5">
        <v>14120</v>
      </c>
      <c r="B15" s="5">
        <v>1160922259</v>
      </c>
      <c r="C15" s="5">
        <v>726973</v>
      </c>
      <c r="D15" s="5">
        <v>3763206</v>
      </c>
      <c r="F15" s="5">
        <v>14564</v>
      </c>
      <c r="G15" s="5">
        <v>12160922259</v>
      </c>
      <c r="H15" s="5">
        <v>726973</v>
      </c>
      <c r="I15" s="5">
        <v>3763206</v>
      </c>
      <c r="J15" s="6" t="s">
        <v>70</v>
      </c>
      <c r="K15" s="6" t="s">
        <v>71</v>
      </c>
      <c r="L15" s="6" t="s">
        <v>71</v>
      </c>
      <c r="N15" t="str">
        <f t="shared" si="0"/>
        <v/>
      </c>
      <c r="O15" t="str">
        <f t="shared" si="1"/>
        <v/>
      </c>
    </row>
    <row r="16" spans="1:15" x14ac:dyDescent="0.35">
      <c r="A16" s="5">
        <v>14121</v>
      </c>
      <c r="B16" s="5">
        <v>1160922260</v>
      </c>
      <c r="C16" s="5">
        <v>726930</v>
      </c>
      <c r="D16" s="5">
        <v>3763223</v>
      </c>
      <c r="F16" s="5">
        <v>14565</v>
      </c>
      <c r="G16" s="5">
        <v>12160922260</v>
      </c>
      <c r="H16" s="5">
        <v>726930</v>
      </c>
      <c r="I16" s="5">
        <v>3763223</v>
      </c>
      <c r="J16" s="6" t="s">
        <v>70</v>
      </c>
      <c r="K16" s="6" t="s">
        <v>71</v>
      </c>
      <c r="L16" s="6" t="s">
        <v>71</v>
      </c>
      <c r="N16" t="str">
        <f t="shared" si="0"/>
        <v/>
      </c>
      <c r="O16" t="str">
        <f t="shared" si="1"/>
        <v/>
      </c>
    </row>
    <row r="17" spans="1:15" x14ac:dyDescent="0.35">
      <c r="A17" s="5">
        <v>14122</v>
      </c>
      <c r="B17" s="5">
        <v>1160922261</v>
      </c>
      <c r="C17" s="5">
        <v>727035</v>
      </c>
      <c r="D17" s="5">
        <v>3763233</v>
      </c>
      <c r="F17" s="5">
        <v>14566</v>
      </c>
      <c r="G17" s="5">
        <v>12160922261</v>
      </c>
      <c r="H17" s="5">
        <v>727035</v>
      </c>
      <c r="I17" s="5">
        <v>3763233</v>
      </c>
      <c r="J17" s="6" t="s">
        <v>70</v>
      </c>
      <c r="K17" s="6" t="s">
        <v>71</v>
      </c>
      <c r="L17" s="6" t="s">
        <v>71</v>
      </c>
      <c r="N17" t="str">
        <f t="shared" si="0"/>
        <v/>
      </c>
      <c r="O17" t="str">
        <f t="shared" si="1"/>
        <v/>
      </c>
    </row>
    <row r="18" spans="1:15" x14ac:dyDescent="0.35">
      <c r="A18" s="5">
        <v>14123</v>
      </c>
      <c r="B18" s="5">
        <v>1160922262</v>
      </c>
      <c r="C18" s="5">
        <v>727035</v>
      </c>
      <c r="D18" s="5">
        <v>3763233</v>
      </c>
      <c r="F18" s="5">
        <v>14567</v>
      </c>
      <c r="G18" s="5">
        <v>12160922262</v>
      </c>
      <c r="H18" s="5">
        <v>727035.1</v>
      </c>
      <c r="I18" s="5">
        <v>3763233.3</v>
      </c>
      <c r="J18" s="6" t="s">
        <v>70</v>
      </c>
      <c r="K18" s="6" t="s">
        <v>71</v>
      </c>
      <c r="L18" s="6" t="s">
        <v>71</v>
      </c>
      <c r="N18" t="str">
        <f t="shared" si="0"/>
        <v>Not Same</v>
      </c>
      <c r="O18" t="str">
        <f t="shared" si="1"/>
        <v>Not Same</v>
      </c>
    </row>
    <row r="19" spans="1:15" x14ac:dyDescent="0.35">
      <c r="A19" s="5">
        <v>14124</v>
      </c>
      <c r="B19" s="5">
        <v>1160922263</v>
      </c>
      <c r="C19" s="5">
        <v>727036</v>
      </c>
      <c r="D19" s="5">
        <v>3763234</v>
      </c>
      <c r="F19" s="5">
        <v>14568</v>
      </c>
      <c r="G19" s="5">
        <v>12160922263</v>
      </c>
      <c r="H19" s="5">
        <v>727035.2</v>
      </c>
      <c r="I19" s="5">
        <v>3763233.4</v>
      </c>
      <c r="J19" s="6" t="s">
        <v>70</v>
      </c>
      <c r="K19" s="6" t="s">
        <v>71</v>
      </c>
      <c r="L19" s="6" t="s">
        <v>71</v>
      </c>
      <c r="N19" t="str">
        <f t="shared" si="0"/>
        <v>Not Same</v>
      </c>
      <c r="O19" t="str">
        <f t="shared" si="1"/>
        <v>Not Same</v>
      </c>
    </row>
    <row r="20" spans="1:15" x14ac:dyDescent="0.35">
      <c r="A20" s="5">
        <v>14125</v>
      </c>
      <c r="B20" s="5">
        <v>1160922264</v>
      </c>
      <c r="C20" s="5">
        <v>727074</v>
      </c>
      <c r="D20" s="5">
        <v>3763215</v>
      </c>
      <c r="F20" s="5">
        <v>14569</v>
      </c>
      <c r="G20" s="5">
        <v>12160922264</v>
      </c>
      <c r="H20" s="5">
        <v>727074</v>
      </c>
      <c r="I20" s="5">
        <v>3763215</v>
      </c>
      <c r="J20" s="6" t="s">
        <v>70</v>
      </c>
      <c r="K20" s="6" t="s">
        <v>71</v>
      </c>
      <c r="L20" s="6" t="s">
        <v>71</v>
      </c>
      <c r="N20" t="str">
        <f t="shared" si="0"/>
        <v/>
      </c>
      <c r="O20" t="str">
        <f t="shared" si="1"/>
        <v/>
      </c>
    </row>
    <row r="21" spans="1:15" x14ac:dyDescent="0.35">
      <c r="A21" s="5">
        <v>14126</v>
      </c>
      <c r="B21" s="5">
        <v>1160922265</v>
      </c>
      <c r="C21" s="5">
        <v>727075</v>
      </c>
      <c r="D21" s="5">
        <v>3763215</v>
      </c>
      <c r="F21" s="5">
        <v>14570</v>
      </c>
      <c r="G21" s="5">
        <v>12160922265</v>
      </c>
      <c r="H21" s="5">
        <v>727075</v>
      </c>
      <c r="I21" s="5">
        <v>3763215</v>
      </c>
      <c r="J21" s="6" t="s">
        <v>70</v>
      </c>
      <c r="K21" s="6" t="s">
        <v>71</v>
      </c>
      <c r="L21" s="6" t="s">
        <v>71</v>
      </c>
      <c r="N21" t="str">
        <f t="shared" si="0"/>
        <v/>
      </c>
      <c r="O21" t="str">
        <f t="shared" si="1"/>
        <v/>
      </c>
    </row>
    <row r="22" spans="1:15" x14ac:dyDescent="0.35">
      <c r="A22" s="5">
        <v>14127</v>
      </c>
      <c r="B22" s="5">
        <v>1160922266</v>
      </c>
      <c r="C22" s="5">
        <v>727073</v>
      </c>
      <c r="D22" s="5">
        <v>3763216</v>
      </c>
      <c r="F22" s="5">
        <v>14571</v>
      </c>
      <c r="G22" s="5">
        <v>12160922266</v>
      </c>
      <c r="H22" s="5">
        <v>727073</v>
      </c>
      <c r="I22" s="5">
        <v>3763216</v>
      </c>
      <c r="J22" s="6" t="s">
        <v>70</v>
      </c>
      <c r="K22" s="6" t="s">
        <v>71</v>
      </c>
      <c r="L22" s="6" t="s">
        <v>71</v>
      </c>
      <c r="N22" t="str">
        <f t="shared" si="0"/>
        <v/>
      </c>
      <c r="O22" t="str">
        <f t="shared" si="1"/>
        <v/>
      </c>
    </row>
    <row r="23" spans="1:15" x14ac:dyDescent="0.35">
      <c r="A23" s="5">
        <v>14128</v>
      </c>
      <c r="B23" s="5">
        <v>1160922267</v>
      </c>
      <c r="C23" s="5">
        <v>727123</v>
      </c>
      <c r="D23" s="5">
        <v>3763192</v>
      </c>
      <c r="F23" s="5">
        <v>14572</v>
      </c>
      <c r="G23" s="5">
        <v>12160922267</v>
      </c>
      <c r="H23" s="5">
        <v>727123</v>
      </c>
      <c r="I23" s="5">
        <v>3763192</v>
      </c>
      <c r="J23" s="6" t="s">
        <v>70</v>
      </c>
      <c r="K23" s="6" t="s">
        <v>71</v>
      </c>
      <c r="L23" s="6" t="s">
        <v>71</v>
      </c>
      <c r="N23" t="str">
        <f t="shared" si="0"/>
        <v/>
      </c>
      <c r="O23" t="str">
        <f t="shared" si="1"/>
        <v/>
      </c>
    </row>
    <row r="24" spans="1:15" x14ac:dyDescent="0.35">
      <c r="A24" s="5">
        <v>14129</v>
      </c>
      <c r="B24" s="5">
        <v>1160922268</v>
      </c>
      <c r="C24" s="5">
        <v>727089</v>
      </c>
      <c r="D24" s="5">
        <v>3763240</v>
      </c>
      <c r="F24" s="5">
        <v>14573</v>
      </c>
      <c r="G24" s="5">
        <v>12160922268</v>
      </c>
      <c r="H24" s="5">
        <v>727089</v>
      </c>
      <c r="I24" s="5">
        <v>3763240</v>
      </c>
      <c r="J24" s="6" t="s">
        <v>70</v>
      </c>
      <c r="K24" s="6" t="s">
        <v>71</v>
      </c>
      <c r="L24" s="6" t="s">
        <v>71</v>
      </c>
      <c r="N24" t="str">
        <f t="shared" si="0"/>
        <v/>
      </c>
      <c r="O24" t="str">
        <f t="shared" si="1"/>
        <v/>
      </c>
    </row>
    <row r="25" spans="1:15" x14ac:dyDescent="0.35">
      <c r="A25" s="5">
        <v>14130</v>
      </c>
      <c r="B25" s="5">
        <v>1160922269</v>
      </c>
      <c r="C25" s="5">
        <v>727058</v>
      </c>
      <c r="D25" s="5">
        <v>3763176</v>
      </c>
      <c r="F25" s="5">
        <v>14574</v>
      </c>
      <c r="G25" s="5">
        <v>12160922269</v>
      </c>
      <c r="H25" s="5">
        <v>727058</v>
      </c>
      <c r="I25" s="5">
        <v>3763176</v>
      </c>
      <c r="J25" s="6" t="s">
        <v>70</v>
      </c>
      <c r="K25" s="6" t="s">
        <v>71</v>
      </c>
      <c r="L25" s="6" t="s">
        <v>71</v>
      </c>
      <c r="N25" t="str">
        <f t="shared" si="0"/>
        <v/>
      </c>
      <c r="O25" t="str">
        <f t="shared" si="1"/>
        <v/>
      </c>
    </row>
    <row r="26" spans="1:15" x14ac:dyDescent="0.35">
      <c r="A26" s="5">
        <v>14131</v>
      </c>
      <c r="B26" s="5">
        <v>1160922270</v>
      </c>
      <c r="C26" s="5">
        <v>727058</v>
      </c>
      <c r="D26" s="5">
        <v>3763176</v>
      </c>
      <c r="F26" s="5">
        <v>14575</v>
      </c>
      <c r="G26" s="5">
        <v>12160922270</v>
      </c>
      <c r="H26" s="5">
        <v>727058.1</v>
      </c>
      <c r="I26" s="5">
        <v>3763176.3</v>
      </c>
      <c r="J26" s="6" t="s">
        <v>70</v>
      </c>
      <c r="K26" s="6" t="s">
        <v>71</v>
      </c>
      <c r="L26" s="6" t="s">
        <v>71</v>
      </c>
      <c r="N26" t="str">
        <f t="shared" si="0"/>
        <v>Not Same</v>
      </c>
      <c r="O26" t="str">
        <f t="shared" si="1"/>
        <v>Not Same</v>
      </c>
    </row>
    <row r="27" spans="1:15" x14ac:dyDescent="0.35">
      <c r="A27" s="5">
        <v>14132</v>
      </c>
      <c r="B27" s="5">
        <v>1160922271</v>
      </c>
      <c r="C27" s="5">
        <v>727058</v>
      </c>
      <c r="D27" s="5">
        <v>3763176</v>
      </c>
      <c r="F27" s="5">
        <v>14576</v>
      </c>
      <c r="G27" s="5">
        <v>12160922271</v>
      </c>
      <c r="H27" s="5">
        <v>727058.2</v>
      </c>
      <c r="I27" s="5">
        <v>3763176.4</v>
      </c>
      <c r="J27" s="6" t="s">
        <v>70</v>
      </c>
      <c r="K27" s="6" t="s">
        <v>71</v>
      </c>
      <c r="L27" s="6" t="s">
        <v>71</v>
      </c>
      <c r="N27" t="str">
        <f t="shared" si="0"/>
        <v>Not Same</v>
      </c>
      <c r="O27" t="str">
        <f t="shared" si="1"/>
        <v>Not Same</v>
      </c>
    </row>
    <row r="28" spans="1:15" x14ac:dyDescent="0.35">
      <c r="A28" s="5">
        <v>14133</v>
      </c>
      <c r="B28" s="5">
        <v>1160922272</v>
      </c>
      <c r="C28" s="5">
        <v>727089</v>
      </c>
      <c r="D28" s="5">
        <v>3763158</v>
      </c>
      <c r="F28" s="5">
        <v>14577</v>
      </c>
      <c r="G28" s="5">
        <v>12160922272</v>
      </c>
      <c r="H28" s="5">
        <v>727089</v>
      </c>
      <c r="I28" s="5">
        <v>3763158</v>
      </c>
      <c r="J28" s="6" t="s">
        <v>70</v>
      </c>
      <c r="K28" s="6" t="s">
        <v>71</v>
      </c>
      <c r="L28" s="6" t="s">
        <v>71</v>
      </c>
      <c r="N28" t="str">
        <f t="shared" si="0"/>
        <v/>
      </c>
      <c r="O28" t="str">
        <f t="shared" si="1"/>
        <v/>
      </c>
    </row>
    <row r="29" spans="1:15" x14ac:dyDescent="0.35">
      <c r="A29" s="5">
        <v>14134</v>
      </c>
      <c r="B29" s="5">
        <v>1160922273</v>
      </c>
      <c r="C29" s="5">
        <v>727041</v>
      </c>
      <c r="D29" s="5">
        <v>3763143</v>
      </c>
      <c r="F29" s="5">
        <v>14578</v>
      </c>
      <c r="G29" s="5">
        <v>12160922273</v>
      </c>
      <c r="H29" s="5">
        <v>727041</v>
      </c>
      <c r="I29" s="5">
        <v>3763143</v>
      </c>
      <c r="J29" s="6" t="s">
        <v>70</v>
      </c>
      <c r="K29" s="6" t="s">
        <v>71</v>
      </c>
      <c r="L29" s="6" t="s">
        <v>71</v>
      </c>
      <c r="N29" t="str">
        <f t="shared" si="0"/>
        <v/>
      </c>
      <c r="O29" t="str">
        <f t="shared" si="1"/>
        <v/>
      </c>
    </row>
    <row r="30" spans="1:15" x14ac:dyDescent="0.35">
      <c r="A30" s="5">
        <v>14135</v>
      </c>
      <c r="B30" s="5">
        <v>1160922274</v>
      </c>
      <c r="C30" s="5">
        <v>727041</v>
      </c>
      <c r="D30" s="5">
        <v>3763140</v>
      </c>
      <c r="F30" s="5">
        <v>14579</v>
      </c>
      <c r="G30" s="5">
        <v>12160922274</v>
      </c>
      <c r="H30" s="5">
        <v>727041</v>
      </c>
      <c r="I30" s="5">
        <v>3763140</v>
      </c>
      <c r="J30" s="6" t="s">
        <v>70</v>
      </c>
      <c r="K30" s="6" t="s">
        <v>71</v>
      </c>
      <c r="L30" s="6" t="s">
        <v>71</v>
      </c>
      <c r="N30" t="str">
        <f t="shared" si="0"/>
        <v/>
      </c>
      <c r="O30" t="str">
        <f t="shared" si="1"/>
        <v/>
      </c>
    </row>
    <row r="31" spans="1:15" x14ac:dyDescent="0.35">
      <c r="A31" s="5">
        <v>14136</v>
      </c>
      <c r="B31" s="5">
        <v>1160922275</v>
      </c>
      <c r="C31" s="5">
        <v>727041</v>
      </c>
      <c r="D31" s="5">
        <v>3763142</v>
      </c>
      <c r="F31" s="5">
        <v>14580</v>
      </c>
      <c r="G31" s="5">
        <v>12160922275</v>
      </c>
      <c r="H31" s="5">
        <v>727041</v>
      </c>
      <c r="I31" s="5">
        <v>3763142</v>
      </c>
      <c r="J31" s="6" t="s">
        <v>70</v>
      </c>
      <c r="K31" s="6" t="s">
        <v>71</v>
      </c>
      <c r="L31" s="6" t="s">
        <v>71</v>
      </c>
      <c r="N31" t="str">
        <f t="shared" si="0"/>
        <v/>
      </c>
      <c r="O31" t="str">
        <f t="shared" si="1"/>
        <v/>
      </c>
    </row>
    <row r="32" spans="1:15" x14ac:dyDescent="0.35">
      <c r="A32" s="5">
        <v>14137</v>
      </c>
      <c r="B32" s="5">
        <v>1160922276</v>
      </c>
      <c r="C32" s="5">
        <v>727008</v>
      </c>
      <c r="D32" s="5">
        <v>3763158</v>
      </c>
      <c r="F32" s="5">
        <v>14581</v>
      </c>
      <c r="G32" s="5">
        <v>12160922276</v>
      </c>
      <c r="H32" s="5">
        <v>727008</v>
      </c>
      <c r="I32" s="5">
        <v>3763158</v>
      </c>
      <c r="J32" s="6" t="s">
        <v>70</v>
      </c>
      <c r="K32" s="6" t="s">
        <v>71</v>
      </c>
      <c r="L32" s="6" t="s">
        <v>71</v>
      </c>
      <c r="N32" t="str">
        <f t="shared" si="0"/>
        <v/>
      </c>
      <c r="O32" t="str">
        <f t="shared" si="1"/>
        <v/>
      </c>
    </row>
    <row r="33" spans="1:15" x14ac:dyDescent="0.35">
      <c r="A33" s="5">
        <v>14138</v>
      </c>
      <c r="B33" s="5">
        <v>1160922277</v>
      </c>
      <c r="C33" s="5">
        <v>726991</v>
      </c>
      <c r="D33" s="5">
        <v>3763128</v>
      </c>
      <c r="F33" s="5">
        <v>14582</v>
      </c>
      <c r="G33" s="5">
        <v>12160922277</v>
      </c>
      <c r="H33" s="5">
        <v>726991</v>
      </c>
      <c r="I33" s="5">
        <v>3763128</v>
      </c>
      <c r="J33" s="6" t="s">
        <v>70</v>
      </c>
      <c r="K33" s="6" t="s">
        <v>71</v>
      </c>
      <c r="L33" s="6" t="s">
        <v>71</v>
      </c>
      <c r="N33" t="str">
        <f t="shared" si="0"/>
        <v/>
      </c>
      <c r="O33" t="str">
        <f t="shared" si="1"/>
        <v/>
      </c>
    </row>
    <row r="34" spans="1:15" x14ac:dyDescent="0.35">
      <c r="A34" s="5">
        <v>14139</v>
      </c>
      <c r="B34" s="5">
        <v>1160922278</v>
      </c>
      <c r="C34" s="5">
        <v>727024</v>
      </c>
      <c r="D34" s="5">
        <v>3763103</v>
      </c>
      <c r="F34" s="5">
        <v>14583</v>
      </c>
      <c r="G34" s="5">
        <v>12160922278</v>
      </c>
      <c r="H34" s="5">
        <v>727024</v>
      </c>
      <c r="I34" s="5">
        <v>3763103</v>
      </c>
      <c r="J34" s="6" t="s">
        <v>70</v>
      </c>
      <c r="K34" s="6" t="s">
        <v>71</v>
      </c>
      <c r="L34" s="6" t="s">
        <v>71</v>
      </c>
      <c r="N34" t="str">
        <f t="shared" si="0"/>
        <v/>
      </c>
      <c r="O34" t="str">
        <f t="shared" si="1"/>
        <v/>
      </c>
    </row>
    <row r="35" spans="1:15" x14ac:dyDescent="0.35">
      <c r="A35" s="5">
        <v>14140</v>
      </c>
      <c r="B35" s="5">
        <v>1160922279</v>
      </c>
      <c r="C35" s="5">
        <v>726968</v>
      </c>
      <c r="D35" s="5">
        <v>3763337</v>
      </c>
      <c r="F35" s="5">
        <v>14584</v>
      </c>
      <c r="G35" s="5">
        <v>12160922279</v>
      </c>
      <c r="H35" s="5">
        <v>726968</v>
      </c>
      <c r="I35" s="5">
        <v>3763337</v>
      </c>
      <c r="J35" s="6" t="s">
        <v>70</v>
      </c>
      <c r="K35" s="6" t="s">
        <v>71</v>
      </c>
      <c r="L35" s="6" t="s">
        <v>71</v>
      </c>
      <c r="N35" t="str">
        <f t="shared" si="0"/>
        <v/>
      </c>
      <c r="O35" t="str">
        <f t="shared" si="1"/>
        <v/>
      </c>
    </row>
    <row r="36" spans="1:15" x14ac:dyDescent="0.35">
      <c r="A36" s="5">
        <v>14141</v>
      </c>
      <c r="B36" s="5">
        <v>1160922280</v>
      </c>
      <c r="C36" s="5">
        <v>726920</v>
      </c>
      <c r="D36" s="5">
        <v>3763366</v>
      </c>
      <c r="F36" s="5">
        <v>14585</v>
      </c>
      <c r="G36" s="5">
        <v>12160922280</v>
      </c>
      <c r="H36" s="5">
        <v>726920</v>
      </c>
      <c r="I36" s="5">
        <v>3763366</v>
      </c>
      <c r="J36" s="6" t="s">
        <v>70</v>
      </c>
      <c r="K36" s="6" t="s">
        <v>70</v>
      </c>
      <c r="L36" s="6" t="s">
        <v>70</v>
      </c>
      <c r="N36" t="str">
        <f t="shared" si="0"/>
        <v/>
      </c>
      <c r="O36" t="str">
        <f t="shared" si="1"/>
        <v/>
      </c>
    </row>
    <row r="37" spans="1:15" x14ac:dyDescent="0.35">
      <c r="A37" s="5">
        <v>14142</v>
      </c>
      <c r="B37" s="5">
        <v>1160922281</v>
      </c>
      <c r="C37" s="5">
        <v>727022</v>
      </c>
      <c r="D37" s="5">
        <v>3763313</v>
      </c>
      <c r="F37" s="5">
        <v>14586</v>
      </c>
      <c r="G37" s="5">
        <v>12160922281</v>
      </c>
      <c r="H37" s="5">
        <v>727022</v>
      </c>
      <c r="I37" s="5">
        <v>3763313</v>
      </c>
      <c r="J37" s="6" t="s">
        <v>70</v>
      </c>
      <c r="K37" s="6" t="s">
        <v>71</v>
      </c>
      <c r="L37" s="6" t="s">
        <v>71</v>
      </c>
      <c r="N37" t="str">
        <f t="shared" si="0"/>
        <v/>
      </c>
      <c r="O37" t="str">
        <f t="shared" si="1"/>
        <v/>
      </c>
    </row>
    <row r="38" spans="1:15" x14ac:dyDescent="0.35">
      <c r="A38" s="5">
        <v>14143</v>
      </c>
      <c r="B38" s="5">
        <v>1160922282</v>
      </c>
      <c r="C38" s="5">
        <v>727037</v>
      </c>
      <c r="D38" s="5">
        <v>3763349</v>
      </c>
      <c r="F38" s="5">
        <v>14587</v>
      </c>
      <c r="G38" s="5">
        <v>12160922282</v>
      </c>
      <c r="H38" s="5">
        <v>727037</v>
      </c>
      <c r="I38" s="5">
        <v>3763349</v>
      </c>
      <c r="J38" s="6" t="s">
        <v>70</v>
      </c>
      <c r="K38" s="6" t="s">
        <v>71</v>
      </c>
      <c r="L38" s="6" t="s">
        <v>71</v>
      </c>
      <c r="N38" t="str">
        <f t="shared" si="0"/>
        <v/>
      </c>
      <c r="O38" t="str">
        <f t="shared" si="1"/>
        <v/>
      </c>
    </row>
    <row r="39" spans="1:15" x14ac:dyDescent="0.35">
      <c r="A39" s="5">
        <v>14144</v>
      </c>
      <c r="B39" s="5">
        <v>1160922283</v>
      </c>
      <c r="C39" s="5">
        <v>727037</v>
      </c>
      <c r="D39" s="5">
        <v>3763349</v>
      </c>
      <c r="F39" s="5">
        <v>14588</v>
      </c>
      <c r="G39" s="5">
        <v>12160922283</v>
      </c>
      <c r="H39" s="5">
        <v>727037.1</v>
      </c>
      <c r="I39" s="5">
        <v>3763349.3</v>
      </c>
      <c r="J39" s="6" t="s">
        <v>70</v>
      </c>
      <c r="K39" s="6" t="s">
        <v>71</v>
      </c>
      <c r="L39" s="6" t="s">
        <v>71</v>
      </c>
      <c r="N39" t="str">
        <f t="shared" si="0"/>
        <v>Not Same</v>
      </c>
      <c r="O39" t="str">
        <f t="shared" si="1"/>
        <v>Not Same</v>
      </c>
    </row>
    <row r="40" spans="1:15" x14ac:dyDescent="0.35">
      <c r="A40" s="5">
        <v>14145</v>
      </c>
      <c r="B40" s="5">
        <v>1160922284</v>
      </c>
      <c r="C40" s="5">
        <v>727037</v>
      </c>
      <c r="D40" s="5">
        <v>3763350</v>
      </c>
      <c r="F40" s="5">
        <v>14589</v>
      </c>
      <c r="G40" s="5">
        <v>12160922284</v>
      </c>
      <c r="H40" s="5">
        <v>727037.2</v>
      </c>
      <c r="I40" s="5">
        <v>3763349.4</v>
      </c>
      <c r="J40" s="6" t="s">
        <v>70</v>
      </c>
      <c r="K40" s="6" t="s">
        <v>71</v>
      </c>
      <c r="L40" s="6" t="s">
        <v>71</v>
      </c>
      <c r="N40" t="str">
        <f t="shared" si="0"/>
        <v>Not Same</v>
      </c>
      <c r="O40" t="str">
        <f t="shared" si="1"/>
        <v>Not Same</v>
      </c>
    </row>
    <row r="41" spans="1:15" x14ac:dyDescent="0.35">
      <c r="A41" s="5">
        <v>14146</v>
      </c>
      <c r="B41" s="5">
        <v>1160922285</v>
      </c>
      <c r="C41" s="5">
        <v>727058</v>
      </c>
      <c r="D41" s="5">
        <v>3763392</v>
      </c>
      <c r="F41" s="5">
        <v>14590</v>
      </c>
      <c r="G41" s="5">
        <v>12160922285</v>
      </c>
      <c r="H41" s="5">
        <v>727058</v>
      </c>
      <c r="I41" s="5">
        <v>3763392</v>
      </c>
      <c r="J41" s="6" t="s">
        <v>70</v>
      </c>
      <c r="K41" s="6" t="s">
        <v>71</v>
      </c>
      <c r="L41" s="6" t="s">
        <v>71</v>
      </c>
      <c r="N41" t="str">
        <f t="shared" si="0"/>
        <v/>
      </c>
      <c r="O41" t="str">
        <f t="shared" si="1"/>
        <v/>
      </c>
    </row>
    <row r="42" spans="1:15" x14ac:dyDescent="0.35">
      <c r="A42" s="5">
        <v>14147</v>
      </c>
      <c r="B42" s="5">
        <v>1160922286</v>
      </c>
      <c r="C42" s="5">
        <v>727079</v>
      </c>
      <c r="D42" s="5">
        <v>3763434</v>
      </c>
      <c r="F42" s="5">
        <v>14591</v>
      </c>
      <c r="G42" s="5">
        <v>12160922286</v>
      </c>
      <c r="H42" s="5">
        <v>727079</v>
      </c>
      <c r="I42" s="5">
        <v>3763434</v>
      </c>
      <c r="J42" s="6" t="s">
        <v>70</v>
      </c>
      <c r="K42" s="6" t="s">
        <v>71</v>
      </c>
      <c r="L42" s="6" t="s">
        <v>71</v>
      </c>
      <c r="N42" t="str">
        <f t="shared" si="0"/>
        <v/>
      </c>
      <c r="O42" t="str">
        <f t="shared" si="1"/>
        <v/>
      </c>
    </row>
    <row r="43" spans="1:15" x14ac:dyDescent="0.35">
      <c r="A43" s="5">
        <v>14148</v>
      </c>
      <c r="B43" s="5">
        <v>1160922287</v>
      </c>
      <c r="C43" s="5">
        <v>727056</v>
      </c>
      <c r="D43" s="5">
        <v>3763292</v>
      </c>
      <c r="F43" s="5">
        <v>14592</v>
      </c>
      <c r="G43" s="5">
        <v>12160922287</v>
      </c>
      <c r="H43" s="5">
        <v>727056</v>
      </c>
      <c r="I43" s="5">
        <v>3763292</v>
      </c>
      <c r="J43" s="6" t="s">
        <v>70</v>
      </c>
      <c r="K43" s="6" t="s">
        <v>71</v>
      </c>
      <c r="L43" s="6" t="s">
        <v>71</v>
      </c>
      <c r="N43" t="str">
        <f t="shared" si="0"/>
        <v/>
      </c>
      <c r="O43" t="str">
        <f t="shared" si="1"/>
        <v/>
      </c>
    </row>
    <row r="44" spans="1:15" x14ac:dyDescent="0.35">
      <c r="A44" s="5">
        <v>14149</v>
      </c>
      <c r="B44" s="5">
        <v>1160922288</v>
      </c>
      <c r="C44" s="5">
        <v>727074</v>
      </c>
      <c r="D44" s="5">
        <v>3763287</v>
      </c>
      <c r="F44" s="5">
        <v>14593</v>
      </c>
      <c r="G44" s="5">
        <v>12160922288</v>
      </c>
      <c r="H44" s="5">
        <v>727074</v>
      </c>
      <c r="I44" s="5">
        <v>3763287</v>
      </c>
      <c r="J44" s="6" t="s">
        <v>70</v>
      </c>
      <c r="K44" s="6" t="s">
        <v>71</v>
      </c>
      <c r="L44" s="6" t="s">
        <v>71</v>
      </c>
      <c r="N44" t="str">
        <f t="shared" si="0"/>
        <v/>
      </c>
      <c r="O44" t="str">
        <f t="shared" si="1"/>
        <v/>
      </c>
    </row>
    <row r="45" spans="1:15" x14ac:dyDescent="0.35">
      <c r="A45" s="5">
        <v>14150</v>
      </c>
      <c r="B45" s="5">
        <v>1160922289</v>
      </c>
      <c r="C45" s="5">
        <v>727086</v>
      </c>
      <c r="D45" s="5">
        <v>3763284</v>
      </c>
      <c r="F45" s="5">
        <v>14594</v>
      </c>
      <c r="G45" s="5">
        <v>12160922289</v>
      </c>
      <c r="H45" s="5">
        <v>727086</v>
      </c>
      <c r="I45" s="5">
        <v>3763284</v>
      </c>
      <c r="J45" s="6" t="s">
        <v>70</v>
      </c>
      <c r="K45" s="6" t="s">
        <v>71</v>
      </c>
      <c r="L45" s="6" t="s">
        <v>71</v>
      </c>
      <c r="N45" t="str">
        <f t="shared" si="0"/>
        <v/>
      </c>
      <c r="O45" t="str">
        <f t="shared" si="1"/>
        <v/>
      </c>
    </row>
    <row r="46" spans="1:15" x14ac:dyDescent="0.35">
      <c r="A46" s="5">
        <v>14151</v>
      </c>
      <c r="B46" s="5">
        <v>1160922290</v>
      </c>
      <c r="C46" s="5">
        <v>727088</v>
      </c>
      <c r="D46" s="5">
        <v>3763285</v>
      </c>
      <c r="F46" s="5">
        <v>14595</v>
      </c>
      <c r="G46" s="5">
        <v>12160922290</v>
      </c>
      <c r="H46" s="5">
        <v>727088</v>
      </c>
      <c r="I46" s="5">
        <v>3763285</v>
      </c>
      <c r="J46" s="6" t="s">
        <v>70</v>
      </c>
      <c r="K46" s="6" t="s">
        <v>71</v>
      </c>
      <c r="L46" s="6" t="s">
        <v>71</v>
      </c>
      <c r="N46" t="str">
        <f t="shared" si="0"/>
        <v/>
      </c>
      <c r="O46" t="str">
        <f t="shared" si="1"/>
        <v/>
      </c>
    </row>
    <row r="47" spans="1:15" x14ac:dyDescent="0.35">
      <c r="A47" s="5">
        <v>14152</v>
      </c>
      <c r="B47" s="5">
        <v>1160922291</v>
      </c>
      <c r="C47" s="5">
        <v>727089</v>
      </c>
      <c r="D47" s="5">
        <v>3763285</v>
      </c>
      <c r="F47" s="5">
        <v>14596</v>
      </c>
      <c r="G47" s="5">
        <v>12160922291</v>
      </c>
      <c r="H47" s="5">
        <v>727089</v>
      </c>
      <c r="I47" s="5">
        <v>3763285</v>
      </c>
      <c r="J47" s="6" t="s">
        <v>70</v>
      </c>
      <c r="K47" s="6" t="s">
        <v>71</v>
      </c>
      <c r="L47" s="6" t="s">
        <v>71</v>
      </c>
      <c r="N47" t="str">
        <f t="shared" si="0"/>
        <v/>
      </c>
      <c r="O47" t="str">
        <f t="shared" si="1"/>
        <v/>
      </c>
    </row>
    <row r="48" spans="1:15" x14ac:dyDescent="0.35">
      <c r="A48" s="5">
        <v>14153</v>
      </c>
      <c r="B48" s="5">
        <v>1160922292</v>
      </c>
      <c r="C48" s="5">
        <v>727090</v>
      </c>
      <c r="D48" s="5">
        <v>3763285</v>
      </c>
      <c r="F48" s="5">
        <v>14597</v>
      </c>
      <c r="G48" s="5">
        <v>12160922292</v>
      </c>
      <c r="H48" s="5">
        <v>727090</v>
      </c>
      <c r="I48" s="5">
        <v>3763285</v>
      </c>
      <c r="J48" s="6" t="s">
        <v>70</v>
      </c>
      <c r="K48" s="6" t="s">
        <v>71</v>
      </c>
      <c r="L48" s="6" t="s">
        <v>71</v>
      </c>
      <c r="N48" t="str">
        <f t="shared" si="0"/>
        <v/>
      </c>
      <c r="O48" t="str">
        <f t="shared" si="1"/>
        <v/>
      </c>
    </row>
    <row r="49" spans="1:15" x14ac:dyDescent="0.35">
      <c r="A49" s="5">
        <v>14154</v>
      </c>
      <c r="B49" s="5">
        <v>1160922293</v>
      </c>
      <c r="C49" s="5">
        <v>727091</v>
      </c>
      <c r="D49" s="5">
        <v>3763285</v>
      </c>
      <c r="F49" s="5">
        <v>14598</v>
      </c>
      <c r="G49" s="5">
        <v>12160922293</v>
      </c>
      <c r="H49" s="5">
        <v>727091</v>
      </c>
      <c r="I49" s="5">
        <v>3763285</v>
      </c>
      <c r="J49" s="6" t="s">
        <v>70</v>
      </c>
      <c r="K49" s="6" t="s">
        <v>71</v>
      </c>
      <c r="L49" s="6" t="s">
        <v>71</v>
      </c>
      <c r="N49" t="str">
        <f t="shared" si="0"/>
        <v/>
      </c>
      <c r="O49" t="str">
        <f t="shared" si="1"/>
        <v/>
      </c>
    </row>
    <row r="50" spans="1:15" x14ac:dyDescent="0.35">
      <c r="A50" s="5">
        <v>14155</v>
      </c>
      <c r="B50" s="5">
        <v>1160922294</v>
      </c>
      <c r="C50" s="5">
        <v>727102</v>
      </c>
      <c r="D50" s="5">
        <v>3763282</v>
      </c>
      <c r="F50" s="5">
        <v>14599</v>
      </c>
      <c r="G50" s="5">
        <v>12160922294</v>
      </c>
      <c r="H50" s="5">
        <v>727102</v>
      </c>
      <c r="I50" s="5">
        <v>3763282</v>
      </c>
      <c r="J50" s="6" t="s">
        <v>70</v>
      </c>
      <c r="K50" s="6" t="s">
        <v>71</v>
      </c>
      <c r="L50" s="6" t="s">
        <v>71</v>
      </c>
      <c r="N50" t="str">
        <f t="shared" si="0"/>
        <v/>
      </c>
      <c r="O50" t="str">
        <f t="shared" si="1"/>
        <v/>
      </c>
    </row>
    <row r="51" spans="1:15" x14ac:dyDescent="0.35">
      <c r="A51" s="5">
        <v>14156</v>
      </c>
      <c r="B51" s="5">
        <v>1160922295</v>
      </c>
      <c r="C51" s="5">
        <v>727111</v>
      </c>
      <c r="D51" s="5">
        <v>3763296</v>
      </c>
      <c r="F51" s="5">
        <v>14600</v>
      </c>
      <c r="G51" s="5">
        <v>12160922295</v>
      </c>
      <c r="H51" s="5">
        <v>727111</v>
      </c>
      <c r="I51" s="5">
        <v>3763296</v>
      </c>
      <c r="J51" s="6" t="s">
        <v>70</v>
      </c>
      <c r="K51" s="6" t="s">
        <v>71</v>
      </c>
      <c r="L51" s="6" t="s">
        <v>71</v>
      </c>
      <c r="N51" t="str">
        <f t="shared" si="0"/>
        <v/>
      </c>
      <c r="O51" t="str">
        <f t="shared" si="1"/>
        <v/>
      </c>
    </row>
    <row r="52" spans="1:15" x14ac:dyDescent="0.35">
      <c r="A52" s="5">
        <v>14157</v>
      </c>
      <c r="B52" s="5">
        <v>1160922296</v>
      </c>
      <c r="C52" s="5">
        <v>727129</v>
      </c>
      <c r="D52" s="5">
        <v>3763335</v>
      </c>
      <c r="F52" s="5">
        <v>14601</v>
      </c>
      <c r="G52" s="5">
        <v>12160922296</v>
      </c>
      <c r="H52" s="5">
        <v>727129</v>
      </c>
      <c r="I52" s="5">
        <v>3763335</v>
      </c>
      <c r="J52" s="6" t="s">
        <v>70</v>
      </c>
      <c r="K52" s="6" t="s">
        <v>71</v>
      </c>
      <c r="L52" s="6" t="s">
        <v>71</v>
      </c>
      <c r="N52" t="str">
        <f t="shared" si="0"/>
        <v/>
      </c>
      <c r="O52" t="str">
        <f t="shared" si="1"/>
        <v/>
      </c>
    </row>
    <row r="53" spans="1:15" x14ac:dyDescent="0.35">
      <c r="A53" s="5">
        <v>14158</v>
      </c>
      <c r="B53" s="5">
        <v>1160922297</v>
      </c>
      <c r="C53" s="5">
        <v>727156</v>
      </c>
      <c r="D53" s="5">
        <v>3763317</v>
      </c>
      <c r="F53" s="5">
        <v>14602</v>
      </c>
      <c r="G53" s="5">
        <v>12160922297</v>
      </c>
      <c r="H53" s="5">
        <v>727156</v>
      </c>
      <c r="I53" s="5">
        <v>3763317</v>
      </c>
      <c r="J53" s="6" t="s">
        <v>70</v>
      </c>
      <c r="K53" s="6" t="s">
        <v>71</v>
      </c>
      <c r="L53" s="6" t="s">
        <v>71</v>
      </c>
      <c r="N53" t="str">
        <f t="shared" si="0"/>
        <v/>
      </c>
      <c r="O53" t="str">
        <f t="shared" si="1"/>
        <v/>
      </c>
    </row>
    <row r="54" spans="1:15" x14ac:dyDescent="0.35">
      <c r="A54" s="5">
        <v>14159</v>
      </c>
      <c r="B54" s="5">
        <v>1160922298</v>
      </c>
      <c r="C54" s="5">
        <v>727095</v>
      </c>
      <c r="D54" s="5">
        <v>3763262</v>
      </c>
      <c r="F54" s="5">
        <v>14603</v>
      </c>
      <c r="G54" s="5">
        <v>12160922298</v>
      </c>
      <c r="H54" s="5">
        <v>727095</v>
      </c>
      <c r="I54" s="5">
        <v>3763262</v>
      </c>
      <c r="J54" s="6" t="s">
        <v>70</v>
      </c>
      <c r="K54" s="6" t="s">
        <v>71</v>
      </c>
      <c r="L54" s="6" t="s">
        <v>71</v>
      </c>
      <c r="N54" t="str">
        <f t="shared" si="0"/>
        <v/>
      </c>
      <c r="O54" t="str">
        <f t="shared" si="1"/>
        <v/>
      </c>
    </row>
    <row r="55" spans="1:15" x14ac:dyDescent="0.35">
      <c r="A55" s="5">
        <v>14160</v>
      </c>
      <c r="B55" s="5">
        <v>1160922299</v>
      </c>
      <c r="C55" s="5">
        <v>727106</v>
      </c>
      <c r="D55" s="5">
        <v>3763255</v>
      </c>
      <c r="F55" s="5">
        <v>14604</v>
      </c>
      <c r="G55" s="5">
        <v>12160922299</v>
      </c>
      <c r="H55" s="5">
        <v>727106</v>
      </c>
      <c r="I55" s="5">
        <v>3763255</v>
      </c>
      <c r="J55" s="6" t="s">
        <v>70</v>
      </c>
      <c r="K55" s="6" t="s">
        <v>71</v>
      </c>
      <c r="L55" s="6" t="s">
        <v>71</v>
      </c>
      <c r="N55" t="str">
        <f t="shared" si="0"/>
        <v/>
      </c>
      <c r="O55" t="str">
        <f t="shared" si="1"/>
        <v/>
      </c>
    </row>
    <row r="56" spans="1:15" x14ac:dyDescent="0.35">
      <c r="A56" s="5">
        <v>14161</v>
      </c>
      <c r="B56" s="5">
        <v>1160922300</v>
      </c>
      <c r="C56" s="5">
        <v>727135</v>
      </c>
      <c r="D56" s="5">
        <v>3763240</v>
      </c>
      <c r="F56" s="5">
        <v>14605</v>
      </c>
      <c r="G56" s="5">
        <v>12160922300</v>
      </c>
      <c r="H56" s="5">
        <v>727135</v>
      </c>
      <c r="I56" s="5">
        <v>3763240</v>
      </c>
      <c r="J56" s="6" t="s">
        <v>70</v>
      </c>
      <c r="K56" s="6" t="s">
        <v>71</v>
      </c>
      <c r="L56" s="6" t="s">
        <v>71</v>
      </c>
      <c r="N56" t="str">
        <f t="shared" si="0"/>
        <v/>
      </c>
      <c r="O56" t="str">
        <f t="shared" si="1"/>
        <v/>
      </c>
    </row>
    <row r="57" spans="1:15" x14ac:dyDescent="0.35">
      <c r="A57" s="5">
        <v>14162</v>
      </c>
      <c r="B57" s="5">
        <v>1160922301</v>
      </c>
      <c r="C57" s="5">
        <v>727086</v>
      </c>
      <c r="D57" s="5">
        <v>3763315</v>
      </c>
      <c r="F57" s="5">
        <v>14606</v>
      </c>
      <c r="G57" s="5">
        <v>12160922301</v>
      </c>
      <c r="H57" s="5">
        <v>727086</v>
      </c>
      <c r="I57" s="5">
        <v>3763315</v>
      </c>
      <c r="J57" s="6" t="s">
        <v>70</v>
      </c>
      <c r="K57" s="6" t="s">
        <v>71</v>
      </c>
      <c r="L57" s="6" t="s">
        <v>71</v>
      </c>
      <c r="N57" t="str">
        <f t="shared" si="0"/>
        <v/>
      </c>
      <c r="O57" t="str">
        <f t="shared" si="1"/>
        <v/>
      </c>
    </row>
    <row r="58" spans="1:15" x14ac:dyDescent="0.35">
      <c r="A58" s="5">
        <v>14163</v>
      </c>
      <c r="B58" s="5">
        <v>1160922302</v>
      </c>
      <c r="C58" s="5">
        <v>727087</v>
      </c>
      <c r="D58" s="5">
        <v>3763317</v>
      </c>
      <c r="F58" s="5">
        <v>14607</v>
      </c>
      <c r="G58" s="5">
        <v>12160922302</v>
      </c>
      <c r="H58" s="5">
        <v>727087</v>
      </c>
      <c r="I58" s="5">
        <v>3763317</v>
      </c>
      <c r="J58" s="6" t="s">
        <v>70</v>
      </c>
      <c r="K58" s="6" t="s">
        <v>71</v>
      </c>
      <c r="L58" s="6" t="s">
        <v>71</v>
      </c>
      <c r="N58" t="str">
        <f t="shared" si="0"/>
        <v/>
      </c>
      <c r="O58" t="str">
        <f t="shared" si="1"/>
        <v/>
      </c>
    </row>
    <row r="59" spans="1:15" x14ac:dyDescent="0.35">
      <c r="A59" s="5">
        <v>14164</v>
      </c>
      <c r="B59" s="5">
        <v>1160922303</v>
      </c>
      <c r="C59" s="5">
        <v>727087</v>
      </c>
      <c r="D59" s="5">
        <v>3763315</v>
      </c>
      <c r="F59" s="5">
        <v>14608</v>
      </c>
      <c r="G59" s="5">
        <v>12160922303</v>
      </c>
      <c r="H59" s="5">
        <v>727087</v>
      </c>
      <c r="I59" s="5">
        <v>3763315</v>
      </c>
      <c r="J59" s="6" t="s">
        <v>70</v>
      </c>
      <c r="K59" s="6" t="s">
        <v>71</v>
      </c>
      <c r="L59" s="6" t="s">
        <v>71</v>
      </c>
      <c r="N59" t="str">
        <f t="shared" si="0"/>
        <v/>
      </c>
      <c r="O59" t="str">
        <f t="shared" si="1"/>
        <v/>
      </c>
    </row>
    <row r="60" spans="1:15" x14ac:dyDescent="0.35">
      <c r="A60" s="5">
        <v>14165</v>
      </c>
      <c r="B60" s="5">
        <v>1160922304</v>
      </c>
      <c r="C60" s="5">
        <v>727103</v>
      </c>
      <c r="D60" s="5">
        <v>3763352</v>
      </c>
      <c r="F60" s="5">
        <v>14609</v>
      </c>
      <c r="G60" s="5">
        <v>12160922304</v>
      </c>
      <c r="H60" s="5">
        <v>727103</v>
      </c>
      <c r="I60" s="5">
        <v>3763352</v>
      </c>
      <c r="J60" s="6" t="s">
        <v>70</v>
      </c>
      <c r="K60" s="6" t="s">
        <v>71</v>
      </c>
      <c r="L60" s="6" t="s">
        <v>71</v>
      </c>
      <c r="N60" t="str">
        <f t="shared" si="0"/>
        <v/>
      </c>
      <c r="O60" t="str">
        <f t="shared" si="1"/>
        <v/>
      </c>
    </row>
    <row r="61" spans="1:15" x14ac:dyDescent="0.35">
      <c r="A61" s="5">
        <v>14166</v>
      </c>
      <c r="B61" s="5">
        <v>1160922305</v>
      </c>
      <c r="C61" s="5">
        <v>727115</v>
      </c>
      <c r="D61" s="5">
        <v>3763384</v>
      </c>
      <c r="F61" s="5">
        <v>14610</v>
      </c>
      <c r="G61" s="5">
        <v>12160922305</v>
      </c>
      <c r="H61" s="5">
        <v>727115</v>
      </c>
      <c r="I61" s="5">
        <v>3763384</v>
      </c>
      <c r="J61" s="6" t="s">
        <v>70</v>
      </c>
      <c r="K61" s="6" t="s">
        <v>71</v>
      </c>
      <c r="L61" s="6" t="s">
        <v>71</v>
      </c>
      <c r="N61" t="str">
        <f t="shared" si="0"/>
        <v/>
      </c>
      <c r="O61" t="str">
        <f t="shared" si="1"/>
        <v/>
      </c>
    </row>
    <row r="62" spans="1:15" x14ac:dyDescent="0.35">
      <c r="A62" s="5">
        <v>14167</v>
      </c>
      <c r="B62" s="5">
        <v>1160922306</v>
      </c>
      <c r="C62" s="5">
        <v>727142</v>
      </c>
      <c r="D62" s="5">
        <v>3763372</v>
      </c>
      <c r="F62" s="5">
        <v>14611</v>
      </c>
      <c r="G62" s="5">
        <v>12160922306</v>
      </c>
      <c r="H62" s="5">
        <v>727142</v>
      </c>
      <c r="I62" s="5">
        <v>3763372</v>
      </c>
      <c r="J62" s="6" t="s">
        <v>70</v>
      </c>
      <c r="K62" s="6" t="s">
        <v>71</v>
      </c>
      <c r="L62" s="6" t="s">
        <v>71</v>
      </c>
      <c r="N62" t="str">
        <f t="shared" si="0"/>
        <v/>
      </c>
      <c r="O62" t="str">
        <f t="shared" si="1"/>
        <v/>
      </c>
    </row>
    <row r="63" spans="1:15" x14ac:dyDescent="0.35">
      <c r="A63" s="5">
        <v>14168</v>
      </c>
      <c r="B63" s="5">
        <v>1160922307</v>
      </c>
      <c r="C63" s="5">
        <v>727138</v>
      </c>
      <c r="D63" s="5">
        <v>3763422</v>
      </c>
      <c r="F63" s="5">
        <v>14612</v>
      </c>
      <c r="G63" s="5">
        <v>12160922307</v>
      </c>
      <c r="H63" s="5">
        <v>727138</v>
      </c>
      <c r="I63" s="5">
        <v>3763422</v>
      </c>
      <c r="J63" s="6" t="s">
        <v>70</v>
      </c>
      <c r="K63" s="6" t="s">
        <v>71</v>
      </c>
      <c r="L63" s="6" t="s">
        <v>71</v>
      </c>
      <c r="N63" t="str">
        <f t="shared" si="0"/>
        <v/>
      </c>
      <c r="O63" t="str">
        <f t="shared" si="1"/>
        <v/>
      </c>
    </row>
    <row r="64" spans="1:15" x14ac:dyDescent="0.35">
      <c r="A64" s="5">
        <v>14169</v>
      </c>
      <c r="B64" s="5">
        <v>1160922308</v>
      </c>
      <c r="C64" s="5">
        <v>727154</v>
      </c>
      <c r="D64" s="5">
        <v>3763409</v>
      </c>
      <c r="F64" s="5">
        <v>14613</v>
      </c>
      <c r="G64" s="5">
        <v>12160922308</v>
      </c>
      <c r="H64" s="5">
        <v>727154</v>
      </c>
      <c r="I64" s="5">
        <v>3763409</v>
      </c>
      <c r="J64" s="6" t="s">
        <v>70</v>
      </c>
      <c r="K64" s="6" t="s">
        <v>71</v>
      </c>
      <c r="L64" s="6" t="s">
        <v>71</v>
      </c>
      <c r="N64" t="str">
        <f t="shared" si="0"/>
        <v/>
      </c>
      <c r="O64" t="str">
        <f t="shared" si="1"/>
        <v/>
      </c>
    </row>
    <row r="65" spans="1:15" x14ac:dyDescent="0.35">
      <c r="A65" s="5">
        <v>14170</v>
      </c>
      <c r="B65" s="5">
        <v>1160922309</v>
      </c>
      <c r="C65" s="5">
        <v>727153</v>
      </c>
      <c r="D65" s="5">
        <v>3763443</v>
      </c>
      <c r="F65" s="5">
        <v>14614</v>
      </c>
      <c r="G65" s="5">
        <v>12160922309</v>
      </c>
      <c r="H65" s="5">
        <v>727153</v>
      </c>
      <c r="I65" s="5">
        <v>3763443</v>
      </c>
      <c r="J65" s="6" t="s">
        <v>70</v>
      </c>
      <c r="K65" s="6" t="s">
        <v>71</v>
      </c>
      <c r="L65" s="6" t="s">
        <v>71</v>
      </c>
      <c r="N65" t="str">
        <f t="shared" si="0"/>
        <v/>
      </c>
      <c r="O65" t="str">
        <f t="shared" si="1"/>
        <v/>
      </c>
    </row>
    <row r="66" spans="1:15" x14ac:dyDescent="0.35">
      <c r="A66" s="5">
        <v>14171</v>
      </c>
      <c r="B66" s="5">
        <v>1160922310</v>
      </c>
      <c r="C66" s="5">
        <v>727156</v>
      </c>
      <c r="D66" s="5">
        <v>3763438</v>
      </c>
      <c r="F66" s="5">
        <v>14615</v>
      </c>
      <c r="G66" s="5">
        <v>12160922310</v>
      </c>
      <c r="H66" s="5">
        <v>727156</v>
      </c>
      <c r="I66" s="5">
        <v>3763438</v>
      </c>
      <c r="J66" s="6" t="s">
        <v>70</v>
      </c>
      <c r="K66" s="6" t="s">
        <v>71</v>
      </c>
      <c r="L66" s="6" t="s">
        <v>71</v>
      </c>
      <c r="N66" t="str">
        <f t="shared" si="0"/>
        <v/>
      </c>
      <c r="O66" t="str">
        <f t="shared" si="1"/>
        <v/>
      </c>
    </row>
    <row r="67" spans="1:15" x14ac:dyDescent="0.35">
      <c r="A67" s="5">
        <v>14172</v>
      </c>
      <c r="B67" s="5">
        <v>1160922311</v>
      </c>
      <c r="C67" s="5">
        <v>727157</v>
      </c>
      <c r="D67" s="5">
        <v>3763437</v>
      </c>
      <c r="F67" s="5">
        <v>14616</v>
      </c>
      <c r="G67" s="5">
        <v>12160922311</v>
      </c>
      <c r="H67" s="5">
        <v>727157</v>
      </c>
      <c r="I67" s="5">
        <v>3763437</v>
      </c>
      <c r="J67" s="6" t="s">
        <v>70</v>
      </c>
      <c r="K67" s="6" t="s">
        <v>71</v>
      </c>
      <c r="L67" s="6" t="s">
        <v>71</v>
      </c>
      <c r="N67" t="str">
        <f t="shared" si="0"/>
        <v/>
      </c>
      <c r="O67" t="str">
        <f t="shared" si="1"/>
        <v/>
      </c>
    </row>
    <row r="68" spans="1:15" x14ac:dyDescent="0.35">
      <c r="A68" s="5">
        <v>14173</v>
      </c>
      <c r="B68" s="5">
        <v>1160922312</v>
      </c>
      <c r="C68" s="5">
        <v>726988</v>
      </c>
      <c r="D68" s="5">
        <v>3763379</v>
      </c>
      <c r="F68" s="5">
        <v>14617</v>
      </c>
      <c r="G68" s="5">
        <v>12160922312</v>
      </c>
      <c r="H68" s="5">
        <v>726988</v>
      </c>
      <c r="I68" s="5">
        <v>3763379</v>
      </c>
      <c r="J68" s="6" t="s">
        <v>70</v>
      </c>
      <c r="K68" s="6" t="s">
        <v>71</v>
      </c>
      <c r="L68" s="6" t="s">
        <v>71</v>
      </c>
      <c r="N68" t="str">
        <f t="shared" ref="N68:N127" si="2">IF(C68=H68,"", "Not Same")</f>
        <v/>
      </c>
      <c r="O68" t="str">
        <f t="shared" ref="O68:O127" si="3">IF(D68=I68,"", "Not Same")</f>
        <v/>
      </c>
    </row>
    <row r="69" spans="1:15" x14ac:dyDescent="0.35">
      <c r="A69" s="5">
        <v>14174</v>
      </c>
      <c r="B69" s="5">
        <v>1160922313</v>
      </c>
      <c r="C69" s="5">
        <v>726989</v>
      </c>
      <c r="D69" s="5">
        <v>3763380</v>
      </c>
      <c r="F69" s="5">
        <v>14618</v>
      </c>
      <c r="G69" s="5">
        <v>12160922313</v>
      </c>
      <c r="H69" s="5">
        <v>726989</v>
      </c>
      <c r="I69" s="5">
        <v>3763380</v>
      </c>
      <c r="J69" s="6" t="s">
        <v>70</v>
      </c>
      <c r="K69" s="6" t="s">
        <v>71</v>
      </c>
      <c r="L69" s="6" t="s">
        <v>71</v>
      </c>
      <c r="N69" t="str">
        <f t="shared" si="2"/>
        <v/>
      </c>
      <c r="O69" t="str">
        <f t="shared" si="3"/>
        <v/>
      </c>
    </row>
    <row r="70" spans="1:15" x14ac:dyDescent="0.35">
      <c r="A70" s="5">
        <v>14175</v>
      </c>
      <c r="B70" s="5">
        <v>1160922314</v>
      </c>
      <c r="C70" s="5">
        <v>726990</v>
      </c>
      <c r="D70" s="5">
        <v>3763380</v>
      </c>
      <c r="F70" s="5">
        <v>14619</v>
      </c>
      <c r="G70" s="5">
        <v>12160922314</v>
      </c>
      <c r="H70" s="5">
        <v>726990</v>
      </c>
      <c r="I70" s="5">
        <v>3763380</v>
      </c>
      <c r="J70" s="6" t="s">
        <v>70</v>
      </c>
      <c r="K70" s="6" t="s">
        <v>71</v>
      </c>
      <c r="L70" s="6" t="s">
        <v>71</v>
      </c>
      <c r="N70" t="str">
        <f t="shared" si="2"/>
        <v/>
      </c>
      <c r="O70" t="str">
        <f t="shared" si="3"/>
        <v/>
      </c>
    </row>
    <row r="71" spans="1:15" x14ac:dyDescent="0.35">
      <c r="A71" s="5">
        <v>14176</v>
      </c>
      <c r="B71" s="5">
        <v>1160922315</v>
      </c>
      <c r="C71" s="5">
        <v>727007</v>
      </c>
      <c r="D71" s="5">
        <v>3763426</v>
      </c>
      <c r="F71" s="5">
        <v>14620</v>
      </c>
      <c r="G71" s="5">
        <v>12160922315</v>
      </c>
      <c r="H71" s="5">
        <v>727007</v>
      </c>
      <c r="I71" s="5">
        <v>3763426</v>
      </c>
      <c r="J71" s="6" t="s">
        <v>70</v>
      </c>
      <c r="K71" s="6" t="s">
        <v>71</v>
      </c>
      <c r="L71" s="6" t="s">
        <v>71</v>
      </c>
      <c r="N71" t="str">
        <f t="shared" si="2"/>
        <v/>
      </c>
      <c r="O71" t="str">
        <f t="shared" si="3"/>
        <v/>
      </c>
    </row>
    <row r="72" spans="1:15" x14ac:dyDescent="0.35">
      <c r="A72" s="5">
        <v>14177</v>
      </c>
      <c r="B72" s="5">
        <v>1160922316</v>
      </c>
      <c r="C72" s="5">
        <v>727026</v>
      </c>
      <c r="D72" s="5">
        <v>3763468</v>
      </c>
      <c r="F72" s="5">
        <v>14621</v>
      </c>
      <c r="G72" s="5">
        <v>12160922316</v>
      </c>
      <c r="H72" s="5">
        <v>727026</v>
      </c>
      <c r="I72" s="5">
        <v>3763468</v>
      </c>
      <c r="J72" s="6" t="s">
        <v>70</v>
      </c>
      <c r="K72" s="6" t="s">
        <v>71</v>
      </c>
      <c r="L72" s="6" t="s">
        <v>71</v>
      </c>
      <c r="N72" t="str">
        <f t="shared" si="2"/>
        <v/>
      </c>
      <c r="O72" t="str">
        <f t="shared" si="3"/>
        <v/>
      </c>
    </row>
    <row r="73" spans="1:15" x14ac:dyDescent="0.35">
      <c r="A73" s="5">
        <v>14178</v>
      </c>
      <c r="B73" s="5">
        <v>1160922317</v>
      </c>
      <c r="C73" s="5">
        <v>727029</v>
      </c>
      <c r="D73" s="5">
        <v>3763470</v>
      </c>
      <c r="F73" s="5">
        <v>14622</v>
      </c>
      <c r="G73" s="5">
        <v>12160922317</v>
      </c>
      <c r="H73" s="5">
        <v>727026.1</v>
      </c>
      <c r="I73" s="5">
        <v>3763468.3</v>
      </c>
      <c r="J73" s="6" t="s">
        <v>70</v>
      </c>
      <c r="K73" s="6" t="s">
        <v>71</v>
      </c>
      <c r="L73" s="6" t="s">
        <v>71</v>
      </c>
      <c r="N73" t="str">
        <f t="shared" si="2"/>
        <v>Not Same</v>
      </c>
      <c r="O73" t="str">
        <f t="shared" si="3"/>
        <v>Not Same</v>
      </c>
    </row>
    <row r="74" spans="1:15" x14ac:dyDescent="0.35">
      <c r="A74" s="5">
        <v>14179</v>
      </c>
      <c r="B74" s="5">
        <v>1160922318</v>
      </c>
      <c r="C74" s="5">
        <v>727029</v>
      </c>
      <c r="D74" s="5">
        <v>3763470</v>
      </c>
      <c r="F74" s="5">
        <v>14623</v>
      </c>
      <c r="G74" s="5">
        <v>12160922318</v>
      </c>
      <c r="H74" s="5">
        <v>727026.2</v>
      </c>
      <c r="I74" s="5">
        <v>3763468.4</v>
      </c>
      <c r="J74" s="6" t="s">
        <v>70</v>
      </c>
      <c r="K74" s="6" t="s">
        <v>71</v>
      </c>
      <c r="L74" s="6" t="s">
        <v>71</v>
      </c>
      <c r="N74" t="str">
        <f t="shared" si="2"/>
        <v>Not Same</v>
      </c>
      <c r="O74" t="str">
        <f t="shared" si="3"/>
        <v>Not Same</v>
      </c>
    </row>
    <row r="75" spans="1:15" x14ac:dyDescent="0.35">
      <c r="A75" s="5">
        <v>14180</v>
      </c>
      <c r="B75" s="5">
        <v>1160922319</v>
      </c>
      <c r="C75" s="5">
        <v>726975</v>
      </c>
      <c r="D75" s="5">
        <v>3763474</v>
      </c>
      <c r="F75" s="5">
        <v>14624</v>
      </c>
      <c r="G75" s="5">
        <v>12160922319</v>
      </c>
      <c r="H75" s="5">
        <v>726975</v>
      </c>
      <c r="I75" s="5">
        <v>3763474</v>
      </c>
      <c r="J75" s="6" t="s">
        <v>70</v>
      </c>
      <c r="K75" s="6" t="s">
        <v>71</v>
      </c>
      <c r="L75" s="6" t="s">
        <v>71</v>
      </c>
      <c r="N75" t="str">
        <f t="shared" si="2"/>
        <v/>
      </c>
      <c r="O75" t="str">
        <f t="shared" si="3"/>
        <v/>
      </c>
    </row>
    <row r="76" spans="1:15" x14ac:dyDescent="0.35">
      <c r="A76" s="5">
        <v>14181</v>
      </c>
      <c r="B76" s="5">
        <v>1160922320</v>
      </c>
      <c r="C76" s="5">
        <v>726984</v>
      </c>
      <c r="D76" s="5">
        <v>3763497</v>
      </c>
      <c r="F76" s="5">
        <v>14625</v>
      </c>
      <c r="G76" s="5">
        <v>12160922320</v>
      </c>
      <c r="H76" s="5">
        <v>726984</v>
      </c>
      <c r="I76" s="5">
        <v>3763497</v>
      </c>
      <c r="J76" s="6" t="s">
        <v>70</v>
      </c>
      <c r="K76" s="6" t="s">
        <v>71</v>
      </c>
      <c r="L76" s="6" t="s">
        <v>71</v>
      </c>
      <c r="N76" t="str">
        <f t="shared" si="2"/>
        <v/>
      </c>
      <c r="O76" t="str">
        <f t="shared" si="3"/>
        <v/>
      </c>
    </row>
    <row r="77" spans="1:15" x14ac:dyDescent="0.35">
      <c r="A77" s="5">
        <v>14182</v>
      </c>
      <c r="B77" s="5">
        <v>1160922321</v>
      </c>
      <c r="C77" s="5">
        <v>726985</v>
      </c>
      <c r="D77" s="5">
        <v>3763498</v>
      </c>
      <c r="F77" s="5">
        <v>14626</v>
      </c>
      <c r="G77" s="5">
        <v>12160922321</v>
      </c>
      <c r="H77" s="5">
        <v>726985</v>
      </c>
      <c r="I77" s="5">
        <v>3763498</v>
      </c>
      <c r="J77" s="6" t="s">
        <v>70</v>
      </c>
      <c r="K77" s="6" t="s">
        <v>71</v>
      </c>
      <c r="L77" s="6" t="s">
        <v>71</v>
      </c>
      <c r="N77" t="str">
        <f t="shared" si="2"/>
        <v/>
      </c>
      <c r="O77" t="str">
        <f t="shared" si="3"/>
        <v/>
      </c>
    </row>
    <row r="78" spans="1:15" x14ac:dyDescent="0.35">
      <c r="A78" s="5">
        <v>14183</v>
      </c>
      <c r="B78" s="5">
        <v>1160922322</v>
      </c>
      <c r="C78" s="5">
        <v>726986</v>
      </c>
      <c r="D78" s="5">
        <v>3763499</v>
      </c>
      <c r="F78" s="5">
        <v>14627</v>
      </c>
      <c r="G78" s="5">
        <v>12160922322</v>
      </c>
      <c r="H78" s="5">
        <v>726986</v>
      </c>
      <c r="I78" s="5">
        <v>3763499</v>
      </c>
      <c r="J78" s="6" t="s">
        <v>70</v>
      </c>
      <c r="K78" s="6" t="s">
        <v>71</v>
      </c>
      <c r="L78" s="6" t="s">
        <v>71</v>
      </c>
      <c r="N78" t="str">
        <f t="shared" si="2"/>
        <v/>
      </c>
      <c r="O78" t="str">
        <f t="shared" si="3"/>
        <v/>
      </c>
    </row>
    <row r="79" spans="1:15" x14ac:dyDescent="0.35">
      <c r="A79" s="5">
        <v>14184</v>
      </c>
      <c r="B79" s="5">
        <v>1160922323</v>
      </c>
      <c r="C79" s="5">
        <v>727007</v>
      </c>
      <c r="D79" s="5">
        <v>3763544</v>
      </c>
      <c r="F79" s="5">
        <v>14628</v>
      </c>
      <c r="G79" s="5">
        <v>12160922323</v>
      </c>
      <c r="H79" s="5">
        <v>727007</v>
      </c>
      <c r="I79" s="5">
        <v>3763544</v>
      </c>
      <c r="J79" s="6" t="s">
        <v>70</v>
      </c>
      <c r="K79" s="6" t="s">
        <v>71</v>
      </c>
      <c r="L79" s="6" t="s">
        <v>71</v>
      </c>
      <c r="N79" t="str">
        <f t="shared" si="2"/>
        <v/>
      </c>
      <c r="O79" t="str">
        <f t="shared" si="3"/>
        <v/>
      </c>
    </row>
    <row r="80" spans="1:15" x14ac:dyDescent="0.35">
      <c r="A80" s="5">
        <v>14185</v>
      </c>
      <c r="B80" s="5">
        <v>1160922324</v>
      </c>
      <c r="C80" s="5">
        <v>727017</v>
      </c>
      <c r="D80" s="5">
        <v>3763563</v>
      </c>
      <c r="F80" s="5">
        <v>14629</v>
      </c>
      <c r="G80" s="5">
        <v>12160922324</v>
      </c>
      <c r="H80" s="5">
        <v>727017</v>
      </c>
      <c r="I80" s="5">
        <v>3763563</v>
      </c>
      <c r="J80" s="6" t="s">
        <v>70</v>
      </c>
      <c r="K80" s="6" t="s">
        <v>71</v>
      </c>
      <c r="L80" s="6" t="s">
        <v>71</v>
      </c>
      <c r="N80" t="str">
        <f t="shared" si="2"/>
        <v/>
      </c>
      <c r="O80" t="str">
        <f t="shared" si="3"/>
        <v/>
      </c>
    </row>
    <row r="81" spans="1:15" x14ac:dyDescent="0.35">
      <c r="A81" s="5">
        <v>14186</v>
      </c>
      <c r="B81" s="5">
        <v>1160922325</v>
      </c>
      <c r="C81" s="5">
        <v>727028</v>
      </c>
      <c r="D81" s="5">
        <v>3763595</v>
      </c>
      <c r="F81" s="5">
        <v>14630</v>
      </c>
      <c r="G81" s="5">
        <v>12160922325</v>
      </c>
      <c r="H81" s="5">
        <v>727028</v>
      </c>
      <c r="I81" s="5">
        <v>3763595</v>
      </c>
      <c r="J81" s="6" t="s">
        <v>70</v>
      </c>
      <c r="K81" s="6" t="s">
        <v>71</v>
      </c>
      <c r="L81" s="6" t="s">
        <v>71</v>
      </c>
      <c r="N81" t="str">
        <f t="shared" si="2"/>
        <v/>
      </c>
      <c r="O81" t="str">
        <f t="shared" si="3"/>
        <v/>
      </c>
    </row>
    <row r="82" spans="1:15" x14ac:dyDescent="0.35">
      <c r="A82" s="5">
        <v>14187</v>
      </c>
      <c r="B82" s="5">
        <v>1160922326</v>
      </c>
      <c r="C82" s="5">
        <v>727046</v>
      </c>
      <c r="D82" s="5">
        <v>3763504</v>
      </c>
      <c r="F82" s="5">
        <v>14631</v>
      </c>
      <c r="G82" s="5">
        <v>12160922326</v>
      </c>
      <c r="H82" s="5">
        <v>727046</v>
      </c>
      <c r="I82" s="5">
        <v>3763504</v>
      </c>
      <c r="J82" s="6" t="s">
        <v>70</v>
      </c>
      <c r="K82" s="6" t="s">
        <v>71</v>
      </c>
      <c r="L82" s="6" t="s">
        <v>71</v>
      </c>
      <c r="N82" t="str">
        <f t="shared" si="2"/>
        <v/>
      </c>
      <c r="O82" t="str">
        <f t="shared" si="3"/>
        <v/>
      </c>
    </row>
    <row r="83" spans="1:15" x14ac:dyDescent="0.35">
      <c r="A83" s="5">
        <v>14188</v>
      </c>
      <c r="B83" s="5">
        <v>1160922327</v>
      </c>
      <c r="C83" s="5">
        <v>727065</v>
      </c>
      <c r="D83" s="5">
        <v>3763538</v>
      </c>
      <c r="F83" s="5">
        <v>14632</v>
      </c>
      <c r="G83" s="5">
        <v>12160922327</v>
      </c>
      <c r="H83" s="5">
        <v>727065</v>
      </c>
      <c r="I83" s="5">
        <v>3763538</v>
      </c>
      <c r="J83" s="6" t="s">
        <v>70</v>
      </c>
      <c r="K83" s="6" t="s">
        <v>71</v>
      </c>
      <c r="L83" s="6" t="s">
        <v>71</v>
      </c>
      <c r="N83" t="str">
        <f t="shared" si="2"/>
        <v/>
      </c>
      <c r="O83" t="str">
        <f t="shared" si="3"/>
        <v/>
      </c>
    </row>
    <row r="84" spans="1:15" x14ac:dyDescent="0.35">
      <c r="A84" s="5">
        <v>14189</v>
      </c>
      <c r="B84" s="5">
        <v>1160922328</v>
      </c>
      <c r="C84" s="5">
        <v>727082</v>
      </c>
      <c r="D84" s="5">
        <v>3763577</v>
      </c>
      <c r="F84" s="5">
        <v>14633</v>
      </c>
      <c r="G84" s="5">
        <v>12160922328</v>
      </c>
      <c r="H84" s="5">
        <v>727082</v>
      </c>
      <c r="I84" s="5">
        <v>3763577</v>
      </c>
      <c r="J84" s="6" t="s">
        <v>70</v>
      </c>
      <c r="K84" s="6" t="s">
        <v>71</v>
      </c>
      <c r="L84" s="6" t="s">
        <v>71</v>
      </c>
      <c r="N84" t="str">
        <f t="shared" si="2"/>
        <v/>
      </c>
      <c r="O84" t="str">
        <f t="shared" si="3"/>
        <v/>
      </c>
    </row>
    <row r="85" spans="1:15" x14ac:dyDescent="0.35">
      <c r="A85" s="5">
        <v>14190</v>
      </c>
      <c r="B85" s="5">
        <v>1160922329</v>
      </c>
      <c r="C85" s="5">
        <v>727102</v>
      </c>
      <c r="D85" s="5">
        <v>3763613</v>
      </c>
      <c r="F85" s="5">
        <v>14634</v>
      </c>
      <c r="G85" s="5">
        <v>12160922329</v>
      </c>
      <c r="H85" s="5">
        <v>727102</v>
      </c>
      <c r="I85" s="5">
        <v>3763613</v>
      </c>
      <c r="J85" s="6" t="s">
        <v>70</v>
      </c>
      <c r="K85" s="6" t="s">
        <v>71</v>
      </c>
      <c r="L85" s="6" t="s">
        <v>71</v>
      </c>
      <c r="N85" t="str">
        <f t="shared" si="2"/>
        <v/>
      </c>
      <c r="O85" t="str">
        <f t="shared" si="3"/>
        <v/>
      </c>
    </row>
    <row r="86" spans="1:15" x14ac:dyDescent="0.35">
      <c r="A86" s="5">
        <v>14191</v>
      </c>
      <c r="B86" s="5">
        <v>1160922330</v>
      </c>
      <c r="C86" s="5">
        <v>727103</v>
      </c>
      <c r="D86" s="5">
        <v>3763615</v>
      </c>
      <c r="F86" s="5">
        <v>14635</v>
      </c>
      <c r="G86" s="5">
        <v>12160922330</v>
      </c>
      <c r="H86" s="5">
        <v>727103</v>
      </c>
      <c r="I86" s="5">
        <v>3763615</v>
      </c>
      <c r="J86" s="6" t="s">
        <v>70</v>
      </c>
      <c r="K86" s="6" t="s">
        <v>70</v>
      </c>
      <c r="L86" s="6" t="s">
        <v>70</v>
      </c>
      <c r="N86" t="str">
        <f t="shared" si="2"/>
        <v/>
      </c>
      <c r="O86" t="str">
        <f t="shared" si="3"/>
        <v/>
      </c>
    </row>
    <row r="87" spans="1:15" x14ac:dyDescent="0.35">
      <c r="A87" s="5">
        <v>14192</v>
      </c>
      <c r="B87" s="5">
        <v>1160922331</v>
      </c>
      <c r="C87" s="5">
        <v>727102</v>
      </c>
      <c r="D87" s="5">
        <v>3763617</v>
      </c>
      <c r="F87" s="5">
        <v>14636</v>
      </c>
      <c r="G87" s="5">
        <v>12160922331</v>
      </c>
      <c r="H87" s="5">
        <v>727102</v>
      </c>
      <c r="I87" s="5">
        <v>3763617</v>
      </c>
      <c r="J87" s="6" t="s">
        <v>70</v>
      </c>
      <c r="K87" s="6" t="s">
        <v>71</v>
      </c>
      <c r="L87" s="6" t="s">
        <v>71</v>
      </c>
      <c r="N87" t="str">
        <f t="shared" si="2"/>
        <v/>
      </c>
      <c r="O87" t="str">
        <f t="shared" si="3"/>
        <v/>
      </c>
    </row>
    <row r="88" spans="1:15" x14ac:dyDescent="0.35">
      <c r="A88" s="5">
        <v>14193</v>
      </c>
      <c r="B88" s="5">
        <v>1160922332</v>
      </c>
      <c r="C88" s="5">
        <v>727068</v>
      </c>
      <c r="D88" s="5">
        <v>3763642</v>
      </c>
      <c r="F88" s="5">
        <v>14637</v>
      </c>
      <c r="G88" s="5">
        <v>12160922332</v>
      </c>
      <c r="H88" s="5">
        <v>727068</v>
      </c>
      <c r="I88" s="5">
        <v>3763642</v>
      </c>
      <c r="J88" s="6" t="s">
        <v>70</v>
      </c>
      <c r="K88" s="6" t="s">
        <v>71</v>
      </c>
      <c r="L88" s="6" t="s">
        <v>71</v>
      </c>
      <c r="N88" t="str">
        <f t="shared" si="2"/>
        <v/>
      </c>
      <c r="O88" t="str">
        <f t="shared" si="3"/>
        <v/>
      </c>
    </row>
    <row r="89" spans="1:15" x14ac:dyDescent="0.35">
      <c r="A89" s="5">
        <v>14194</v>
      </c>
      <c r="B89" s="5">
        <v>1160922333</v>
      </c>
      <c r="C89" s="5">
        <v>727084</v>
      </c>
      <c r="D89" s="5">
        <v>3763670</v>
      </c>
      <c r="F89" s="5">
        <v>14638</v>
      </c>
      <c r="G89" s="5">
        <v>12160922333</v>
      </c>
      <c r="H89" s="5">
        <v>727084</v>
      </c>
      <c r="I89" s="5">
        <v>3763670</v>
      </c>
      <c r="J89" s="6" t="s">
        <v>70</v>
      </c>
      <c r="K89" s="6" t="s">
        <v>71</v>
      </c>
      <c r="L89" s="6" t="s">
        <v>71</v>
      </c>
      <c r="N89" t="str">
        <f t="shared" si="2"/>
        <v/>
      </c>
      <c r="O89" t="str">
        <f t="shared" si="3"/>
        <v/>
      </c>
    </row>
    <row r="90" spans="1:15" x14ac:dyDescent="0.35">
      <c r="A90" s="5">
        <v>14195</v>
      </c>
      <c r="B90" s="5">
        <v>1160922334</v>
      </c>
      <c r="C90" s="5">
        <v>727122</v>
      </c>
      <c r="D90" s="5">
        <v>3763669</v>
      </c>
      <c r="F90" s="5">
        <v>14639</v>
      </c>
      <c r="G90" s="5">
        <v>12160922334</v>
      </c>
      <c r="H90" s="5">
        <v>727122</v>
      </c>
      <c r="I90" s="5">
        <v>3763669</v>
      </c>
      <c r="J90" s="6" t="s">
        <v>70</v>
      </c>
      <c r="K90" s="6" t="s">
        <v>71</v>
      </c>
      <c r="L90" s="6" t="s">
        <v>71</v>
      </c>
      <c r="N90" t="str">
        <f t="shared" si="2"/>
        <v/>
      </c>
      <c r="O90" t="str">
        <f t="shared" si="3"/>
        <v/>
      </c>
    </row>
    <row r="91" spans="1:15" x14ac:dyDescent="0.35">
      <c r="A91" s="5">
        <v>14196</v>
      </c>
      <c r="B91" s="5">
        <v>1160922335</v>
      </c>
      <c r="C91" s="5">
        <v>727141</v>
      </c>
      <c r="D91" s="5">
        <v>3763697</v>
      </c>
      <c r="F91" s="5">
        <v>14640</v>
      </c>
      <c r="G91" s="5">
        <v>12160922335</v>
      </c>
      <c r="H91" s="5">
        <v>727141</v>
      </c>
      <c r="I91" s="5">
        <v>3763697</v>
      </c>
      <c r="J91" s="6" t="s">
        <v>70</v>
      </c>
      <c r="K91" s="6" t="s">
        <v>71</v>
      </c>
      <c r="L91" s="6" t="s">
        <v>71</v>
      </c>
      <c r="N91" t="str">
        <f t="shared" si="2"/>
        <v/>
      </c>
      <c r="O91" t="str">
        <f t="shared" si="3"/>
        <v/>
      </c>
    </row>
    <row r="92" spans="1:15" x14ac:dyDescent="0.35">
      <c r="A92" s="5">
        <v>14197</v>
      </c>
      <c r="B92" s="5">
        <v>1160922336</v>
      </c>
      <c r="C92" s="5">
        <v>727012</v>
      </c>
      <c r="D92" s="5">
        <v>3763813</v>
      </c>
      <c r="F92" s="5">
        <v>14641</v>
      </c>
      <c r="G92" s="5">
        <v>12160922336</v>
      </c>
      <c r="H92" s="5">
        <v>727012</v>
      </c>
      <c r="I92" s="5">
        <v>3763813</v>
      </c>
      <c r="J92" s="6" t="s">
        <v>70</v>
      </c>
      <c r="K92" s="6" t="s">
        <v>71</v>
      </c>
      <c r="L92" s="6" t="s">
        <v>71</v>
      </c>
      <c r="N92" t="str">
        <f t="shared" si="2"/>
        <v/>
      </c>
      <c r="O92" t="str">
        <f t="shared" si="3"/>
        <v/>
      </c>
    </row>
    <row r="93" spans="1:15" x14ac:dyDescent="0.35">
      <c r="A93" s="5">
        <v>14198</v>
      </c>
      <c r="B93" s="5">
        <v>1160922337</v>
      </c>
      <c r="C93" s="5">
        <v>727012</v>
      </c>
      <c r="D93" s="5">
        <v>3763813</v>
      </c>
      <c r="F93" s="5">
        <v>14642</v>
      </c>
      <c r="G93" s="5">
        <v>12160922337</v>
      </c>
      <c r="H93" s="5">
        <v>727012</v>
      </c>
      <c r="I93" s="5">
        <v>3763813</v>
      </c>
      <c r="J93" s="6" t="s">
        <v>70</v>
      </c>
      <c r="K93" s="6" t="s">
        <v>71</v>
      </c>
      <c r="L93" s="6" t="s">
        <v>71</v>
      </c>
      <c r="N93" t="str">
        <f t="shared" si="2"/>
        <v/>
      </c>
      <c r="O93" t="str">
        <f t="shared" si="3"/>
        <v/>
      </c>
    </row>
    <row r="94" spans="1:15" x14ac:dyDescent="0.35">
      <c r="A94" s="5">
        <v>14199</v>
      </c>
      <c r="B94" s="5">
        <v>1160922338</v>
      </c>
      <c r="C94" s="5">
        <v>727010</v>
      </c>
      <c r="D94" s="5">
        <v>3763813</v>
      </c>
      <c r="F94" s="5">
        <v>14643</v>
      </c>
      <c r="G94" s="5">
        <v>12160922338</v>
      </c>
      <c r="H94" s="5">
        <v>727010</v>
      </c>
      <c r="I94" s="5">
        <v>3763813</v>
      </c>
      <c r="J94" s="6" t="s">
        <v>70</v>
      </c>
      <c r="K94" s="6" t="s">
        <v>71</v>
      </c>
      <c r="L94" s="6" t="s">
        <v>71</v>
      </c>
      <c r="N94" t="str">
        <f t="shared" si="2"/>
        <v/>
      </c>
      <c r="O94" t="str">
        <f t="shared" si="3"/>
        <v/>
      </c>
    </row>
    <row r="95" spans="1:15" x14ac:dyDescent="0.35">
      <c r="A95" s="5">
        <v>14200</v>
      </c>
      <c r="B95" s="5">
        <v>1160922339</v>
      </c>
      <c r="C95" s="5">
        <v>727044</v>
      </c>
      <c r="D95" s="5">
        <v>3763796</v>
      </c>
      <c r="F95" s="5">
        <v>14644</v>
      </c>
      <c r="G95" s="5">
        <v>12160922339</v>
      </c>
      <c r="H95" s="5">
        <v>727044</v>
      </c>
      <c r="I95" s="5">
        <v>3763796</v>
      </c>
      <c r="J95" s="6" t="s">
        <v>70</v>
      </c>
      <c r="K95" s="6" t="s">
        <v>71</v>
      </c>
      <c r="L95" s="6" t="s">
        <v>71</v>
      </c>
      <c r="N95" t="str">
        <f t="shared" si="2"/>
        <v/>
      </c>
      <c r="O95" t="str">
        <f t="shared" si="3"/>
        <v/>
      </c>
    </row>
    <row r="96" spans="1:15" x14ac:dyDescent="0.35">
      <c r="A96" s="5">
        <v>14201</v>
      </c>
      <c r="B96" s="5">
        <v>1160922340</v>
      </c>
      <c r="C96" s="5">
        <v>727104</v>
      </c>
      <c r="D96" s="5">
        <v>3763774</v>
      </c>
      <c r="F96" s="5">
        <v>14645</v>
      </c>
      <c r="G96" s="5">
        <v>12160922340</v>
      </c>
      <c r="H96" s="5">
        <v>727104</v>
      </c>
      <c r="I96" s="5">
        <v>3763774</v>
      </c>
      <c r="J96" s="6" t="s">
        <v>70</v>
      </c>
      <c r="K96" s="6" t="s">
        <v>71</v>
      </c>
      <c r="L96" s="6" t="s">
        <v>71</v>
      </c>
      <c r="N96" t="str">
        <f t="shared" si="2"/>
        <v/>
      </c>
      <c r="O96" t="str">
        <f t="shared" si="3"/>
        <v/>
      </c>
    </row>
    <row r="97" spans="1:15" x14ac:dyDescent="0.35">
      <c r="A97" s="5">
        <v>14202</v>
      </c>
      <c r="B97" s="5">
        <v>1160922341</v>
      </c>
      <c r="C97" s="5">
        <v>727149</v>
      </c>
      <c r="D97" s="5">
        <v>3763751</v>
      </c>
      <c r="F97" s="5">
        <v>14646</v>
      </c>
      <c r="G97" s="5">
        <v>12160922341</v>
      </c>
      <c r="H97" s="5">
        <v>727149</v>
      </c>
      <c r="I97" s="5">
        <v>3763751</v>
      </c>
      <c r="J97" s="6" t="s">
        <v>70</v>
      </c>
      <c r="K97" s="6" t="s">
        <v>71</v>
      </c>
      <c r="L97" s="6" t="s">
        <v>71</v>
      </c>
      <c r="N97" t="str">
        <f t="shared" si="2"/>
        <v/>
      </c>
      <c r="O97" t="str">
        <f t="shared" si="3"/>
        <v/>
      </c>
    </row>
    <row r="98" spans="1:15" x14ac:dyDescent="0.35">
      <c r="A98" s="5">
        <v>14203</v>
      </c>
      <c r="B98" s="5">
        <v>1160922342</v>
      </c>
      <c r="C98" s="5">
        <v>727156</v>
      </c>
      <c r="D98" s="5">
        <v>3763733</v>
      </c>
      <c r="F98" s="5">
        <v>14647</v>
      </c>
      <c r="G98" s="5">
        <v>12160922342</v>
      </c>
      <c r="H98" s="5">
        <v>727156</v>
      </c>
      <c r="I98" s="5">
        <v>3763733</v>
      </c>
      <c r="J98" s="6" t="s">
        <v>70</v>
      </c>
      <c r="K98" s="6" t="s">
        <v>71</v>
      </c>
      <c r="L98" s="6" t="s">
        <v>71</v>
      </c>
      <c r="N98" t="str">
        <f t="shared" si="2"/>
        <v/>
      </c>
      <c r="O98" t="str">
        <f t="shared" si="3"/>
        <v/>
      </c>
    </row>
    <row r="99" spans="1:15" x14ac:dyDescent="0.35">
      <c r="A99" s="5">
        <v>14204</v>
      </c>
      <c r="B99" s="5">
        <v>1160922343</v>
      </c>
      <c r="C99" s="5">
        <v>727157</v>
      </c>
      <c r="D99" s="5">
        <v>3763732</v>
      </c>
      <c r="F99" s="5">
        <v>14648</v>
      </c>
      <c r="G99" s="5">
        <v>12160922343</v>
      </c>
      <c r="H99" s="5">
        <v>727157</v>
      </c>
      <c r="I99" s="5">
        <v>3763732</v>
      </c>
      <c r="J99" s="6" t="s">
        <v>70</v>
      </c>
      <c r="K99" s="6" t="s">
        <v>71</v>
      </c>
      <c r="L99" s="6" t="s">
        <v>71</v>
      </c>
      <c r="N99" t="str">
        <f t="shared" si="2"/>
        <v/>
      </c>
      <c r="O99" t="str">
        <f t="shared" si="3"/>
        <v/>
      </c>
    </row>
    <row r="100" spans="1:15" x14ac:dyDescent="0.35">
      <c r="A100" s="5">
        <v>14205</v>
      </c>
      <c r="B100" s="5">
        <v>1160922344</v>
      </c>
      <c r="C100" s="5">
        <v>727156</v>
      </c>
      <c r="D100" s="5">
        <v>3763732</v>
      </c>
      <c r="F100" s="5">
        <v>14649</v>
      </c>
      <c r="G100" s="5">
        <v>12160922344</v>
      </c>
      <c r="H100" s="5">
        <v>727156</v>
      </c>
      <c r="I100" s="5">
        <v>3763732</v>
      </c>
      <c r="J100" s="6" t="s">
        <v>70</v>
      </c>
      <c r="K100" s="6" t="s">
        <v>71</v>
      </c>
      <c r="L100" s="6" t="s">
        <v>71</v>
      </c>
      <c r="N100" t="str">
        <f t="shared" si="2"/>
        <v/>
      </c>
      <c r="O100" t="str">
        <f t="shared" si="3"/>
        <v/>
      </c>
    </row>
    <row r="101" spans="1:15" x14ac:dyDescent="0.35">
      <c r="A101" s="5">
        <v>14206</v>
      </c>
      <c r="B101" s="5">
        <v>1160922345</v>
      </c>
      <c r="C101" s="5">
        <v>727185</v>
      </c>
      <c r="D101" s="5">
        <v>3763726</v>
      </c>
      <c r="F101" s="5">
        <v>14650</v>
      </c>
      <c r="G101" s="5">
        <v>12160922345</v>
      </c>
      <c r="H101" s="5">
        <v>727185</v>
      </c>
      <c r="I101" s="5">
        <v>3763726</v>
      </c>
      <c r="J101" s="6" t="s">
        <v>70</v>
      </c>
      <c r="K101" s="6" t="s">
        <v>71</v>
      </c>
      <c r="L101" s="6" t="s">
        <v>71</v>
      </c>
      <c r="N101" t="str">
        <f t="shared" si="2"/>
        <v/>
      </c>
      <c r="O101" t="str">
        <f t="shared" si="3"/>
        <v/>
      </c>
    </row>
    <row r="102" spans="1:15" x14ac:dyDescent="0.35">
      <c r="A102" s="5">
        <v>14207</v>
      </c>
      <c r="B102" s="5">
        <v>1160922346</v>
      </c>
      <c r="C102" s="5">
        <v>727210</v>
      </c>
      <c r="D102" s="5">
        <v>3763709</v>
      </c>
      <c r="F102" s="5">
        <v>14651</v>
      </c>
      <c r="G102" s="5">
        <v>12160922346</v>
      </c>
      <c r="H102" s="5">
        <v>727210</v>
      </c>
      <c r="I102" s="5">
        <v>3763709</v>
      </c>
      <c r="J102" s="6" t="s">
        <v>70</v>
      </c>
      <c r="K102" s="6" t="s">
        <v>71</v>
      </c>
      <c r="L102" s="6" t="s">
        <v>71</v>
      </c>
      <c r="N102" t="str">
        <f t="shared" si="2"/>
        <v/>
      </c>
      <c r="O102" t="str">
        <f t="shared" si="3"/>
        <v/>
      </c>
    </row>
    <row r="103" spans="1:15" x14ac:dyDescent="0.35">
      <c r="A103" s="5">
        <v>14208</v>
      </c>
      <c r="B103" s="5">
        <v>1160922347</v>
      </c>
      <c r="C103" s="5">
        <v>727203</v>
      </c>
      <c r="D103" s="5">
        <v>3763686</v>
      </c>
      <c r="F103" s="5">
        <v>14652</v>
      </c>
      <c r="G103" s="5">
        <v>12160922347</v>
      </c>
      <c r="H103" s="5">
        <v>727203</v>
      </c>
      <c r="I103" s="5">
        <v>3763686</v>
      </c>
      <c r="J103" s="6" t="s">
        <v>70</v>
      </c>
      <c r="K103" s="6" t="s">
        <v>71</v>
      </c>
      <c r="L103" s="6" t="s">
        <v>71</v>
      </c>
      <c r="N103" t="str">
        <f t="shared" si="2"/>
        <v/>
      </c>
      <c r="O103" t="str">
        <f t="shared" si="3"/>
        <v/>
      </c>
    </row>
    <row r="104" spans="1:15" x14ac:dyDescent="0.35">
      <c r="A104" s="5">
        <v>14209</v>
      </c>
      <c r="B104" s="5">
        <v>1160922348</v>
      </c>
      <c r="C104" s="5">
        <v>727191</v>
      </c>
      <c r="D104" s="5">
        <v>3763665</v>
      </c>
      <c r="F104" s="5">
        <v>14653</v>
      </c>
      <c r="G104" s="5">
        <v>12160922348</v>
      </c>
      <c r="H104" s="5">
        <v>727191</v>
      </c>
      <c r="I104" s="5">
        <v>3763665</v>
      </c>
      <c r="J104" s="6" t="s">
        <v>70</v>
      </c>
      <c r="K104" s="6" t="s">
        <v>71</v>
      </c>
      <c r="L104" s="6" t="s">
        <v>71</v>
      </c>
      <c r="N104" t="str">
        <f t="shared" si="2"/>
        <v/>
      </c>
      <c r="O104" t="str">
        <f t="shared" si="3"/>
        <v/>
      </c>
    </row>
    <row r="105" spans="1:15" x14ac:dyDescent="0.35">
      <c r="A105" s="5">
        <v>14210</v>
      </c>
      <c r="B105" s="5">
        <v>1160922349</v>
      </c>
      <c r="C105" s="5">
        <v>727189</v>
      </c>
      <c r="D105" s="5">
        <v>3763656</v>
      </c>
      <c r="F105" s="5">
        <v>14654</v>
      </c>
      <c r="G105" s="5">
        <v>12160922349</v>
      </c>
      <c r="H105" s="5">
        <v>727189</v>
      </c>
      <c r="I105" s="5">
        <v>3763656</v>
      </c>
      <c r="J105" s="6" t="s">
        <v>70</v>
      </c>
      <c r="K105" s="6" t="s">
        <v>71</v>
      </c>
      <c r="L105" s="6" t="s">
        <v>71</v>
      </c>
      <c r="N105" t="str">
        <f t="shared" si="2"/>
        <v/>
      </c>
      <c r="O105" t="str">
        <f t="shared" si="3"/>
        <v/>
      </c>
    </row>
    <row r="106" spans="1:15" x14ac:dyDescent="0.35">
      <c r="A106" s="5">
        <v>14211</v>
      </c>
      <c r="B106" s="5">
        <v>1160922350</v>
      </c>
      <c r="C106" s="5">
        <v>727182</v>
      </c>
      <c r="D106" s="5">
        <v>3763629</v>
      </c>
      <c r="F106" s="5">
        <v>14655</v>
      </c>
      <c r="G106" s="5">
        <v>12160922350</v>
      </c>
      <c r="H106" s="5">
        <v>727182</v>
      </c>
      <c r="I106" s="5">
        <v>3763629</v>
      </c>
      <c r="J106" s="6" t="s">
        <v>70</v>
      </c>
      <c r="K106" s="6" t="s">
        <v>70</v>
      </c>
      <c r="L106" s="6" t="s">
        <v>70</v>
      </c>
      <c r="N106" t="str">
        <f t="shared" si="2"/>
        <v/>
      </c>
      <c r="O106" t="str">
        <f t="shared" si="3"/>
        <v/>
      </c>
    </row>
    <row r="107" spans="1:15" x14ac:dyDescent="0.35">
      <c r="A107" s="5">
        <v>14212</v>
      </c>
      <c r="B107" s="5">
        <v>1160922351</v>
      </c>
      <c r="C107" s="5">
        <v>727182</v>
      </c>
      <c r="D107" s="5">
        <v>3763645</v>
      </c>
      <c r="F107" s="5">
        <v>14656</v>
      </c>
      <c r="G107" s="5">
        <v>12160922351</v>
      </c>
      <c r="H107" s="5">
        <v>727182</v>
      </c>
      <c r="I107" s="5">
        <v>3763645</v>
      </c>
      <c r="J107" s="6" t="s">
        <v>70</v>
      </c>
      <c r="K107" s="6" t="s">
        <v>70</v>
      </c>
      <c r="L107" s="6" t="s">
        <v>70</v>
      </c>
      <c r="N107" t="str">
        <f t="shared" si="2"/>
        <v/>
      </c>
      <c r="O107" t="str">
        <f t="shared" si="3"/>
        <v/>
      </c>
    </row>
    <row r="108" spans="1:15" x14ac:dyDescent="0.35">
      <c r="A108" s="5">
        <v>14213</v>
      </c>
      <c r="B108" s="5">
        <v>1160922352</v>
      </c>
      <c r="C108" s="5">
        <v>727168</v>
      </c>
      <c r="D108" s="5">
        <v>3763621</v>
      </c>
      <c r="F108" s="5">
        <v>14657</v>
      </c>
      <c r="G108" s="5">
        <v>12160922352</v>
      </c>
      <c r="H108" s="5">
        <v>727168</v>
      </c>
      <c r="I108" s="5">
        <v>3763621</v>
      </c>
      <c r="J108" s="6" t="s">
        <v>70</v>
      </c>
      <c r="K108" s="6" t="s">
        <v>71</v>
      </c>
      <c r="L108" s="6" t="s">
        <v>71</v>
      </c>
      <c r="N108" t="str">
        <f t="shared" si="2"/>
        <v/>
      </c>
      <c r="O108" t="str">
        <f t="shared" si="3"/>
        <v/>
      </c>
    </row>
    <row r="109" spans="1:15" x14ac:dyDescent="0.35">
      <c r="A109" s="5">
        <v>14214</v>
      </c>
      <c r="B109" s="5">
        <v>1160922353</v>
      </c>
      <c r="C109" s="5">
        <v>727149</v>
      </c>
      <c r="D109" s="5">
        <v>3763579</v>
      </c>
      <c r="F109" s="5">
        <v>14658</v>
      </c>
      <c r="G109" s="5">
        <v>12160922353</v>
      </c>
      <c r="H109" s="5">
        <v>727149</v>
      </c>
      <c r="I109" s="5">
        <v>3763579</v>
      </c>
      <c r="J109" s="6" t="s">
        <v>70</v>
      </c>
      <c r="K109" s="6" t="s">
        <v>71</v>
      </c>
      <c r="L109" s="6" t="s">
        <v>71</v>
      </c>
      <c r="N109" t="str">
        <f t="shared" si="2"/>
        <v/>
      </c>
      <c r="O109" t="str">
        <f t="shared" si="3"/>
        <v/>
      </c>
    </row>
    <row r="110" spans="1:15" x14ac:dyDescent="0.35">
      <c r="A110" s="5">
        <v>14215</v>
      </c>
      <c r="B110" s="5">
        <v>1160922354</v>
      </c>
      <c r="C110" s="5">
        <v>727139</v>
      </c>
      <c r="D110" s="5">
        <v>3763557</v>
      </c>
      <c r="F110" s="5">
        <v>14659</v>
      </c>
      <c r="G110" s="5">
        <v>12160922354</v>
      </c>
      <c r="H110" s="5">
        <v>727139</v>
      </c>
      <c r="I110" s="5">
        <v>3763557</v>
      </c>
      <c r="J110" s="6" t="s">
        <v>70</v>
      </c>
      <c r="K110" s="6" t="s">
        <v>71</v>
      </c>
      <c r="L110" s="6" t="s">
        <v>71</v>
      </c>
      <c r="N110" t="str">
        <f t="shared" si="2"/>
        <v/>
      </c>
      <c r="O110" t="str">
        <f t="shared" si="3"/>
        <v/>
      </c>
    </row>
    <row r="111" spans="1:15" x14ac:dyDescent="0.35">
      <c r="A111" s="5">
        <v>14216</v>
      </c>
      <c r="B111" s="5">
        <v>1160922355</v>
      </c>
      <c r="C111" s="5">
        <v>727114</v>
      </c>
      <c r="D111" s="5">
        <v>3763571</v>
      </c>
      <c r="F111" s="5">
        <v>14660</v>
      </c>
      <c r="G111" s="5">
        <v>12160922355</v>
      </c>
      <c r="H111" s="5">
        <v>727114</v>
      </c>
      <c r="I111" s="5">
        <v>3763571</v>
      </c>
      <c r="J111" s="6" t="s">
        <v>70</v>
      </c>
      <c r="K111" s="6" t="s">
        <v>71</v>
      </c>
      <c r="L111" s="6" t="s">
        <v>71</v>
      </c>
      <c r="N111" t="str">
        <f t="shared" si="2"/>
        <v/>
      </c>
      <c r="O111" t="str">
        <f t="shared" si="3"/>
        <v/>
      </c>
    </row>
    <row r="112" spans="1:15" x14ac:dyDescent="0.35">
      <c r="A112" s="5">
        <v>14217</v>
      </c>
      <c r="B112" s="5">
        <v>1160922356</v>
      </c>
      <c r="C112" s="5">
        <v>727128</v>
      </c>
      <c r="D112" s="5">
        <v>3763536</v>
      </c>
      <c r="F112" s="5">
        <v>14661</v>
      </c>
      <c r="G112" s="5">
        <v>12160922356</v>
      </c>
      <c r="H112" s="5">
        <v>727128</v>
      </c>
      <c r="I112" s="5">
        <v>3763536</v>
      </c>
      <c r="J112" s="6" t="s">
        <v>70</v>
      </c>
      <c r="K112" s="6" t="s">
        <v>71</v>
      </c>
      <c r="L112" s="6" t="s">
        <v>71</v>
      </c>
      <c r="N112" t="str">
        <f t="shared" si="2"/>
        <v/>
      </c>
      <c r="O112" t="str">
        <f t="shared" si="3"/>
        <v/>
      </c>
    </row>
    <row r="113" spans="1:15" x14ac:dyDescent="0.35">
      <c r="A113" s="5">
        <v>14218</v>
      </c>
      <c r="B113" s="5">
        <v>1160922357</v>
      </c>
      <c r="C113" s="5">
        <v>727105</v>
      </c>
      <c r="D113" s="5">
        <v>3763551</v>
      </c>
      <c r="F113" s="5">
        <v>14662</v>
      </c>
      <c r="G113" s="5">
        <v>12160922357</v>
      </c>
      <c r="H113" s="5">
        <v>727105</v>
      </c>
      <c r="I113" s="5">
        <v>3763551</v>
      </c>
      <c r="J113" s="6" t="s">
        <v>70</v>
      </c>
      <c r="K113" s="6" t="s">
        <v>71</v>
      </c>
      <c r="L113" s="6" t="s">
        <v>71</v>
      </c>
      <c r="N113" t="str">
        <f t="shared" si="2"/>
        <v/>
      </c>
      <c r="O113" t="str">
        <f t="shared" si="3"/>
        <v/>
      </c>
    </row>
    <row r="114" spans="1:15" x14ac:dyDescent="0.35">
      <c r="A114" s="5">
        <v>14219</v>
      </c>
      <c r="B114" s="5">
        <v>1160922358</v>
      </c>
      <c r="C114" s="5">
        <v>727115</v>
      </c>
      <c r="D114" s="5">
        <v>3763511</v>
      </c>
      <c r="F114" s="5">
        <v>14663</v>
      </c>
      <c r="G114" s="5">
        <v>12160922358</v>
      </c>
      <c r="H114" s="5">
        <v>727115</v>
      </c>
      <c r="I114" s="5">
        <v>3763511</v>
      </c>
      <c r="J114" s="6" t="s">
        <v>70</v>
      </c>
      <c r="K114" s="6" t="s">
        <v>71</v>
      </c>
      <c r="L114" s="6" t="s">
        <v>71</v>
      </c>
      <c r="N114" t="str">
        <f t="shared" si="2"/>
        <v/>
      </c>
      <c r="O114" t="str">
        <f t="shared" si="3"/>
        <v/>
      </c>
    </row>
    <row r="115" spans="1:15" x14ac:dyDescent="0.35">
      <c r="A115" s="5">
        <v>14220</v>
      </c>
      <c r="B115" s="5">
        <v>1160922359</v>
      </c>
      <c r="C115" s="5">
        <v>727076</v>
      </c>
      <c r="D115" s="5">
        <v>3763496</v>
      </c>
      <c r="F115" s="5">
        <v>14664</v>
      </c>
      <c r="G115" s="5">
        <v>12160922359</v>
      </c>
      <c r="H115" s="5">
        <v>727076</v>
      </c>
      <c r="I115" s="5">
        <v>3763496</v>
      </c>
      <c r="J115" s="6" t="s">
        <v>70</v>
      </c>
      <c r="K115" s="6" t="s">
        <v>71</v>
      </c>
      <c r="L115" s="6" t="s">
        <v>71</v>
      </c>
      <c r="N115" t="str">
        <f t="shared" si="2"/>
        <v/>
      </c>
      <c r="O115" t="str">
        <f t="shared" si="3"/>
        <v/>
      </c>
    </row>
    <row r="116" spans="1:15" x14ac:dyDescent="0.35">
      <c r="A116" s="5">
        <v>14221</v>
      </c>
      <c r="B116" s="5">
        <v>1160922360</v>
      </c>
      <c r="C116" s="5">
        <v>727106</v>
      </c>
      <c r="D116" s="5">
        <v>3763481</v>
      </c>
      <c r="F116" s="5">
        <v>14665</v>
      </c>
      <c r="G116" s="5">
        <v>12160922360</v>
      </c>
      <c r="H116" s="5">
        <v>727106</v>
      </c>
      <c r="I116" s="5">
        <v>3763481</v>
      </c>
      <c r="J116" s="6" t="s">
        <v>70</v>
      </c>
      <c r="K116" s="6" t="s">
        <v>71</v>
      </c>
      <c r="L116" s="6" t="s">
        <v>71</v>
      </c>
      <c r="N116" t="str">
        <f t="shared" si="2"/>
        <v/>
      </c>
      <c r="O116" t="str">
        <f t="shared" si="3"/>
        <v/>
      </c>
    </row>
    <row r="117" spans="1:15" x14ac:dyDescent="0.35">
      <c r="A117" s="5">
        <v>14222</v>
      </c>
      <c r="B117" s="5">
        <v>1160922361</v>
      </c>
      <c r="C117" s="5">
        <v>727106</v>
      </c>
      <c r="D117" s="5">
        <v>3763481</v>
      </c>
      <c r="F117" s="5">
        <v>14666</v>
      </c>
      <c r="G117" s="5">
        <v>12160922361</v>
      </c>
      <c r="H117" s="5">
        <v>727106.1</v>
      </c>
      <c r="I117" s="5">
        <v>3763481.3</v>
      </c>
      <c r="J117" s="6" t="s">
        <v>70</v>
      </c>
      <c r="K117" s="6" t="s">
        <v>71</v>
      </c>
      <c r="L117" s="6" t="s">
        <v>71</v>
      </c>
      <c r="N117" t="str">
        <f t="shared" si="2"/>
        <v>Not Same</v>
      </c>
      <c r="O117" t="str">
        <f t="shared" si="3"/>
        <v>Not Same</v>
      </c>
    </row>
    <row r="118" spans="1:15" x14ac:dyDescent="0.35">
      <c r="A118" s="5">
        <v>14223</v>
      </c>
      <c r="B118" s="5">
        <v>1160922362</v>
      </c>
      <c r="C118" s="5">
        <v>727105</v>
      </c>
      <c r="D118" s="5">
        <v>3763482</v>
      </c>
      <c r="F118" s="5">
        <v>14667</v>
      </c>
      <c r="G118" s="5">
        <v>12160922362</v>
      </c>
      <c r="H118" s="5">
        <v>727106.2</v>
      </c>
      <c r="I118" s="5">
        <v>3763481.4</v>
      </c>
      <c r="J118" s="6" t="s">
        <v>70</v>
      </c>
      <c r="K118" s="6" t="s">
        <v>71</v>
      </c>
      <c r="L118" s="6" t="s">
        <v>71</v>
      </c>
      <c r="N118" t="str">
        <f t="shared" si="2"/>
        <v>Not Same</v>
      </c>
      <c r="O118" t="str">
        <f t="shared" si="3"/>
        <v>Not Same</v>
      </c>
    </row>
    <row r="119" spans="1:15" x14ac:dyDescent="0.35">
      <c r="A119" s="5">
        <v>14224</v>
      </c>
      <c r="B119" s="5">
        <v>1160922363</v>
      </c>
      <c r="C119" s="5">
        <v>727130</v>
      </c>
      <c r="D119" s="5">
        <v>3763472</v>
      </c>
      <c r="F119" s="5">
        <v>14668</v>
      </c>
      <c r="G119" s="5">
        <v>12160922363</v>
      </c>
      <c r="H119" s="5">
        <v>727130</v>
      </c>
      <c r="I119" s="5">
        <v>3763472</v>
      </c>
      <c r="J119" s="6" t="s">
        <v>70</v>
      </c>
      <c r="K119" s="6" t="s">
        <v>71</v>
      </c>
      <c r="L119" s="6" t="s">
        <v>71</v>
      </c>
      <c r="N119" t="str">
        <f t="shared" si="2"/>
        <v/>
      </c>
      <c r="O119" t="str">
        <f t="shared" si="3"/>
        <v/>
      </c>
    </row>
    <row r="120" spans="1:15" x14ac:dyDescent="0.35">
      <c r="A120" s="5">
        <v>14225</v>
      </c>
      <c r="B120" s="5">
        <v>1160922364</v>
      </c>
      <c r="C120" s="5">
        <v>727142</v>
      </c>
      <c r="D120" s="5">
        <v>3763499</v>
      </c>
      <c r="F120" s="5">
        <v>14669</v>
      </c>
      <c r="G120" s="5">
        <v>12160922364</v>
      </c>
      <c r="H120" s="5">
        <v>727142</v>
      </c>
      <c r="I120" s="5">
        <v>3763499</v>
      </c>
      <c r="J120" s="6" t="s">
        <v>70</v>
      </c>
      <c r="K120" s="6" t="s">
        <v>71</v>
      </c>
      <c r="L120" s="6" t="s">
        <v>71</v>
      </c>
      <c r="N120" t="str">
        <f t="shared" si="2"/>
        <v/>
      </c>
      <c r="O120" t="str">
        <f t="shared" si="3"/>
        <v/>
      </c>
    </row>
    <row r="121" spans="1:15" x14ac:dyDescent="0.35">
      <c r="A121" s="5">
        <v>14226</v>
      </c>
      <c r="B121" s="5">
        <v>1160922365</v>
      </c>
      <c r="C121" s="5">
        <v>727183</v>
      </c>
      <c r="D121" s="5">
        <v>3763446</v>
      </c>
      <c r="F121" s="5">
        <v>14670</v>
      </c>
      <c r="G121" s="5">
        <v>12160922365</v>
      </c>
      <c r="H121" s="5">
        <v>727183</v>
      </c>
      <c r="I121" s="5">
        <v>3763446</v>
      </c>
      <c r="J121" s="6" t="s">
        <v>70</v>
      </c>
      <c r="K121" s="6" t="s">
        <v>71</v>
      </c>
      <c r="L121" s="6" t="s">
        <v>71</v>
      </c>
      <c r="N121" t="str">
        <f t="shared" si="2"/>
        <v/>
      </c>
      <c r="O121" t="str">
        <f t="shared" si="3"/>
        <v/>
      </c>
    </row>
    <row r="122" spans="1:15" x14ac:dyDescent="0.35">
      <c r="A122" s="5">
        <v>14227</v>
      </c>
      <c r="B122" s="5">
        <v>1160922366</v>
      </c>
      <c r="C122" s="5">
        <v>727158</v>
      </c>
      <c r="D122" s="5">
        <v>3763487</v>
      </c>
      <c r="F122" s="5">
        <v>14671</v>
      </c>
      <c r="G122" s="5">
        <v>12160922366</v>
      </c>
      <c r="H122" s="5">
        <v>727158</v>
      </c>
      <c r="I122" s="5">
        <v>3763487</v>
      </c>
      <c r="J122" s="6" t="s">
        <v>70</v>
      </c>
      <c r="K122" s="6" t="s">
        <v>71</v>
      </c>
      <c r="L122" s="6" t="s">
        <v>71</v>
      </c>
      <c r="N122" t="str">
        <f t="shared" si="2"/>
        <v/>
      </c>
      <c r="O122" t="str">
        <f t="shared" si="3"/>
        <v/>
      </c>
    </row>
    <row r="123" spans="1:15" x14ac:dyDescent="0.35">
      <c r="A123" s="5">
        <v>14228</v>
      </c>
      <c r="B123" s="5">
        <v>1160922367</v>
      </c>
      <c r="C123" s="5">
        <v>727162</v>
      </c>
      <c r="D123" s="5">
        <v>3763509</v>
      </c>
      <c r="F123" s="5">
        <v>14672</v>
      </c>
      <c r="G123" s="5">
        <v>12160922367</v>
      </c>
      <c r="H123" s="5">
        <v>727162</v>
      </c>
      <c r="I123" s="5">
        <v>3763509</v>
      </c>
      <c r="J123" s="6" t="s">
        <v>70</v>
      </c>
      <c r="K123" s="6" t="s">
        <v>71</v>
      </c>
      <c r="L123" s="6" t="s">
        <v>71</v>
      </c>
      <c r="N123" t="str">
        <f t="shared" si="2"/>
        <v/>
      </c>
      <c r="O123" t="str">
        <f t="shared" si="3"/>
        <v/>
      </c>
    </row>
    <row r="124" spans="1:15" x14ac:dyDescent="0.35">
      <c r="A124" s="5">
        <v>14229</v>
      </c>
      <c r="B124" s="5">
        <v>1160922368</v>
      </c>
      <c r="C124" s="5">
        <v>727168</v>
      </c>
      <c r="D124" s="5">
        <v>3763536</v>
      </c>
      <c r="F124" s="5">
        <v>14673</v>
      </c>
      <c r="G124" s="5">
        <v>12160922368</v>
      </c>
      <c r="H124" s="5">
        <v>727168</v>
      </c>
      <c r="I124" s="5">
        <v>3763536</v>
      </c>
      <c r="J124" s="6" t="s">
        <v>70</v>
      </c>
      <c r="K124" s="6" t="s">
        <v>71</v>
      </c>
      <c r="L124" s="6" t="s">
        <v>71</v>
      </c>
      <c r="N124" t="str">
        <f t="shared" si="2"/>
        <v/>
      </c>
      <c r="O124" t="str">
        <f t="shared" si="3"/>
        <v/>
      </c>
    </row>
    <row r="125" spans="1:15" x14ac:dyDescent="0.35">
      <c r="A125" s="5">
        <v>14230</v>
      </c>
      <c r="B125" s="5">
        <v>1160922369</v>
      </c>
      <c r="C125" s="5">
        <v>727177</v>
      </c>
      <c r="D125" s="5">
        <v>3763560</v>
      </c>
      <c r="F125" s="5">
        <v>14674</v>
      </c>
      <c r="G125" s="5">
        <v>12160922369</v>
      </c>
      <c r="H125" s="5">
        <v>727177</v>
      </c>
      <c r="I125" s="5">
        <v>3763560</v>
      </c>
      <c r="J125" s="6" t="s">
        <v>70</v>
      </c>
      <c r="K125" s="6" t="s">
        <v>71</v>
      </c>
      <c r="L125" s="6" t="s">
        <v>71</v>
      </c>
      <c r="N125" t="str">
        <f t="shared" si="2"/>
        <v/>
      </c>
      <c r="O125" t="str">
        <f t="shared" si="3"/>
        <v/>
      </c>
    </row>
    <row r="126" spans="1:15" x14ac:dyDescent="0.35">
      <c r="A126" s="5">
        <v>14231</v>
      </c>
      <c r="B126" s="5">
        <v>1160922370</v>
      </c>
      <c r="C126" s="5">
        <v>727176</v>
      </c>
      <c r="D126" s="5">
        <v>3763579</v>
      </c>
      <c r="F126" s="5">
        <v>14675</v>
      </c>
      <c r="G126" s="5">
        <v>12160922370</v>
      </c>
      <c r="H126" s="5">
        <v>727176</v>
      </c>
      <c r="I126" s="5">
        <v>3763579</v>
      </c>
      <c r="J126" s="6" t="s">
        <v>70</v>
      </c>
      <c r="K126" s="6" t="s">
        <v>71</v>
      </c>
      <c r="L126" s="6" t="s">
        <v>71</v>
      </c>
      <c r="N126" t="str">
        <f t="shared" si="2"/>
        <v/>
      </c>
      <c r="O126" t="str">
        <f t="shared" si="3"/>
        <v/>
      </c>
    </row>
    <row r="127" spans="1:15" x14ac:dyDescent="0.35">
      <c r="A127" s="5">
        <v>14232</v>
      </c>
      <c r="B127" s="5">
        <v>1160922371</v>
      </c>
      <c r="C127" s="5">
        <v>727181</v>
      </c>
      <c r="D127" s="5">
        <v>3763600</v>
      </c>
      <c r="F127" s="5">
        <v>14676</v>
      </c>
      <c r="G127" s="5">
        <v>12160922371</v>
      </c>
      <c r="H127" s="5">
        <v>727181</v>
      </c>
      <c r="I127" s="5">
        <v>3763600</v>
      </c>
      <c r="J127" s="6" t="s">
        <v>70</v>
      </c>
      <c r="K127" s="6" t="s">
        <v>71</v>
      </c>
      <c r="L127" s="6" t="s">
        <v>71</v>
      </c>
      <c r="N127" t="str">
        <f t="shared" si="2"/>
        <v/>
      </c>
      <c r="O127" t="str">
        <f t="shared" si="3"/>
        <v/>
      </c>
    </row>
  </sheetData>
  <conditionalFormatting sqref="A2">
    <cfRule type="duplicateValues" dxfId="14" priority="12"/>
  </conditionalFormatting>
  <conditionalFormatting sqref="A3:A127">
    <cfRule type="duplicateValues" dxfId="13" priority="6"/>
  </conditionalFormatting>
  <conditionalFormatting sqref="B2">
    <cfRule type="duplicateValues" dxfId="12" priority="11"/>
  </conditionalFormatting>
  <conditionalFormatting sqref="B3:B127">
    <cfRule type="duplicateValues" dxfId="11" priority="5"/>
  </conditionalFormatting>
  <conditionalFormatting sqref="C2:D2">
    <cfRule type="duplicateValues" dxfId="10" priority="10"/>
  </conditionalFormatting>
  <conditionalFormatting sqref="C3:D127">
    <cfRule type="duplicateValues" dxfId="9" priority="4"/>
  </conditionalFormatting>
  <conditionalFormatting sqref="F2">
    <cfRule type="duplicateValues" dxfId="8" priority="9"/>
  </conditionalFormatting>
  <conditionalFormatting sqref="F3:F127">
    <cfRule type="duplicateValues" dxfId="7" priority="3"/>
  </conditionalFormatting>
  <conditionalFormatting sqref="G2">
    <cfRule type="duplicateValues" dxfId="6" priority="8"/>
  </conditionalFormatting>
  <conditionalFormatting sqref="G3:G127">
    <cfRule type="duplicateValues" dxfId="5" priority="2"/>
  </conditionalFormatting>
  <conditionalFormatting sqref="H2:I2">
    <cfRule type="duplicateValues" dxfId="4" priority="7"/>
  </conditionalFormatting>
  <conditionalFormatting sqref="H3:I127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A4BE-A337-48F5-8ACA-4D83243BA52E}">
  <dimension ref="D4:E6"/>
  <sheetViews>
    <sheetView workbookViewId="0">
      <selection activeCell="F12" sqref="F12"/>
    </sheetView>
  </sheetViews>
  <sheetFormatPr defaultRowHeight="14.5" x14ac:dyDescent="0.35"/>
  <cols>
    <col min="4" max="4" width="26.7265625" customWidth="1"/>
    <col min="5" max="5" width="16.08984375" customWidth="1"/>
  </cols>
  <sheetData>
    <row r="4" spans="4:5" x14ac:dyDescent="0.35">
      <c r="D4" s="5">
        <v>1120922001</v>
      </c>
      <c r="E4">
        <f>LEN(D4)</f>
        <v>10</v>
      </c>
    </row>
    <row r="6" spans="4:5" x14ac:dyDescent="0.35">
      <c r="D6" s="5">
        <v>14120922002</v>
      </c>
      <c r="E6">
        <f t="shared" ref="E6" si="0">LEN(D6)</f>
        <v>11</v>
      </c>
    </row>
  </sheetData>
  <conditionalFormatting sqref="D4">
    <cfRule type="duplicateValues" dxfId="2" priority="3"/>
  </conditionalFormatting>
  <conditionalFormatting sqref="D6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764"/>
  <sheetViews>
    <sheetView topLeftCell="A914" workbookViewId="0">
      <selection activeCell="M923" sqref="M923:M1765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6.7265625" bestFit="1" customWidth="1"/>
    <col min="4" max="4" width="16.1796875" style="15" bestFit="1" customWidth="1"/>
    <col min="5" max="5" width="9.7265625" bestFit="1" customWidth="1"/>
    <col min="6" max="6" width="16.1796875" bestFit="1" customWidth="1"/>
    <col min="7" max="7" width="10.453125" bestFit="1" customWidth="1"/>
    <col min="8" max="8" width="12.81640625" bestFit="1" customWidth="1"/>
    <col min="9" max="9" width="12" bestFit="1" customWidth="1"/>
    <col min="10" max="10" width="12.1796875" bestFit="1" customWidth="1"/>
    <col min="11" max="11" width="4" bestFit="1" customWidth="1"/>
    <col min="12" max="12" width="8.453125" bestFit="1" customWidth="1"/>
    <col min="13" max="13" width="16.26953125" customWidth="1"/>
    <col min="14" max="14" width="12.54296875" bestFit="1" customWidth="1"/>
    <col min="15" max="15" width="16.7265625" customWidth="1"/>
    <col min="16" max="16" width="11.26953125" bestFit="1" customWidth="1"/>
    <col min="17" max="17" width="21.54296875" bestFit="1" customWidth="1"/>
    <col min="18" max="18" width="16.81640625" bestFit="1" customWidth="1"/>
    <col min="19" max="19" width="11.7265625" bestFit="1" customWidth="1"/>
    <col min="20" max="20" width="14.7265625" bestFit="1" customWidth="1"/>
    <col min="21" max="24" width="12.453125" bestFit="1" customWidth="1"/>
    <col min="25" max="25" width="12" bestFit="1" customWidth="1"/>
    <col min="26" max="26" width="13.81640625" bestFit="1" customWidth="1"/>
    <col min="27" max="27" width="14.7265625" bestFit="1" customWidth="1"/>
    <col min="28" max="28" width="14.81640625" bestFit="1" customWidth="1"/>
    <col min="29" max="29" width="10.7265625" bestFit="1" customWidth="1"/>
    <col min="30" max="30" width="10.54296875" bestFit="1" customWidth="1"/>
    <col min="31" max="31" width="12.26953125" bestFit="1" customWidth="1"/>
    <col min="32" max="32" width="12" bestFit="1" customWidth="1"/>
    <col min="33" max="33" width="12.453125" bestFit="1" customWidth="1"/>
    <col min="34" max="34" width="18" bestFit="1" customWidth="1"/>
    <col min="35" max="35" width="15.81640625" bestFit="1" customWidth="1"/>
    <col min="36" max="36" width="27" bestFit="1" customWidth="1"/>
    <col min="37" max="37" width="21.81640625" bestFit="1" customWidth="1"/>
    <col min="38" max="38" width="6.1796875" bestFit="1" customWidth="1"/>
    <col min="40" max="40" width="9.54296875" bestFit="1" customWidth="1"/>
    <col min="41" max="41" width="7.54296875" bestFit="1" customWidth="1"/>
    <col min="42" max="43" width="8.5429687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6.81640625" bestFit="1" customWidth="1"/>
    <col min="48" max="48" width="7.7265625" bestFit="1" customWidth="1"/>
    <col min="49" max="49" width="8" bestFit="1" customWidth="1"/>
    <col min="50" max="50" width="7.453125" bestFit="1" customWidth="1"/>
    <col min="51" max="51" width="31.54296875" bestFit="1" customWidth="1"/>
    <col min="52" max="52" width="80.1796875" bestFit="1" customWidth="1"/>
    <col min="53" max="53" width="9" bestFit="1" customWidth="1"/>
    <col min="54" max="54" width="10" bestFit="1" customWidth="1"/>
    <col min="55" max="55" width="4.81640625" bestFit="1" customWidth="1"/>
    <col min="56" max="56" width="5.81640625" bestFit="1" customWidth="1"/>
    <col min="57" max="57" width="6.81640625" bestFit="1" customWidth="1"/>
  </cols>
  <sheetData>
    <row r="1" spans="1:57" x14ac:dyDescent="0.35">
      <c r="A1" t="s">
        <v>81</v>
      </c>
      <c r="B1" t="s">
        <v>62</v>
      </c>
      <c r="C1" t="s">
        <v>82</v>
      </c>
      <c r="D1" s="16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68</v>
      </c>
      <c r="J1" t="s">
        <v>88</v>
      </c>
      <c r="K1" t="s">
        <v>89</v>
      </c>
      <c r="L1" t="s">
        <v>90</v>
      </c>
      <c r="M1" s="17" t="s">
        <v>91</v>
      </c>
      <c r="N1" t="s">
        <v>92</v>
      </c>
      <c r="O1" s="17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s="17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120</v>
      </c>
      <c r="AQ1" t="s">
        <v>121</v>
      </c>
      <c r="AR1" t="s">
        <v>122</v>
      </c>
      <c r="AS1" t="s">
        <v>123</v>
      </c>
      <c r="AT1" t="s">
        <v>124</v>
      </c>
      <c r="AU1" t="s">
        <v>125</v>
      </c>
      <c r="AV1" t="s">
        <v>126</v>
      </c>
      <c r="AW1" t="s">
        <v>127</v>
      </c>
      <c r="AX1" t="s">
        <v>128</v>
      </c>
      <c r="AY1" t="s">
        <v>66</v>
      </c>
      <c r="AZ1" t="s">
        <v>129</v>
      </c>
      <c r="BA1" s="17" t="s">
        <v>130</v>
      </c>
      <c r="BB1" s="17" t="s">
        <v>131</v>
      </c>
      <c r="BC1" t="s">
        <v>132</v>
      </c>
      <c r="BD1" t="s">
        <v>133</v>
      </c>
      <c r="BE1" t="s">
        <v>134</v>
      </c>
    </row>
    <row r="2" spans="1:57" x14ac:dyDescent="0.35">
      <c r="A2">
        <v>110550</v>
      </c>
      <c r="B2">
        <v>917</v>
      </c>
      <c r="C2" t="s">
        <v>135</v>
      </c>
      <c r="D2" s="15">
        <v>701012160922371</v>
      </c>
      <c r="F2">
        <v>70</v>
      </c>
      <c r="G2" t="s">
        <v>136</v>
      </c>
      <c r="H2">
        <v>7010</v>
      </c>
      <c r="I2" t="s">
        <v>137</v>
      </c>
      <c r="K2" t="s">
        <v>138</v>
      </c>
      <c r="M2">
        <v>12160922371</v>
      </c>
      <c r="N2" t="s">
        <v>139</v>
      </c>
      <c r="O2">
        <v>12160922371</v>
      </c>
      <c r="P2" t="s">
        <v>140</v>
      </c>
      <c r="Q2" t="s">
        <v>141</v>
      </c>
      <c r="R2">
        <v>0</v>
      </c>
      <c r="S2">
        <v>36</v>
      </c>
      <c r="T2" t="s">
        <v>142</v>
      </c>
      <c r="U2" t="s">
        <v>143</v>
      </c>
      <c r="V2" t="s">
        <v>143</v>
      </c>
      <c r="W2" t="s">
        <v>143</v>
      </c>
      <c r="X2" t="s">
        <v>143</v>
      </c>
      <c r="AA2" t="s">
        <v>144</v>
      </c>
      <c r="AB2" t="s">
        <v>145</v>
      </c>
      <c r="AC2">
        <v>0</v>
      </c>
      <c r="AD2">
        <v>0</v>
      </c>
      <c r="AO2">
        <v>0</v>
      </c>
      <c r="AP2">
        <v>13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A2">
        <v>727181.00000000198</v>
      </c>
      <c r="BB2">
        <v>3763600</v>
      </c>
    </row>
    <row r="3" spans="1:57" x14ac:dyDescent="0.35">
      <c r="A3">
        <v>110549</v>
      </c>
      <c r="B3">
        <v>916</v>
      </c>
      <c r="C3" t="s">
        <v>135</v>
      </c>
      <c r="D3" s="15">
        <v>701012160922371</v>
      </c>
      <c r="F3">
        <v>70</v>
      </c>
      <c r="G3" t="s">
        <v>136</v>
      </c>
      <c r="H3">
        <v>7010</v>
      </c>
      <c r="I3" t="s">
        <v>137</v>
      </c>
      <c r="K3" t="s">
        <v>79</v>
      </c>
      <c r="M3">
        <v>12160922370</v>
      </c>
      <c r="N3" t="s">
        <v>139</v>
      </c>
      <c r="O3">
        <v>12160922370</v>
      </c>
      <c r="Q3" t="s">
        <v>141</v>
      </c>
      <c r="R3">
        <v>0</v>
      </c>
      <c r="S3">
        <v>30</v>
      </c>
      <c r="T3" t="s">
        <v>142</v>
      </c>
      <c r="AA3" t="s">
        <v>144</v>
      </c>
      <c r="AB3" t="s">
        <v>145</v>
      </c>
      <c r="AC3">
        <v>0</v>
      </c>
      <c r="AD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A3">
        <v>727176.00000000198</v>
      </c>
      <c r="BB3">
        <v>3763579</v>
      </c>
    </row>
    <row r="4" spans="1:57" x14ac:dyDescent="0.35">
      <c r="A4">
        <v>110548</v>
      </c>
      <c r="B4">
        <v>915</v>
      </c>
      <c r="C4" t="s">
        <v>135</v>
      </c>
      <c r="D4" s="15">
        <v>701012160922370</v>
      </c>
      <c r="F4">
        <v>70</v>
      </c>
      <c r="G4" t="s">
        <v>136</v>
      </c>
      <c r="H4">
        <v>7010</v>
      </c>
      <c r="I4" t="s">
        <v>137</v>
      </c>
      <c r="K4" t="s">
        <v>138</v>
      </c>
      <c r="M4">
        <v>12160922370</v>
      </c>
      <c r="N4" t="s">
        <v>139</v>
      </c>
      <c r="O4">
        <v>12160922370</v>
      </c>
      <c r="P4" t="s">
        <v>140</v>
      </c>
      <c r="Q4" t="s">
        <v>141</v>
      </c>
      <c r="R4">
        <v>0</v>
      </c>
      <c r="S4">
        <v>30</v>
      </c>
      <c r="T4" t="s">
        <v>142</v>
      </c>
      <c r="U4" t="s">
        <v>143</v>
      </c>
      <c r="V4" t="s">
        <v>143</v>
      </c>
      <c r="W4" t="s">
        <v>143</v>
      </c>
      <c r="X4" t="s">
        <v>143</v>
      </c>
      <c r="AA4" t="s">
        <v>144</v>
      </c>
      <c r="AB4" t="s">
        <v>145</v>
      </c>
      <c r="AC4">
        <v>0</v>
      </c>
      <c r="AD4">
        <v>0</v>
      </c>
      <c r="AO4">
        <v>0</v>
      </c>
      <c r="AP4">
        <v>12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A4">
        <v>727176.00000000198</v>
      </c>
      <c r="BB4">
        <v>3763579</v>
      </c>
    </row>
    <row r="5" spans="1:57" x14ac:dyDescent="0.35">
      <c r="A5">
        <v>110547</v>
      </c>
      <c r="B5">
        <v>914</v>
      </c>
      <c r="C5" t="s">
        <v>135</v>
      </c>
      <c r="D5" s="15">
        <v>701012160922370</v>
      </c>
      <c r="F5">
        <v>70</v>
      </c>
      <c r="G5" t="s">
        <v>136</v>
      </c>
      <c r="H5">
        <v>7010</v>
      </c>
      <c r="I5" t="s">
        <v>137</v>
      </c>
      <c r="K5" t="s">
        <v>79</v>
      </c>
      <c r="M5">
        <v>12160922369</v>
      </c>
      <c r="N5" t="s">
        <v>139</v>
      </c>
      <c r="O5">
        <v>12160922369</v>
      </c>
      <c r="Q5" t="s">
        <v>141</v>
      </c>
      <c r="R5">
        <v>0</v>
      </c>
      <c r="S5">
        <v>30</v>
      </c>
      <c r="T5" t="s">
        <v>142</v>
      </c>
      <c r="AA5" t="s">
        <v>144</v>
      </c>
      <c r="AB5" t="s">
        <v>145</v>
      </c>
      <c r="AC5">
        <v>0</v>
      </c>
      <c r="AD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A5">
        <v>727177.00000000105</v>
      </c>
      <c r="BB5">
        <v>3763560</v>
      </c>
    </row>
    <row r="6" spans="1:57" x14ac:dyDescent="0.35">
      <c r="A6">
        <v>110546</v>
      </c>
      <c r="B6">
        <v>913</v>
      </c>
      <c r="C6" t="s">
        <v>135</v>
      </c>
      <c r="D6" s="15">
        <v>701012160922369</v>
      </c>
      <c r="F6">
        <v>70</v>
      </c>
      <c r="G6" t="s">
        <v>136</v>
      </c>
      <c r="H6">
        <v>7010</v>
      </c>
      <c r="I6" t="s">
        <v>137</v>
      </c>
      <c r="K6" t="s">
        <v>138</v>
      </c>
      <c r="M6">
        <v>12160922369</v>
      </c>
      <c r="N6" t="s">
        <v>139</v>
      </c>
      <c r="O6">
        <v>12160922369</v>
      </c>
      <c r="P6" t="s">
        <v>140</v>
      </c>
      <c r="Q6" t="s">
        <v>141</v>
      </c>
      <c r="R6">
        <v>0</v>
      </c>
      <c r="S6">
        <v>30</v>
      </c>
      <c r="T6" t="s">
        <v>142</v>
      </c>
      <c r="U6" t="s">
        <v>143</v>
      </c>
      <c r="V6" t="s">
        <v>143</v>
      </c>
      <c r="W6" t="s">
        <v>143</v>
      </c>
      <c r="X6" t="s">
        <v>143</v>
      </c>
      <c r="AA6" t="s">
        <v>144</v>
      </c>
      <c r="AB6" t="s">
        <v>145</v>
      </c>
      <c r="AC6">
        <v>0</v>
      </c>
      <c r="AD6">
        <v>0</v>
      </c>
      <c r="AO6">
        <v>0</v>
      </c>
      <c r="AP6">
        <v>16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A6">
        <v>727177.00000000105</v>
      </c>
      <c r="BB6">
        <v>3763560</v>
      </c>
    </row>
    <row r="7" spans="1:57" x14ac:dyDescent="0.35">
      <c r="A7">
        <v>110545</v>
      </c>
      <c r="B7">
        <v>912</v>
      </c>
      <c r="C7" t="s">
        <v>135</v>
      </c>
      <c r="D7" s="15">
        <v>701012160922369</v>
      </c>
      <c r="F7">
        <v>70</v>
      </c>
      <c r="G7" t="s">
        <v>136</v>
      </c>
      <c r="H7">
        <v>7010</v>
      </c>
      <c r="I7" t="s">
        <v>137</v>
      </c>
      <c r="K7" t="s">
        <v>79</v>
      </c>
      <c r="M7">
        <v>12160922368</v>
      </c>
      <c r="N7" t="s">
        <v>139</v>
      </c>
      <c r="O7">
        <v>12160922368</v>
      </c>
      <c r="Q7" t="s">
        <v>141</v>
      </c>
      <c r="R7">
        <v>0</v>
      </c>
      <c r="S7">
        <v>30</v>
      </c>
      <c r="T7" t="s">
        <v>142</v>
      </c>
      <c r="AA7" t="s">
        <v>144</v>
      </c>
      <c r="AB7" t="s">
        <v>145</v>
      </c>
      <c r="AC7">
        <v>0</v>
      </c>
      <c r="AD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A7">
        <v>727167.99999999895</v>
      </c>
      <c r="BB7">
        <v>3763536</v>
      </c>
    </row>
    <row r="8" spans="1:57" x14ac:dyDescent="0.35">
      <c r="A8">
        <v>110544</v>
      </c>
      <c r="B8">
        <v>911</v>
      </c>
      <c r="C8" t="s">
        <v>135</v>
      </c>
      <c r="D8" s="15">
        <v>701012160922368</v>
      </c>
      <c r="F8">
        <v>70</v>
      </c>
      <c r="G8" t="s">
        <v>136</v>
      </c>
      <c r="H8">
        <v>7010</v>
      </c>
      <c r="I8" t="s">
        <v>137</v>
      </c>
      <c r="K8" t="s">
        <v>138</v>
      </c>
      <c r="M8">
        <v>12160922368</v>
      </c>
      <c r="N8" t="s">
        <v>139</v>
      </c>
      <c r="O8">
        <v>12160922368</v>
      </c>
      <c r="P8" t="s">
        <v>140</v>
      </c>
      <c r="Q8" t="s">
        <v>141</v>
      </c>
      <c r="R8">
        <v>0</v>
      </c>
      <c r="S8">
        <v>30</v>
      </c>
      <c r="T8" t="s">
        <v>142</v>
      </c>
      <c r="U8" t="s">
        <v>143</v>
      </c>
      <c r="V8" t="s">
        <v>143</v>
      </c>
      <c r="W8" t="s">
        <v>143</v>
      </c>
      <c r="X8" t="s">
        <v>143</v>
      </c>
      <c r="AA8" t="s">
        <v>144</v>
      </c>
      <c r="AB8" t="s">
        <v>145</v>
      </c>
      <c r="AC8">
        <v>0</v>
      </c>
      <c r="AD8">
        <v>0</v>
      </c>
      <c r="AO8">
        <v>0</v>
      </c>
      <c r="AP8">
        <v>19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A8">
        <v>727167.99999999895</v>
      </c>
      <c r="BB8">
        <v>3763536</v>
      </c>
    </row>
    <row r="9" spans="1:57" x14ac:dyDescent="0.35">
      <c r="A9">
        <v>110543</v>
      </c>
      <c r="B9">
        <v>910</v>
      </c>
      <c r="C9" t="s">
        <v>135</v>
      </c>
      <c r="D9" s="15">
        <v>701012160922368</v>
      </c>
      <c r="F9">
        <v>70</v>
      </c>
      <c r="G9" t="s">
        <v>136</v>
      </c>
      <c r="H9">
        <v>7010</v>
      </c>
      <c r="I9" t="s">
        <v>137</v>
      </c>
      <c r="K9" t="s">
        <v>79</v>
      </c>
      <c r="M9">
        <v>12160922367</v>
      </c>
      <c r="N9" t="s">
        <v>139</v>
      </c>
      <c r="O9">
        <v>12160922367</v>
      </c>
      <c r="Q9" t="s">
        <v>141</v>
      </c>
      <c r="R9">
        <v>0</v>
      </c>
      <c r="S9">
        <v>30</v>
      </c>
      <c r="T9" t="s">
        <v>142</v>
      </c>
      <c r="AA9" t="s">
        <v>144</v>
      </c>
      <c r="AB9" t="s">
        <v>145</v>
      </c>
      <c r="AC9">
        <v>0</v>
      </c>
      <c r="AD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A9">
        <v>727162</v>
      </c>
      <c r="BB9">
        <v>3763509</v>
      </c>
    </row>
    <row r="10" spans="1:57" x14ac:dyDescent="0.35">
      <c r="A10">
        <v>110542</v>
      </c>
      <c r="B10">
        <v>909</v>
      </c>
      <c r="C10" t="s">
        <v>135</v>
      </c>
      <c r="D10" s="15">
        <v>701012160922367</v>
      </c>
      <c r="F10">
        <v>70</v>
      </c>
      <c r="G10" t="s">
        <v>136</v>
      </c>
      <c r="H10">
        <v>7010</v>
      </c>
      <c r="I10" t="s">
        <v>137</v>
      </c>
      <c r="K10" t="s">
        <v>138</v>
      </c>
      <c r="M10">
        <v>12160922367</v>
      </c>
      <c r="N10" t="s">
        <v>139</v>
      </c>
      <c r="O10">
        <v>12160922367</v>
      </c>
      <c r="P10" t="s">
        <v>140</v>
      </c>
      <c r="Q10" t="s">
        <v>141</v>
      </c>
      <c r="R10">
        <v>0</v>
      </c>
      <c r="S10">
        <v>30</v>
      </c>
      <c r="T10" t="s">
        <v>142</v>
      </c>
      <c r="U10" t="s">
        <v>143</v>
      </c>
      <c r="V10" t="s">
        <v>143</v>
      </c>
      <c r="W10" t="s">
        <v>143</v>
      </c>
      <c r="X10" t="s">
        <v>143</v>
      </c>
      <c r="AA10" t="s">
        <v>144</v>
      </c>
      <c r="AB10" t="s">
        <v>145</v>
      </c>
      <c r="AC10">
        <v>0</v>
      </c>
      <c r="AD10">
        <v>0</v>
      </c>
      <c r="AO10">
        <v>0</v>
      </c>
      <c r="AP10">
        <v>19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A10">
        <v>727162</v>
      </c>
      <c r="BB10">
        <v>3763509</v>
      </c>
    </row>
    <row r="11" spans="1:57" x14ac:dyDescent="0.35">
      <c r="A11">
        <v>110541</v>
      </c>
      <c r="B11">
        <v>908</v>
      </c>
      <c r="C11" t="s">
        <v>135</v>
      </c>
      <c r="D11" s="15">
        <v>701012160922367</v>
      </c>
      <c r="F11">
        <v>70</v>
      </c>
      <c r="G11" t="s">
        <v>136</v>
      </c>
      <c r="H11">
        <v>7010</v>
      </c>
      <c r="I11" t="s">
        <v>137</v>
      </c>
      <c r="K11" t="s">
        <v>79</v>
      </c>
      <c r="M11">
        <v>12160922366</v>
      </c>
      <c r="N11" t="s">
        <v>139</v>
      </c>
      <c r="O11">
        <v>12160922366</v>
      </c>
      <c r="Q11" t="s">
        <v>141</v>
      </c>
      <c r="R11">
        <v>0</v>
      </c>
      <c r="S11">
        <v>36</v>
      </c>
      <c r="T11" t="s">
        <v>142</v>
      </c>
      <c r="AA11" t="s">
        <v>144</v>
      </c>
      <c r="AB11" t="s">
        <v>145</v>
      </c>
      <c r="AC11">
        <v>0</v>
      </c>
      <c r="AD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A11">
        <v>727158.00000000198</v>
      </c>
      <c r="BB11">
        <v>3763487</v>
      </c>
    </row>
    <row r="12" spans="1:57" x14ac:dyDescent="0.35">
      <c r="A12">
        <v>110540</v>
      </c>
      <c r="B12">
        <v>907</v>
      </c>
      <c r="C12" t="s">
        <v>135</v>
      </c>
      <c r="D12" s="15">
        <v>701012160922366</v>
      </c>
      <c r="F12">
        <v>70</v>
      </c>
      <c r="G12" t="s">
        <v>136</v>
      </c>
      <c r="H12">
        <v>7010</v>
      </c>
      <c r="I12" t="s">
        <v>137</v>
      </c>
      <c r="K12" t="s">
        <v>138</v>
      </c>
      <c r="M12">
        <v>12160922366</v>
      </c>
      <c r="N12" t="s">
        <v>139</v>
      </c>
      <c r="O12">
        <v>12160922366</v>
      </c>
      <c r="P12" t="s">
        <v>140</v>
      </c>
      <c r="Q12" t="s">
        <v>141</v>
      </c>
      <c r="R12">
        <v>0</v>
      </c>
      <c r="S12">
        <v>36</v>
      </c>
      <c r="T12" t="s">
        <v>142</v>
      </c>
      <c r="U12" t="s">
        <v>143</v>
      </c>
      <c r="V12" t="s">
        <v>143</v>
      </c>
      <c r="W12" t="s">
        <v>143</v>
      </c>
      <c r="X12" t="s">
        <v>143</v>
      </c>
      <c r="AA12" t="s">
        <v>144</v>
      </c>
      <c r="AB12" t="s">
        <v>145</v>
      </c>
      <c r="AC12">
        <v>0</v>
      </c>
      <c r="AD12">
        <v>0</v>
      </c>
      <c r="AO12">
        <v>0</v>
      </c>
      <c r="AP12">
        <v>20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A12">
        <v>727158.00000000198</v>
      </c>
      <c r="BB12">
        <v>3763487</v>
      </c>
    </row>
    <row r="13" spans="1:57" x14ac:dyDescent="0.35">
      <c r="A13">
        <v>110539</v>
      </c>
      <c r="B13">
        <v>906</v>
      </c>
      <c r="C13" t="s">
        <v>135</v>
      </c>
      <c r="D13" s="15">
        <v>701012160922366</v>
      </c>
      <c r="F13">
        <v>70</v>
      </c>
      <c r="G13" t="s">
        <v>136</v>
      </c>
      <c r="H13">
        <v>7010</v>
      </c>
      <c r="I13" t="s">
        <v>137</v>
      </c>
      <c r="K13" t="s">
        <v>79</v>
      </c>
      <c r="M13">
        <v>12160922311</v>
      </c>
      <c r="N13" t="s">
        <v>139</v>
      </c>
      <c r="O13">
        <v>12160922311</v>
      </c>
      <c r="Q13" t="s">
        <v>141</v>
      </c>
      <c r="R13">
        <v>0</v>
      </c>
      <c r="T13" t="s">
        <v>146</v>
      </c>
      <c r="AA13" t="s">
        <v>144</v>
      </c>
      <c r="AB13" t="s">
        <v>145</v>
      </c>
      <c r="AC13">
        <v>0</v>
      </c>
      <c r="AD13">
        <v>0</v>
      </c>
      <c r="AE13" t="s">
        <v>147</v>
      </c>
      <c r="AF13" t="s">
        <v>148</v>
      </c>
      <c r="AG13" t="s">
        <v>149</v>
      </c>
      <c r="AH13" t="s">
        <v>150</v>
      </c>
      <c r="AJ13" t="s">
        <v>151</v>
      </c>
      <c r="AK13" t="s">
        <v>152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 t="s">
        <v>153</v>
      </c>
      <c r="BA13">
        <v>727157</v>
      </c>
      <c r="BB13">
        <v>3763437</v>
      </c>
    </row>
    <row r="14" spans="1:57" x14ac:dyDescent="0.35">
      <c r="A14">
        <v>110538</v>
      </c>
      <c r="B14">
        <v>905</v>
      </c>
      <c r="C14" t="s">
        <v>135</v>
      </c>
      <c r="D14" s="15">
        <v>701012160922365</v>
      </c>
      <c r="F14">
        <v>70</v>
      </c>
      <c r="G14" t="s">
        <v>136</v>
      </c>
      <c r="H14">
        <v>7010</v>
      </c>
      <c r="I14" t="s">
        <v>137</v>
      </c>
      <c r="K14" t="s">
        <v>138</v>
      </c>
      <c r="M14">
        <v>12160922365</v>
      </c>
      <c r="N14" t="s">
        <v>139</v>
      </c>
      <c r="O14">
        <v>12160922365</v>
      </c>
      <c r="P14" t="s">
        <v>140</v>
      </c>
      <c r="Q14" t="s">
        <v>141</v>
      </c>
      <c r="R14">
        <v>0</v>
      </c>
      <c r="S14">
        <v>30</v>
      </c>
      <c r="T14" t="s">
        <v>142</v>
      </c>
      <c r="U14" t="s">
        <v>154</v>
      </c>
      <c r="V14" t="s">
        <v>154</v>
      </c>
      <c r="W14" t="s">
        <v>154</v>
      </c>
      <c r="X14" t="s">
        <v>154</v>
      </c>
      <c r="AA14" t="s">
        <v>144</v>
      </c>
      <c r="AB14" t="s">
        <v>145</v>
      </c>
      <c r="AC14">
        <v>0</v>
      </c>
      <c r="AD14">
        <v>0</v>
      </c>
      <c r="AO14">
        <v>0</v>
      </c>
      <c r="AP14">
        <v>10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A14">
        <v>727183</v>
      </c>
      <c r="BB14">
        <v>3763446</v>
      </c>
    </row>
    <row r="15" spans="1:57" x14ac:dyDescent="0.35">
      <c r="A15">
        <v>110537</v>
      </c>
      <c r="B15">
        <v>904</v>
      </c>
      <c r="C15" t="s">
        <v>135</v>
      </c>
      <c r="D15" s="15">
        <v>701012160922365</v>
      </c>
      <c r="F15">
        <v>70</v>
      </c>
      <c r="G15" t="s">
        <v>136</v>
      </c>
      <c r="H15">
        <v>7010</v>
      </c>
      <c r="I15" t="s">
        <v>137</v>
      </c>
      <c r="K15" t="s">
        <v>79</v>
      </c>
      <c r="M15">
        <v>12160922311</v>
      </c>
      <c r="N15" t="s">
        <v>139</v>
      </c>
      <c r="O15">
        <v>12160922311</v>
      </c>
      <c r="Q15" t="s">
        <v>141</v>
      </c>
      <c r="R15">
        <v>0</v>
      </c>
      <c r="T15" t="s">
        <v>146</v>
      </c>
      <c r="AA15" t="s">
        <v>144</v>
      </c>
      <c r="AB15" t="s">
        <v>145</v>
      </c>
      <c r="AC15">
        <v>0</v>
      </c>
      <c r="AD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A15">
        <v>727157</v>
      </c>
      <c r="BB15">
        <v>3763437</v>
      </c>
    </row>
    <row r="16" spans="1:57" x14ac:dyDescent="0.35">
      <c r="A16">
        <v>110536</v>
      </c>
      <c r="B16">
        <v>903</v>
      </c>
      <c r="C16" t="s">
        <v>135</v>
      </c>
      <c r="D16" s="15">
        <v>701012160922311</v>
      </c>
      <c r="F16">
        <v>70</v>
      </c>
      <c r="G16" t="s">
        <v>136</v>
      </c>
      <c r="H16">
        <v>7010</v>
      </c>
      <c r="I16" t="s">
        <v>137</v>
      </c>
      <c r="K16" t="s">
        <v>138</v>
      </c>
      <c r="M16">
        <v>12160922311</v>
      </c>
      <c r="N16" t="s">
        <v>139</v>
      </c>
      <c r="O16">
        <v>12160922311</v>
      </c>
      <c r="P16" t="s">
        <v>140</v>
      </c>
      <c r="Q16" t="s">
        <v>141</v>
      </c>
      <c r="R16">
        <v>0</v>
      </c>
      <c r="T16" t="s">
        <v>146</v>
      </c>
      <c r="U16" t="s">
        <v>143</v>
      </c>
      <c r="V16" t="s">
        <v>143</v>
      </c>
      <c r="W16" t="s">
        <v>143</v>
      </c>
      <c r="X16" t="s">
        <v>143</v>
      </c>
      <c r="AA16" t="s">
        <v>144</v>
      </c>
      <c r="AB16" t="s">
        <v>145</v>
      </c>
      <c r="AC16">
        <v>0</v>
      </c>
      <c r="AD16">
        <v>0</v>
      </c>
      <c r="AO16">
        <v>0</v>
      </c>
      <c r="AP16">
        <v>9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A16">
        <v>727157</v>
      </c>
      <c r="BB16">
        <v>3763437</v>
      </c>
    </row>
    <row r="17" spans="1:54" x14ac:dyDescent="0.35">
      <c r="A17">
        <v>110535</v>
      </c>
      <c r="B17">
        <v>902</v>
      </c>
      <c r="C17" t="s">
        <v>135</v>
      </c>
      <c r="D17" s="15">
        <v>701012160922311</v>
      </c>
      <c r="F17">
        <v>70</v>
      </c>
      <c r="G17" t="s">
        <v>136</v>
      </c>
      <c r="H17">
        <v>7010</v>
      </c>
      <c r="I17" t="s">
        <v>137</v>
      </c>
      <c r="K17" t="s">
        <v>79</v>
      </c>
      <c r="M17">
        <v>12160922311</v>
      </c>
      <c r="N17" t="s">
        <v>139</v>
      </c>
      <c r="O17">
        <v>12160922311</v>
      </c>
      <c r="Q17" t="s">
        <v>141</v>
      </c>
      <c r="R17">
        <v>0</v>
      </c>
      <c r="T17" t="s">
        <v>146</v>
      </c>
      <c r="AA17" t="s">
        <v>144</v>
      </c>
      <c r="AB17" t="s">
        <v>145</v>
      </c>
      <c r="AC17">
        <v>0</v>
      </c>
      <c r="AD17">
        <v>0</v>
      </c>
      <c r="AE17" t="s">
        <v>147</v>
      </c>
      <c r="AF17" t="s">
        <v>148</v>
      </c>
      <c r="AG17" t="s">
        <v>149</v>
      </c>
      <c r="AH17" t="s">
        <v>150</v>
      </c>
      <c r="AJ17" t="s">
        <v>151</v>
      </c>
      <c r="AK17" t="s">
        <v>152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 t="s">
        <v>153</v>
      </c>
      <c r="BA17">
        <v>727157</v>
      </c>
      <c r="BB17">
        <v>3763437</v>
      </c>
    </row>
    <row r="18" spans="1:54" x14ac:dyDescent="0.35">
      <c r="A18">
        <v>110534</v>
      </c>
      <c r="B18">
        <v>901</v>
      </c>
      <c r="C18" t="s">
        <v>135</v>
      </c>
      <c r="D18" s="15">
        <v>701012160922311</v>
      </c>
      <c r="F18">
        <v>70</v>
      </c>
      <c r="G18" t="s">
        <v>136</v>
      </c>
      <c r="H18">
        <v>7010</v>
      </c>
      <c r="I18" t="s">
        <v>137</v>
      </c>
      <c r="K18" t="s">
        <v>138</v>
      </c>
      <c r="M18">
        <v>12160922311</v>
      </c>
      <c r="N18" t="s">
        <v>139</v>
      </c>
      <c r="O18">
        <v>12160922311</v>
      </c>
      <c r="P18" t="s">
        <v>140</v>
      </c>
      <c r="Q18" t="s">
        <v>141</v>
      </c>
      <c r="R18">
        <v>0</v>
      </c>
      <c r="S18">
        <v>36</v>
      </c>
      <c r="T18" t="s">
        <v>142</v>
      </c>
      <c r="U18" t="s">
        <v>143</v>
      </c>
      <c r="V18" t="s">
        <v>143</v>
      </c>
      <c r="W18" t="s">
        <v>143</v>
      </c>
      <c r="X18" t="s">
        <v>143</v>
      </c>
      <c r="AA18" t="s">
        <v>144</v>
      </c>
      <c r="AB18" t="s">
        <v>155</v>
      </c>
      <c r="AC18">
        <v>0</v>
      </c>
      <c r="AD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A18">
        <v>727157</v>
      </c>
      <c r="BB18">
        <v>3763437</v>
      </c>
    </row>
    <row r="19" spans="1:54" x14ac:dyDescent="0.35">
      <c r="A19">
        <v>110533</v>
      </c>
      <c r="B19">
        <v>900</v>
      </c>
      <c r="C19" t="s">
        <v>135</v>
      </c>
      <c r="D19" s="15">
        <v>701012160922311</v>
      </c>
      <c r="F19">
        <v>70</v>
      </c>
      <c r="G19" t="s">
        <v>136</v>
      </c>
      <c r="H19">
        <v>7010</v>
      </c>
      <c r="I19" t="s">
        <v>137</v>
      </c>
      <c r="K19" t="s">
        <v>79</v>
      </c>
      <c r="M19">
        <v>12160922363</v>
      </c>
      <c r="N19" t="s">
        <v>139</v>
      </c>
      <c r="O19">
        <v>12160922363</v>
      </c>
      <c r="Q19" t="s">
        <v>141</v>
      </c>
      <c r="R19">
        <v>0</v>
      </c>
      <c r="S19">
        <v>36</v>
      </c>
      <c r="T19" t="s">
        <v>142</v>
      </c>
      <c r="AA19" t="s">
        <v>144</v>
      </c>
      <c r="AB19" t="s">
        <v>155</v>
      </c>
      <c r="AC19">
        <v>0</v>
      </c>
      <c r="AD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A19">
        <v>727130.00000000105</v>
      </c>
      <c r="BB19">
        <v>3763472</v>
      </c>
    </row>
    <row r="20" spans="1:54" x14ac:dyDescent="0.35">
      <c r="A20">
        <v>110532</v>
      </c>
      <c r="B20">
        <v>899</v>
      </c>
      <c r="C20" t="s">
        <v>135</v>
      </c>
      <c r="D20" s="15">
        <v>701012160922363</v>
      </c>
      <c r="F20">
        <v>70</v>
      </c>
      <c r="G20" t="s">
        <v>136</v>
      </c>
      <c r="H20">
        <v>7010</v>
      </c>
      <c r="I20" t="s">
        <v>137</v>
      </c>
      <c r="K20" t="s">
        <v>138</v>
      </c>
      <c r="M20">
        <v>12160922363</v>
      </c>
      <c r="N20" t="s">
        <v>139</v>
      </c>
      <c r="O20">
        <v>12160922363</v>
      </c>
      <c r="P20" t="s">
        <v>140</v>
      </c>
      <c r="Q20" t="s">
        <v>141</v>
      </c>
      <c r="R20">
        <v>0</v>
      </c>
      <c r="S20">
        <v>36</v>
      </c>
      <c r="T20" t="s">
        <v>142</v>
      </c>
      <c r="U20" t="s">
        <v>143</v>
      </c>
      <c r="V20" t="s">
        <v>143</v>
      </c>
      <c r="W20" t="s">
        <v>143</v>
      </c>
      <c r="X20" t="s">
        <v>143</v>
      </c>
      <c r="AA20" t="s">
        <v>144</v>
      </c>
      <c r="AB20" t="s">
        <v>155</v>
      </c>
      <c r="AC20">
        <v>0</v>
      </c>
      <c r="AD20">
        <v>0</v>
      </c>
      <c r="AO20">
        <v>0</v>
      </c>
      <c r="AP20">
        <v>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A20">
        <v>727130.00000000105</v>
      </c>
      <c r="BB20">
        <v>3763472</v>
      </c>
    </row>
    <row r="21" spans="1:54" x14ac:dyDescent="0.35">
      <c r="A21">
        <v>110531</v>
      </c>
      <c r="B21">
        <v>898</v>
      </c>
      <c r="C21" t="s">
        <v>135</v>
      </c>
      <c r="D21" s="15">
        <v>701012160922363</v>
      </c>
      <c r="F21">
        <v>70</v>
      </c>
      <c r="G21" t="s">
        <v>136</v>
      </c>
      <c r="H21">
        <v>7010</v>
      </c>
      <c r="I21" t="s">
        <v>137</v>
      </c>
      <c r="K21" t="s">
        <v>79</v>
      </c>
      <c r="M21">
        <v>12160922362</v>
      </c>
      <c r="N21" t="s">
        <v>139</v>
      </c>
      <c r="O21">
        <v>12160922362</v>
      </c>
      <c r="Q21" t="s">
        <v>141</v>
      </c>
      <c r="R21">
        <v>0</v>
      </c>
      <c r="T21" t="s">
        <v>146</v>
      </c>
      <c r="AA21" t="s">
        <v>144</v>
      </c>
      <c r="AB21" t="s">
        <v>155</v>
      </c>
      <c r="AC21">
        <v>0</v>
      </c>
      <c r="AD21">
        <v>0</v>
      </c>
      <c r="AE21" t="s">
        <v>147</v>
      </c>
      <c r="AF21" t="s">
        <v>148</v>
      </c>
      <c r="AG21" t="s">
        <v>149</v>
      </c>
      <c r="AH21" t="s">
        <v>156</v>
      </c>
      <c r="AJ21" t="s">
        <v>157</v>
      </c>
      <c r="AK21" t="s">
        <v>152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 t="s">
        <v>158</v>
      </c>
      <c r="BA21">
        <v>727106.200000001</v>
      </c>
      <c r="BB21">
        <v>3763481.4</v>
      </c>
    </row>
    <row r="22" spans="1:54" x14ac:dyDescent="0.35">
      <c r="A22">
        <v>110530</v>
      </c>
      <c r="B22">
        <v>897</v>
      </c>
      <c r="C22" t="s">
        <v>135</v>
      </c>
      <c r="D22" s="15">
        <v>701012160922326</v>
      </c>
      <c r="F22">
        <v>70</v>
      </c>
      <c r="G22" t="s">
        <v>136</v>
      </c>
      <c r="H22">
        <v>7010</v>
      </c>
      <c r="I22" t="s">
        <v>137</v>
      </c>
      <c r="K22" t="s">
        <v>138</v>
      </c>
      <c r="M22">
        <v>12160922326</v>
      </c>
      <c r="N22" t="s">
        <v>139</v>
      </c>
      <c r="O22">
        <v>12160922326</v>
      </c>
      <c r="P22" t="s">
        <v>140</v>
      </c>
      <c r="Q22" t="s">
        <v>141</v>
      </c>
      <c r="R22">
        <v>0</v>
      </c>
      <c r="S22">
        <v>36</v>
      </c>
      <c r="T22" t="s">
        <v>142</v>
      </c>
      <c r="U22" t="s">
        <v>143</v>
      </c>
      <c r="V22" t="s">
        <v>143</v>
      </c>
      <c r="W22" t="s">
        <v>143</v>
      </c>
      <c r="X22" t="s">
        <v>143</v>
      </c>
      <c r="AA22" t="s">
        <v>144</v>
      </c>
      <c r="AB22" t="s">
        <v>155</v>
      </c>
      <c r="AC22">
        <v>0</v>
      </c>
      <c r="AD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A22">
        <v>727046.00000000105</v>
      </c>
      <c r="BB22">
        <v>3763504</v>
      </c>
    </row>
    <row r="23" spans="1:54" x14ac:dyDescent="0.35">
      <c r="A23">
        <v>110529</v>
      </c>
      <c r="B23">
        <v>896</v>
      </c>
      <c r="C23" t="s">
        <v>135</v>
      </c>
      <c r="D23" s="15">
        <v>701012160922326</v>
      </c>
      <c r="E23">
        <v>0</v>
      </c>
      <c r="F23">
        <v>70</v>
      </c>
      <c r="G23" t="s">
        <v>136</v>
      </c>
      <c r="H23">
        <v>7010</v>
      </c>
      <c r="I23" t="s">
        <v>137</v>
      </c>
      <c r="K23" t="s">
        <v>79</v>
      </c>
      <c r="M23">
        <v>12160922359</v>
      </c>
      <c r="N23" t="s">
        <v>139</v>
      </c>
      <c r="O23">
        <v>12160922359</v>
      </c>
      <c r="Q23" t="s">
        <v>141</v>
      </c>
      <c r="R23">
        <v>0</v>
      </c>
      <c r="S23">
        <v>36</v>
      </c>
      <c r="T23" t="s">
        <v>142</v>
      </c>
      <c r="AA23" t="s">
        <v>144</v>
      </c>
      <c r="AB23" t="s">
        <v>155</v>
      </c>
      <c r="AC23">
        <v>0</v>
      </c>
      <c r="AD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A23">
        <v>727076.00000000198</v>
      </c>
      <c r="BB23">
        <v>3763496</v>
      </c>
    </row>
    <row r="24" spans="1:54" x14ac:dyDescent="0.35">
      <c r="A24">
        <v>110528</v>
      </c>
      <c r="B24">
        <v>895</v>
      </c>
      <c r="C24" t="s">
        <v>135</v>
      </c>
      <c r="D24" s="15">
        <v>701012160922359</v>
      </c>
      <c r="E24">
        <v>0</v>
      </c>
      <c r="F24">
        <v>70</v>
      </c>
      <c r="G24" t="s">
        <v>136</v>
      </c>
      <c r="H24">
        <v>7010</v>
      </c>
      <c r="I24" t="s">
        <v>137</v>
      </c>
      <c r="K24" t="s">
        <v>138</v>
      </c>
      <c r="M24">
        <v>12160922359</v>
      </c>
      <c r="N24" t="s">
        <v>139</v>
      </c>
      <c r="O24">
        <v>12160922359</v>
      </c>
      <c r="P24" t="s">
        <v>140</v>
      </c>
      <c r="Q24" t="s">
        <v>141</v>
      </c>
      <c r="R24">
        <v>0</v>
      </c>
      <c r="S24">
        <v>36</v>
      </c>
      <c r="T24" t="s">
        <v>142</v>
      </c>
      <c r="U24" t="s">
        <v>143</v>
      </c>
      <c r="V24" t="s">
        <v>143</v>
      </c>
      <c r="W24" t="s">
        <v>143</v>
      </c>
      <c r="X24" t="s">
        <v>143</v>
      </c>
      <c r="AA24" t="s">
        <v>144</v>
      </c>
      <c r="AB24" t="s">
        <v>155</v>
      </c>
      <c r="AC24">
        <v>0</v>
      </c>
      <c r="AD24">
        <v>0</v>
      </c>
      <c r="AO24">
        <v>0</v>
      </c>
      <c r="AP24">
        <v>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A24">
        <v>727076.00000000198</v>
      </c>
      <c r="BB24">
        <v>3763496</v>
      </c>
    </row>
    <row r="25" spans="1:54" x14ac:dyDescent="0.35">
      <c r="A25">
        <v>110527</v>
      </c>
      <c r="B25">
        <v>894</v>
      </c>
      <c r="C25" t="s">
        <v>135</v>
      </c>
      <c r="D25" s="15">
        <v>701012160922359</v>
      </c>
      <c r="F25">
        <v>70</v>
      </c>
      <c r="G25" t="s">
        <v>136</v>
      </c>
      <c r="H25">
        <v>7010</v>
      </c>
      <c r="I25" t="s">
        <v>137</v>
      </c>
      <c r="K25" t="s">
        <v>79</v>
      </c>
      <c r="M25">
        <v>12160922362</v>
      </c>
      <c r="N25" t="s">
        <v>139</v>
      </c>
      <c r="O25">
        <v>12160922362</v>
      </c>
      <c r="Q25" t="s">
        <v>141</v>
      </c>
      <c r="R25">
        <v>0</v>
      </c>
      <c r="T25" t="s">
        <v>146</v>
      </c>
      <c r="AA25" t="s">
        <v>144</v>
      </c>
      <c r="AB25" t="s">
        <v>155</v>
      </c>
      <c r="AC25">
        <v>0</v>
      </c>
      <c r="AD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A25">
        <v>727106.200000001</v>
      </c>
      <c r="BB25">
        <v>3763481.4</v>
      </c>
    </row>
    <row r="26" spans="1:54" x14ac:dyDescent="0.35">
      <c r="A26">
        <v>110526</v>
      </c>
      <c r="B26">
        <v>893</v>
      </c>
      <c r="C26" t="s">
        <v>135</v>
      </c>
      <c r="D26" s="15">
        <v>701012160922362</v>
      </c>
      <c r="F26">
        <v>70</v>
      </c>
      <c r="G26" t="s">
        <v>136</v>
      </c>
      <c r="H26">
        <v>7010</v>
      </c>
      <c r="I26" t="s">
        <v>137</v>
      </c>
      <c r="K26" t="s">
        <v>138</v>
      </c>
      <c r="M26">
        <v>12160922362</v>
      </c>
      <c r="N26" t="s">
        <v>139</v>
      </c>
      <c r="O26">
        <v>12160922362</v>
      </c>
      <c r="P26" t="s">
        <v>140</v>
      </c>
      <c r="Q26" t="s">
        <v>141</v>
      </c>
      <c r="R26">
        <v>0</v>
      </c>
      <c r="T26" t="s">
        <v>146</v>
      </c>
      <c r="U26" t="s">
        <v>143</v>
      </c>
      <c r="V26" t="s">
        <v>143</v>
      </c>
      <c r="W26" t="s">
        <v>143</v>
      </c>
      <c r="X26" t="s">
        <v>143</v>
      </c>
      <c r="AA26" t="s">
        <v>144</v>
      </c>
      <c r="AB26" t="s">
        <v>155</v>
      </c>
      <c r="AC26">
        <v>0</v>
      </c>
      <c r="AD26">
        <v>0</v>
      </c>
      <c r="AO26">
        <v>0</v>
      </c>
      <c r="AP26">
        <v>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A26">
        <v>727106.200000001</v>
      </c>
      <c r="BB26">
        <v>3763481.4</v>
      </c>
    </row>
    <row r="27" spans="1:54" x14ac:dyDescent="0.35">
      <c r="A27">
        <v>110525</v>
      </c>
      <c r="B27">
        <v>892</v>
      </c>
      <c r="C27" t="s">
        <v>135</v>
      </c>
      <c r="D27" s="15">
        <v>701012160922362</v>
      </c>
      <c r="F27">
        <v>70</v>
      </c>
      <c r="G27" t="s">
        <v>136</v>
      </c>
      <c r="H27">
        <v>7010</v>
      </c>
      <c r="I27" t="s">
        <v>137</v>
      </c>
      <c r="K27" t="s">
        <v>79</v>
      </c>
      <c r="M27">
        <v>12160922362</v>
      </c>
      <c r="N27" t="s">
        <v>139</v>
      </c>
      <c r="O27">
        <v>12160922362</v>
      </c>
      <c r="Q27" t="s">
        <v>141</v>
      </c>
      <c r="R27">
        <v>0</v>
      </c>
      <c r="T27" t="s">
        <v>146</v>
      </c>
      <c r="AA27" t="s">
        <v>144</v>
      </c>
      <c r="AB27" t="s">
        <v>155</v>
      </c>
      <c r="AC27">
        <v>0</v>
      </c>
      <c r="AD27">
        <v>0</v>
      </c>
      <c r="AE27" t="s">
        <v>147</v>
      </c>
      <c r="AF27" t="s">
        <v>148</v>
      </c>
      <c r="AG27" t="s">
        <v>149</v>
      </c>
      <c r="AH27" t="s">
        <v>156</v>
      </c>
      <c r="AJ27" t="s">
        <v>157</v>
      </c>
      <c r="AK27" t="s">
        <v>152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 t="s">
        <v>158</v>
      </c>
      <c r="BA27">
        <v>727106.200000001</v>
      </c>
      <c r="BB27">
        <v>3763481.4</v>
      </c>
    </row>
    <row r="28" spans="1:54" x14ac:dyDescent="0.35">
      <c r="A28">
        <v>110524</v>
      </c>
      <c r="B28">
        <v>891</v>
      </c>
      <c r="C28" t="s">
        <v>135</v>
      </c>
      <c r="D28" s="15">
        <v>701012160922364</v>
      </c>
      <c r="F28">
        <v>70</v>
      </c>
      <c r="G28" t="s">
        <v>136</v>
      </c>
      <c r="H28">
        <v>7010</v>
      </c>
      <c r="I28" t="s">
        <v>137</v>
      </c>
      <c r="K28" t="s">
        <v>138</v>
      </c>
      <c r="M28">
        <v>12160922364</v>
      </c>
      <c r="N28" t="s">
        <v>139</v>
      </c>
      <c r="O28">
        <v>12160922364</v>
      </c>
      <c r="P28" t="s">
        <v>140</v>
      </c>
      <c r="Q28" t="s">
        <v>141</v>
      </c>
      <c r="R28">
        <v>0</v>
      </c>
      <c r="S28">
        <v>30</v>
      </c>
      <c r="T28" t="s">
        <v>142</v>
      </c>
      <c r="U28" t="s">
        <v>143</v>
      </c>
      <c r="V28" t="s">
        <v>143</v>
      </c>
      <c r="W28" t="s">
        <v>143</v>
      </c>
      <c r="X28" t="s">
        <v>143</v>
      </c>
      <c r="AA28" t="s">
        <v>144</v>
      </c>
      <c r="AB28" t="s">
        <v>159</v>
      </c>
      <c r="AC28">
        <v>0</v>
      </c>
      <c r="AD28">
        <v>0</v>
      </c>
      <c r="AO28">
        <v>0</v>
      </c>
      <c r="AP28">
        <v>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A28">
        <v>727142</v>
      </c>
      <c r="BB28">
        <v>3763499</v>
      </c>
    </row>
    <row r="29" spans="1:54" x14ac:dyDescent="0.35">
      <c r="A29">
        <v>110523</v>
      </c>
      <c r="B29">
        <v>890</v>
      </c>
      <c r="C29" t="s">
        <v>135</v>
      </c>
      <c r="D29" s="15">
        <v>701012160922364</v>
      </c>
      <c r="F29">
        <v>70</v>
      </c>
      <c r="G29" t="s">
        <v>136</v>
      </c>
      <c r="H29">
        <v>7010</v>
      </c>
      <c r="I29" t="s">
        <v>137</v>
      </c>
      <c r="K29" t="s">
        <v>79</v>
      </c>
      <c r="M29">
        <v>12160922358</v>
      </c>
      <c r="N29" t="s">
        <v>139</v>
      </c>
      <c r="O29">
        <v>12160922358</v>
      </c>
      <c r="Q29" t="s">
        <v>141</v>
      </c>
      <c r="R29">
        <v>0</v>
      </c>
      <c r="S29">
        <v>30</v>
      </c>
      <c r="T29" t="s">
        <v>142</v>
      </c>
      <c r="AA29" t="s">
        <v>144</v>
      </c>
      <c r="AB29" t="s">
        <v>159</v>
      </c>
      <c r="AC29">
        <v>0</v>
      </c>
      <c r="AD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A29">
        <v>727115.00000000105</v>
      </c>
      <c r="BB29">
        <v>3763511</v>
      </c>
    </row>
    <row r="30" spans="1:54" x14ac:dyDescent="0.35">
      <c r="A30">
        <v>110522</v>
      </c>
      <c r="B30">
        <v>889</v>
      </c>
      <c r="C30" t="s">
        <v>135</v>
      </c>
      <c r="D30" s="15">
        <v>701012160922352</v>
      </c>
      <c r="F30">
        <v>70</v>
      </c>
      <c r="G30" t="s">
        <v>136</v>
      </c>
      <c r="H30">
        <v>7010</v>
      </c>
      <c r="I30" t="s">
        <v>137</v>
      </c>
      <c r="K30" t="s">
        <v>138</v>
      </c>
      <c r="M30">
        <v>12160922352</v>
      </c>
      <c r="N30" t="s">
        <v>139</v>
      </c>
      <c r="O30">
        <v>12160922352</v>
      </c>
      <c r="P30" t="s">
        <v>140</v>
      </c>
      <c r="Q30" t="s">
        <v>141</v>
      </c>
      <c r="R30">
        <v>0</v>
      </c>
      <c r="S30">
        <v>30</v>
      </c>
      <c r="T30" t="s">
        <v>142</v>
      </c>
      <c r="U30" t="s">
        <v>143</v>
      </c>
      <c r="V30" t="s">
        <v>143</v>
      </c>
      <c r="W30" t="s">
        <v>143</v>
      </c>
      <c r="X30" t="s">
        <v>143</v>
      </c>
      <c r="AA30" t="s">
        <v>144</v>
      </c>
      <c r="AB30" t="s">
        <v>159</v>
      </c>
      <c r="AC30">
        <v>0</v>
      </c>
      <c r="AD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A30">
        <v>727167.99999999895</v>
      </c>
      <c r="BB30">
        <v>3763621</v>
      </c>
    </row>
    <row r="31" spans="1:54" x14ac:dyDescent="0.35">
      <c r="A31">
        <v>110521</v>
      </c>
      <c r="B31">
        <v>888</v>
      </c>
      <c r="C31" t="s">
        <v>135</v>
      </c>
      <c r="D31" s="15">
        <v>701012160922352</v>
      </c>
      <c r="F31">
        <v>70</v>
      </c>
      <c r="G31" t="s">
        <v>136</v>
      </c>
      <c r="H31">
        <v>7010</v>
      </c>
      <c r="I31" t="s">
        <v>137</v>
      </c>
      <c r="K31" t="s">
        <v>79</v>
      </c>
      <c r="M31">
        <v>12160922353</v>
      </c>
      <c r="N31" t="s">
        <v>139</v>
      </c>
      <c r="O31">
        <v>12160922353</v>
      </c>
      <c r="Q31" t="s">
        <v>141</v>
      </c>
      <c r="R31">
        <v>0</v>
      </c>
      <c r="S31">
        <v>30</v>
      </c>
      <c r="T31" t="s">
        <v>142</v>
      </c>
      <c r="AA31" t="s">
        <v>144</v>
      </c>
      <c r="AB31" t="s">
        <v>159</v>
      </c>
      <c r="AC31">
        <v>0</v>
      </c>
      <c r="AD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A31">
        <v>727149</v>
      </c>
      <c r="BB31">
        <v>3763579</v>
      </c>
    </row>
    <row r="32" spans="1:54" x14ac:dyDescent="0.35">
      <c r="A32">
        <v>110520</v>
      </c>
      <c r="B32">
        <v>887</v>
      </c>
      <c r="C32" t="s">
        <v>135</v>
      </c>
      <c r="D32" s="15">
        <v>701012160922353</v>
      </c>
      <c r="F32">
        <v>70</v>
      </c>
      <c r="G32" t="s">
        <v>136</v>
      </c>
      <c r="H32">
        <v>7010</v>
      </c>
      <c r="I32" t="s">
        <v>137</v>
      </c>
      <c r="K32" t="s">
        <v>138</v>
      </c>
      <c r="M32">
        <v>12160922353</v>
      </c>
      <c r="N32" t="s">
        <v>139</v>
      </c>
      <c r="O32">
        <v>12160922353</v>
      </c>
      <c r="P32" t="s">
        <v>140</v>
      </c>
      <c r="Q32" t="s">
        <v>141</v>
      </c>
      <c r="R32">
        <v>0</v>
      </c>
      <c r="S32">
        <v>30</v>
      </c>
      <c r="T32" t="s">
        <v>142</v>
      </c>
      <c r="U32" t="s">
        <v>143</v>
      </c>
      <c r="V32" t="s">
        <v>143</v>
      </c>
      <c r="W32" t="s">
        <v>143</v>
      </c>
      <c r="X32" t="s">
        <v>143</v>
      </c>
      <c r="AA32" t="s">
        <v>144</v>
      </c>
      <c r="AB32" t="s">
        <v>159</v>
      </c>
      <c r="AC32">
        <v>0</v>
      </c>
      <c r="AD32">
        <v>0</v>
      </c>
      <c r="AO32">
        <v>0</v>
      </c>
      <c r="AP32">
        <v>10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A32">
        <v>727149</v>
      </c>
      <c r="BB32">
        <v>3763579</v>
      </c>
    </row>
    <row r="33" spans="1:54" x14ac:dyDescent="0.35">
      <c r="A33">
        <v>110519</v>
      </c>
      <c r="B33">
        <v>886</v>
      </c>
      <c r="C33" t="s">
        <v>135</v>
      </c>
      <c r="D33" s="15">
        <v>701012160922353</v>
      </c>
      <c r="F33">
        <v>70</v>
      </c>
      <c r="G33" t="s">
        <v>136</v>
      </c>
      <c r="H33">
        <v>7010</v>
      </c>
      <c r="I33" t="s">
        <v>137</v>
      </c>
      <c r="K33" t="s">
        <v>79</v>
      </c>
      <c r="M33">
        <v>12160922354</v>
      </c>
      <c r="N33" t="s">
        <v>139</v>
      </c>
      <c r="O33">
        <v>12160922354</v>
      </c>
      <c r="Q33" t="s">
        <v>141</v>
      </c>
      <c r="R33">
        <v>0</v>
      </c>
      <c r="S33">
        <v>30</v>
      </c>
      <c r="T33" t="s">
        <v>142</v>
      </c>
      <c r="AA33" t="s">
        <v>144</v>
      </c>
      <c r="AB33" t="s">
        <v>159</v>
      </c>
      <c r="AC33">
        <v>0</v>
      </c>
      <c r="AD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A33">
        <v>727139</v>
      </c>
      <c r="BB33">
        <v>3763557</v>
      </c>
    </row>
    <row r="34" spans="1:54" x14ac:dyDescent="0.35">
      <c r="A34">
        <v>110518</v>
      </c>
      <c r="B34">
        <v>885</v>
      </c>
      <c r="C34" t="s">
        <v>135</v>
      </c>
      <c r="D34" s="15">
        <v>701012160922354</v>
      </c>
      <c r="F34">
        <v>70</v>
      </c>
      <c r="G34" t="s">
        <v>136</v>
      </c>
      <c r="H34">
        <v>7010</v>
      </c>
      <c r="I34" t="s">
        <v>137</v>
      </c>
      <c r="K34" t="s">
        <v>138</v>
      </c>
      <c r="M34">
        <v>12160922354</v>
      </c>
      <c r="N34" t="s">
        <v>139</v>
      </c>
      <c r="O34">
        <v>12160922354</v>
      </c>
      <c r="P34" t="s">
        <v>140</v>
      </c>
      <c r="Q34" t="s">
        <v>141</v>
      </c>
      <c r="R34">
        <v>0</v>
      </c>
      <c r="S34">
        <v>30</v>
      </c>
      <c r="T34" t="s">
        <v>142</v>
      </c>
      <c r="U34" t="s">
        <v>143</v>
      </c>
      <c r="V34" t="s">
        <v>143</v>
      </c>
      <c r="W34" t="s">
        <v>143</v>
      </c>
      <c r="X34" t="s">
        <v>143</v>
      </c>
      <c r="AA34" t="s">
        <v>144</v>
      </c>
      <c r="AB34" t="s">
        <v>159</v>
      </c>
      <c r="AC34">
        <v>0</v>
      </c>
      <c r="AD34">
        <v>0</v>
      </c>
      <c r="AO34">
        <v>0</v>
      </c>
      <c r="AP34">
        <v>15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A34">
        <v>727139</v>
      </c>
      <c r="BB34">
        <v>3763557</v>
      </c>
    </row>
    <row r="35" spans="1:54" x14ac:dyDescent="0.35">
      <c r="A35">
        <v>110517</v>
      </c>
      <c r="B35">
        <v>884</v>
      </c>
      <c r="C35" t="s">
        <v>135</v>
      </c>
      <c r="D35" s="15">
        <v>701012160922354</v>
      </c>
      <c r="F35">
        <v>70</v>
      </c>
      <c r="G35" t="s">
        <v>136</v>
      </c>
      <c r="H35">
        <v>7010</v>
      </c>
      <c r="I35" t="s">
        <v>137</v>
      </c>
      <c r="K35" t="s">
        <v>79</v>
      </c>
      <c r="M35">
        <v>12160922355</v>
      </c>
      <c r="N35" t="s">
        <v>139</v>
      </c>
      <c r="O35">
        <v>12160922355</v>
      </c>
      <c r="Q35" t="s">
        <v>141</v>
      </c>
      <c r="R35">
        <v>0</v>
      </c>
      <c r="S35">
        <v>30</v>
      </c>
      <c r="T35" t="s">
        <v>142</v>
      </c>
      <c r="AA35" t="s">
        <v>144</v>
      </c>
      <c r="AB35" t="s">
        <v>159</v>
      </c>
      <c r="AC35">
        <v>0</v>
      </c>
      <c r="AD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A35">
        <v>727114</v>
      </c>
      <c r="BB35">
        <v>3763571</v>
      </c>
    </row>
    <row r="36" spans="1:54" x14ac:dyDescent="0.35">
      <c r="A36">
        <v>110516</v>
      </c>
      <c r="B36">
        <v>883</v>
      </c>
      <c r="C36" t="s">
        <v>135</v>
      </c>
      <c r="D36" s="15">
        <v>701012160922355</v>
      </c>
      <c r="F36">
        <v>70</v>
      </c>
      <c r="G36" t="s">
        <v>136</v>
      </c>
      <c r="H36">
        <v>7010</v>
      </c>
      <c r="I36" t="s">
        <v>137</v>
      </c>
      <c r="K36" t="s">
        <v>138</v>
      </c>
      <c r="M36">
        <v>12160922355</v>
      </c>
      <c r="N36" t="s">
        <v>139</v>
      </c>
      <c r="O36">
        <v>12160922355</v>
      </c>
      <c r="P36" t="s">
        <v>140</v>
      </c>
      <c r="Q36" t="s">
        <v>141</v>
      </c>
      <c r="R36">
        <v>0</v>
      </c>
      <c r="S36">
        <v>30</v>
      </c>
      <c r="T36" t="s">
        <v>142</v>
      </c>
      <c r="U36" t="s">
        <v>143</v>
      </c>
      <c r="V36" t="s">
        <v>143</v>
      </c>
      <c r="W36" t="s">
        <v>143</v>
      </c>
      <c r="X36" t="s">
        <v>143</v>
      </c>
      <c r="AA36" t="s">
        <v>144</v>
      </c>
      <c r="AB36" t="s">
        <v>159</v>
      </c>
      <c r="AC36">
        <v>0</v>
      </c>
      <c r="AD36">
        <v>0</v>
      </c>
      <c r="AO36">
        <v>0</v>
      </c>
      <c r="AP36">
        <v>17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A36">
        <v>727114</v>
      </c>
      <c r="BB36">
        <v>3763571</v>
      </c>
    </row>
    <row r="37" spans="1:54" x14ac:dyDescent="0.35">
      <c r="A37">
        <v>110515</v>
      </c>
      <c r="B37">
        <v>882</v>
      </c>
      <c r="C37" t="s">
        <v>135</v>
      </c>
      <c r="D37" s="15">
        <v>701012160922355</v>
      </c>
      <c r="F37">
        <v>70</v>
      </c>
      <c r="G37" t="s">
        <v>136</v>
      </c>
      <c r="H37">
        <v>7010</v>
      </c>
      <c r="I37" t="s">
        <v>137</v>
      </c>
      <c r="K37" t="s">
        <v>79</v>
      </c>
      <c r="M37">
        <v>12160922356</v>
      </c>
      <c r="N37" t="s">
        <v>160</v>
      </c>
      <c r="O37">
        <v>12160922356</v>
      </c>
      <c r="Q37" t="s">
        <v>141</v>
      </c>
      <c r="R37">
        <v>0</v>
      </c>
      <c r="S37">
        <v>30</v>
      </c>
      <c r="T37" t="s">
        <v>142</v>
      </c>
      <c r="AA37" t="s">
        <v>144</v>
      </c>
      <c r="AB37" t="s">
        <v>159</v>
      </c>
      <c r="AC37">
        <v>0</v>
      </c>
      <c r="AD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A37">
        <v>727128.00000000105</v>
      </c>
      <c r="BB37">
        <v>3763536</v>
      </c>
    </row>
    <row r="38" spans="1:54" x14ac:dyDescent="0.35">
      <c r="A38">
        <v>110514</v>
      </c>
      <c r="B38">
        <v>881</v>
      </c>
      <c r="C38" t="s">
        <v>135</v>
      </c>
      <c r="D38" s="15">
        <v>701012160922357</v>
      </c>
      <c r="F38">
        <v>70</v>
      </c>
      <c r="G38" t="s">
        <v>136</v>
      </c>
      <c r="H38">
        <v>7010</v>
      </c>
      <c r="I38" t="s">
        <v>137</v>
      </c>
      <c r="K38" t="s">
        <v>138</v>
      </c>
      <c r="M38">
        <v>12160922357</v>
      </c>
      <c r="N38" t="s">
        <v>139</v>
      </c>
      <c r="O38">
        <v>12160922357</v>
      </c>
      <c r="P38" t="s">
        <v>140</v>
      </c>
      <c r="Q38" t="s">
        <v>141</v>
      </c>
      <c r="R38">
        <v>0</v>
      </c>
      <c r="S38">
        <v>30</v>
      </c>
      <c r="T38" t="s">
        <v>142</v>
      </c>
      <c r="U38" t="s">
        <v>143</v>
      </c>
      <c r="V38" t="s">
        <v>143</v>
      </c>
      <c r="W38" t="s">
        <v>143</v>
      </c>
      <c r="X38" t="s">
        <v>143</v>
      </c>
      <c r="AA38" t="s">
        <v>144</v>
      </c>
      <c r="AB38" t="s">
        <v>159</v>
      </c>
      <c r="AC38">
        <v>0</v>
      </c>
      <c r="AD38">
        <v>0</v>
      </c>
      <c r="AO38">
        <v>0</v>
      </c>
      <c r="AP38">
        <v>11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A38">
        <v>727105.00000000105</v>
      </c>
      <c r="BB38">
        <v>3763551</v>
      </c>
    </row>
    <row r="39" spans="1:54" x14ac:dyDescent="0.35">
      <c r="A39">
        <v>110513</v>
      </c>
      <c r="B39">
        <v>880</v>
      </c>
      <c r="C39" t="s">
        <v>135</v>
      </c>
      <c r="D39" s="15">
        <v>701012160922357</v>
      </c>
      <c r="F39">
        <v>70</v>
      </c>
      <c r="G39" t="s">
        <v>136</v>
      </c>
      <c r="H39">
        <v>7010</v>
      </c>
      <c r="I39" t="s">
        <v>137</v>
      </c>
      <c r="K39" t="s">
        <v>79</v>
      </c>
      <c r="M39">
        <v>12160922356</v>
      </c>
      <c r="N39" t="s">
        <v>139</v>
      </c>
      <c r="O39">
        <v>12160922356</v>
      </c>
      <c r="Q39" t="s">
        <v>141</v>
      </c>
      <c r="R39">
        <v>0</v>
      </c>
      <c r="S39">
        <v>30</v>
      </c>
      <c r="T39" t="s">
        <v>142</v>
      </c>
      <c r="AA39" t="s">
        <v>144</v>
      </c>
      <c r="AB39" t="s">
        <v>159</v>
      </c>
      <c r="AC39">
        <v>0</v>
      </c>
      <c r="AD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A39">
        <v>727128.00000000105</v>
      </c>
      <c r="BB39">
        <v>3763536</v>
      </c>
    </row>
    <row r="40" spans="1:54" x14ac:dyDescent="0.35">
      <c r="A40">
        <v>110512</v>
      </c>
      <c r="B40">
        <v>879</v>
      </c>
      <c r="C40" t="s">
        <v>135</v>
      </c>
      <c r="D40" s="15">
        <v>701012160922356</v>
      </c>
      <c r="F40">
        <v>70</v>
      </c>
      <c r="G40" t="s">
        <v>136</v>
      </c>
      <c r="H40">
        <v>7010</v>
      </c>
      <c r="I40" t="s">
        <v>137</v>
      </c>
      <c r="K40" t="s">
        <v>138</v>
      </c>
      <c r="M40">
        <v>12160922356</v>
      </c>
      <c r="N40" t="s">
        <v>139</v>
      </c>
      <c r="O40">
        <v>12160922356</v>
      </c>
      <c r="P40" t="s">
        <v>140</v>
      </c>
      <c r="Q40" t="s">
        <v>141</v>
      </c>
      <c r="R40">
        <v>0</v>
      </c>
      <c r="S40">
        <v>30</v>
      </c>
      <c r="T40" t="s">
        <v>142</v>
      </c>
      <c r="U40" t="s">
        <v>143</v>
      </c>
      <c r="V40" t="s">
        <v>143</v>
      </c>
      <c r="W40" t="s">
        <v>143</v>
      </c>
      <c r="X40" t="s">
        <v>143</v>
      </c>
      <c r="AA40" t="s">
        <v>144</v>
      </c>
      <c r="AB40" t="s">
        <v>159</v>
      </c>
      <c r="AC40">
        <v>0</v>
      </c>
      <c r="AD40">
        <v>0</v>
      </c>
      <c r="AO40">
        <v>0</v>
      </c>
      <c r="AP40">
        <v>8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A40">
        <v>727128.00000000105</v>
      </c>
      <c r="BB40">
        <v>3763536</v>
      </c>
    </row>
    <row r="41" spans="1:54" x14ac:dyDescent="0.35">
      <c r="A41">
        <v>110511</v>
      </c>
      <c r="B41">
        <v>878</v>
      </c>
      <c r="C41" t="s">
        <v>135</v>
      </c>
      <c r="D41" s="15">
        <v>701012160922356</v>
      </c>
      <c r="F41">
        <v>70</v>
      </c>
      <c r="G41" t="s">
        <v>136</v>
      </c>
      <c r="H41">
        <v>7010</v>
      </c>
      <c r="I41" t="s">
        <v>137</v>
      </c>
      <c r="K41" t="s">
        <v>79</v>
      </c>
      <c r="M41">
        <v>12160922358</v>
      </c>
      <c r="N41" t="s">
        <v>139</v>
      </c>
      <c r="O41">
        <v>12160922358</v>
      </c>
      <c r="Q41" t="s">
        <v>141</v>
      </c>
      <c r="R41">
        <v>0</v>
      </c>
      <c r="S41">
        <v>30</v>
      </c>
      <c r="T41" t="s">
        <v>142</v>
      </c>
      <c r="AA41" t="s">
        <v>144</v>
      </c>
      <c r="AB41" t="s">
        <v>159</v>
      </c>
      <c r="AC41">
        <v>0</v>
      </c>
      <c r="AD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A41">
        <v>727115.00000000105</v>
      </c>
      <c r="BB41">
        <v>3763511</v>
      </c>
    </row>
    <row r="42" spans="1:54" x14ac:dyDescent="0.35">
      <c r="A42">
        <v>110510</v>
      </c>
      <c r="B42">
        <v>877</v>
      </c>
      <c r="C42" t="s">
        <v>135</v>
      </c>
      <c r="D42" s="15">
        <v>701012160922358</v>
      </c>
      <c r="F42">
        <v>70</v>
      </c>
      <c r="G42" t="s">
        <v>136</v>
      </c>
      <c r="H42">
        <v>7010</v>
      </c>
      <c r="I42" t="s">
        <v>137</v>
      </c>
      <c r="K42" t="s">
        <v>138</v>
      </c>
      <c r="M42">
        <v>12160922358</v>
      </c>
      <c r="N42" t="s">
        <v>139</v>
      </c>
      <c r="O42">
        <v>12160922358</v>
      </c>
      <c r="P42" t="s">
        <v>140</v>
      </c>
      <c r="Q42" t="s">
        <v>141</v>
      </c>
      <c r="R42">
        <v>0</v>
      </c>
      <c r="S42">
        <v>30</v>
      </c>
      <c r="T42" t="s">
        <v>142</v>
      </c>
      <c r="U42" t="s">
        <v>143</v>
      </c>
      <c r="V42" t="s">
        <v>143</v>
      </c>
      <c r="W42" t="s">
        <v>143</v>
      </c>
      <c r="X42" t="s">
        <v>143</v>
      </c>
      <c r="AA42" t="s">
        <v>144</v>
      </c>
      <c r="AB42" t="s">
        <v>159</v>
      </c>
      <c r="AC42">
        <v>0</v>
      </c>
      <c r="AD42">
        <v>0</v>
      </c>
      <c r="AO42">
        <v>0</v>
      </c>
      <c r="AP42">
        <v>16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A42">
        <v>727115.00000000105</v>
      </c>
      <c r="BB42">
        <v>3763511</v>
      </c>
    </row>
    <row r="43" spans="1:54" x14ac:dyDescent="0.35">
      <c r="A43">
        <v>110509</v>
      </c>
      <c r="B43">
        <v>876</v>
      </c>
      <c r="C43" t="s">
        <v>135</v>
      </c>
      <c r="D43" s="15">
        <v>701012160922358</v>
      </c>
      <c r="F43">
        <v>70</v>
      </c>
      <c r="G43" t="s">
        <v>136</v>
      </c>
      <c r="H43">
        <v>7010</v>
      </c>
      <c r="I43" t="s">
        <v>137</v>
      </c>
      <c r="K43" t="s">
        <v>79</v>
      </c>
      <c r="M43">
        <v>12160922349</v>
      </c>
      <c r="N43" t="s">
        <v>139</v>
      </c>
      <c r="O43">
        <v>12160922349</v>
      </c>
      <c r="Q43" t="s">
        <v>141</v>
      </c>
      <c r="R43">
        <v>0</v>
      </c>
      <c r="S43">
        <v>30</v>
      </c>
      <c r="T43" t="s">
        <v>142</v>
      </c>
      <c r="AA43" t="s">
        <v>144</v>
      </c>
      <c r="AB43" t="s">
        <v>159</v>
      </c>
      <c r="AC43">
        <v>0</v>
      </c>
      <c r="AD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A43">
        <v>727189.00000000105</v>
      </c>
      <c r="BB43">
        <v>3763656</v>
      </c>
    </row>
    <row r="44" spans="1:54" x14ac:dyDescent="0.35">
      <c r="A44">
        <v>110508</v>
      </c>
      <c r="B44">
        <v>875</v>
      </c>
      <c r="C44" t="s">
        <v>135</v>
      </c>
      <c r="D44" s="15">
        <v>701012160922349</v>
      </c>
      <c r="F44">
        <v>70</v>
      </c>
      <c r="G44" t="s">
        <v>136</v>
      </c>
      <c r="H44">
        <v>7010</v>
      </c>
      <c r="I44" t="s">
        <v>137</v>
      </c>
      <c r="K44" t="s">
        <v>138</v>
      </c>
      <c r="M44">
        <v>12160922349</v>
      </c>
      <c r="N44" t="s">
        <v>139</v>
      </c>
      <c r="O44">
        <v>12160922349</v>
      </c>
      <c r="P44" t="s">
        <v>140</v>
      </c>
      <c r="Q44" t="s">
        <v>141</v>
      </c>
      <c r="R44">
        <v>0</v>
      </c>
      <c r="S44">
        <v>30</v>
      </c>
      <c r="T44" t="s">
        <v>142</v>
      </c>
      <c r="U44" t="s">
        <v>143</v>
      </c>
      <c r="V44" t="s">
        <v>143</v>
      </c>
      <c r="W44" t="s">
        <v>143</v>
      </c>
      <c r="X44" t="s">
        <v>143</v>
      </c>
      <c r="AA44" t="s">
        <v>144</v>
      </c>
      <c r="AB44" t="s">
        <v>159</v>
      </c>
      <c r="AC44">
        <v>0</v>
      </c>
      <c r="AD44">
        <v>0</v>
      </c>
      <c r="AO44">
        <v>0</v>
      </c>
      <c r="AP44">
        <v>20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A44">
        <v>727189.00000000105</v>
      </c>
      <c r="BB44">
        <v>3763656</v>
      </c>
    </row>
    <row r="45" spans="1:54" x14ac:dyDescent="0.35">
      <c r="A45">
        <v>110507</v>
      </c>
      <c r="B45">
        <v>874</v>
      </c>
      <c r="C45" t="s">
        <v>135</v>
      </c>
      <c r="D45" s="15">
        <v>701012160922349</v>
      </c>
      <c r="F45">
        <v>70</v>
      </c>
      <c r="G45" t="s">
        <v>136</v>
      </c>
      <c r="H45">
        <v>7010</v>
      </c>
      <c r="I45" t="s">
        <v>137</v>
      </c>
      <c r="K45" t="s">
        <v>79</v>
      </c>
      <c r="M45">
        <v>12160922348</v>
      </c>
      <c r="N45" t="s">
        <v>139</v>
      </c>
      <c r="O45">
        <v>12160922348</v>
      </c>
      <c r="Q45" t="s">
        <v>141</v>
      </c>
      <c r="R45">
        <v>0</v>
      </c>
      <c r="S45">
        <v>30</v>
      </c>
      <c r="T45" t="s">
        <v>142</v>
      </c>
      <c r="AA45" t="s">
        <v>144</v>
      </c>
      <c r="AB45" t="s">
        <v>159</v>
      </c>
      <c r="AC45">
        <v>0</v>
      </c>
      <c r="AD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A45">
        <v>727190.99999999895</v>
      </c>
      <c r="BB45">
        <v>3763665</v>
      </c>
    </row>
    <row r="46" spans="1:54" x14ac:dyDescent="0.35">
      <c r="A46">
        <v>110506</v>
      </c>
      <c r="B46">
        <v>873</v>
      </c>
      <c r="C46" t="s">
        <v>135</v>
      </c>
      <c r="D46" s="15">
        <v>701012160922348</v>
      </c>
      <c r="F46">
        <v>70</v>
      </c>
      <c r="G46" t="s">
        <v>136</v>
      </c>
      <c r="H46">
        <v>7010</v>
      </c>
      <c r="I46" t="s">
        <v>137</v>
      </c>
      <c r="K46" t="s">
        <v>138</v>
      </c>
      <c r="M46">
        <v>12160922348</v>
      </c>
      <c r="N46" t="s">
        <v>139</v>
      </c>
      <c r="O46">
        <v>12160922348</v>
      </c>
      <c r="P46" t="s">
        <v>140</v>
      </c>
      <c r="Q46" t="s">
        <v>141</v>
      </c>
      <c r="R46">
        <v>0</v>
      </c>
      <c r="S46">
        <v>30</v>
      </c>
      <c r="T46" t="s">
        <v>142</v>
      </c>
      <c r="U46" t="s">
        <v>143</v>
      </c>
      <c r="V46" t="s">
        <v>143</v>
      </c>
      <c r="W46" t="s">
        <v>143</v>
      </c>
      <c r="X46" t="s">
        <v>143</v>
      </c>
      <c r="AA46" t="s">
        <v>144</v>
      </c>
      <c r="AB46" t="s">
        <v>159</v>
      </c>
      <c r="AC46">
        <v>0</v>
      </c>
      <c r="AD46">
        <v>0</v>
      </c>
      <c r="AO46">
        <v>0</v>
      </c>
      <c r="AP46">
        <v>11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A46">
        <v>727190.99999999895</v>
      </c>
      <c r="BB46">
        <v>3763665</v>
      </c>
    </row>
    <row r="47" spans="1:54" x14ac:dyDescent="0.35">
      <c r="A47">
        <v>110505</v>
      </c>
      <c r="B47">
        <v>872</v>
      </c>
      <c r="C47" t="s">
        <v>135</v>
      </c>
      <c r="D47" s="15">
        <v>701012160922348</v>
      </c>
      <c r="F47">
        <v>70</v>
      </c>
      <c r="G47" t="s">
        <v>136</v>
      </c>
      <c r="H47">
        <v>7010</v>
      </c>
      <c r="I47" t="s">
        <v>137</v>
      </c>
      <c r="K47" t="s">
        <v>79</v>
      </c>
      <c r="M47">
        <v>12160922347</v>
      </c>
      <c r="N47" t="s">
        <v>139</v>
      </c>
      <c r="O47">
        <v>12160922347</v>
      </c>
      <c r="Q47" t="s">
        <v>141</v>
      </c>
      <c r="R47">
        <v>0</v>
      </c>
      <c r="S47">
        <v>30</v>
      </c>
      <c r="T47" t="s">
        <v>142</v>
      </c>
      <c r="AA47" t="s">
        <v>144</v>
      </c>
      <c r="AB47" t="s">
        <v>159</v>
      </c>
      <c r="AC47">
        <v>0</v>
      </c>
      <c r="AD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A47">
        <v>727203</v>
      </c>
      <c r="BB47">
        <v>3763686</v>
      </c>
    </row>
    <row r="48" spans="1:54" x14ac:dyDescent="0.35">
      <c r="A48">
        <v>110504</v>
      </c>
      <c r="B48">
        <v>871</v>
      </c>
      <c r="C48" t="s">
        <v>135</v>
      </c>
      <c r="D48" s="15">
        <v>701012160922347</v>
      </c>
      <c r="F48">
        <v>70</v>
      </c>
      <c r="G48" t="s">
        <v>136</v>
      </c>
      <c r="H48">
        <v>7010</v>
      </c>
      <c r="I48" t="s">
        <v>137</v>
      </c>
      <c r="K48" t="s">
        <v>138</v>
      </c>
      <c r="M48">
        <v>12160922347</v>
      </c>
      <c r="N48" t="s">
        <v>139</v>
      </c>
      <c r="O48">
        <v>12160922347</v>
      </c>
      <c r="P48" t="s">
        <v>140</v>
      </c>
      <c r="Q48" t="s">
        <v>141</v>
      </c>
      <c r="R48">
        <v>0</v>
      </c>
      <c r="S48">
        <v>30</v>
      </c>
      <c r="T48" t="s">
        <v>142</v>
      </c>
      <c r="U48" t="s">
        <v>143</v>
      </c>
      <c r="V48" t="s">
        <v>143</v>
      </c>
      <c r="W48" t="s">
        <v>143</v>
      </c>
      <c r="X48" t="s">
        <v>143</v>
      </c>
      <c r="AA48" t="s">
        <v>144</v>
      </c>
      <c r="AB48" t="s">
        <v>159</v>
      </c>
      <c r="AC48">
        <v>0</v>
      </c>
      <c r="AD48">
        <v>0</v>
      </c>
      <c r="AO48">
        <v>0</v>
      </c>
      <c r="AP48">
        <v>25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A48">
        <v>727203</v>
      </c>
      <c r="BB48">
        <v>3763686</v>
      </c>
    </row>
    <row r="49" spans="1:54" x14ac:dyDescent="0.35">
      <c r="A49">
        <v>110503</v>
      </c>
      <c r="B49">
        <v>870</v>
      </c>
      <c r="C49" t="s">
        <v>135</v>
      </c>
      <c r="D49" s="15">
        <v>701012160922347</v>
      </c>
      <c r="F49">
        <v>70</v>
      </c>
      <c r="G49" t="s">
        <v>136</v>
      </c>
      <c r="H49">
        <v>7010</v>
      </c>
      <c r="I49" t="s">
        <v>137</v>
      </c>
      <c r="K49" t="s">
        <v>79</v>
      </c>
      <c r="M49">
        <v>12160922346</v>
      </c>
      <c r="N49" t="s">
        <v>139</v>
      </c>
      <c r="O49">
        <v>12160922346</v>
      </c>
      <c r="Q49" t="s">
        <v>141</v>
      </c>
      <c r="R49">
        <v>0</v>
      </c>
      <c r="S49">
        <v>30</v>
      </c>
      <c r="T49" t="s">
        <v>142</v>
      </c>
      <c r="AA49" t="s">
        <v>144</v>
      </c>
      <c r="AB49" t="s">
        <v>159</v>
      </c>
      <c r="AC49">
        <v>0</v>
      </c>
      <c r="AD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A49">
        <v>727210.00000000105</v>
      </c>
      <c r="BB49">
        <v>3763709</v>
      </c>
    </row>
    <row r="50" spans="1:54" x14ac:dyDescent="0.35">
      <c r="A50">
        <v>110502</v>
      </c>
      <c r="B50">
        <v>869</v>
      </c>
      <c r="C50" t="s">
        <v>135</v>
      </c>
      <c r="D50" s="15">
        <v>701012160922346</v>
      </c>
      <c r="F50">
        <v>70</v>
      </c>
      <c r="G50" t="s">
        <v>136</v>
      </c>
      <c r="H50">
        <v>7010</v>
      </c>
      <c r="I50" t="s">
        <v>137</v>
      </c>
      <c r="K50" t="s">
        <v>138</v>
      </c>
      <c r="M50">
        <v>12160922346</v>
      </c>
      <c r="N50" t="s">
        <v>139</v>
      </c>
      <c r="O50">
        <v>12160922346</v>
      </c>
      <c r="P50" t="s">
        <v>140</v>
      </c>
      <c r="Q50" t="s">
        <v>141</v>
      </c>
      <c r="R50">
        <v>0</v>
      </c>
      <c r="S50">
        <v>30</v>
      </c>
      <c r="T50" t="s">
        <v>142</v>
      </c>
      <c r="U50" t="s">
        <v>143</v>
      </c>
      <c r="V50" t="s">
        <v>143</v>
      </c>
      <c r="W50" t="s">
        <v>143</v>
      </c>
      <c r="X50" t="s">
        <v>143</v>
      </c>
      <c r="AA50" t="s">
        <v>144</v>
      </c>
      <c r="AB50" t="s">
        <v>159</v>
      </c>
      <c r="AC50">
        <v>0</v>
      </c>
      <c r="AD50">
        <v>0</v>
      </c>
      <c r="AO50">
        <v>0</v>
      </c>
      <c r="AP50">
        <v>24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A50">
        <v>727210.00000000105</v>
      </c>
      <c r="BB50">
        <v>3763709</v>
      </c>
    </row>
    <row r="51" spans="1:54" x14ac:dyDescent="0.35">
      <c r="A51">
        <v>110501</v>
      </c>
      <c r="B51">
        <v>868</v>
      </c>
      <c r="C51" t="s">
        <v>135</v>
      </c>
      <c r="D51" s="15">
        <v>701012160922346</v>
      </c>
      <c r="F51">
        <v>70</v>
      </c>
      <c r="G51" t="s">
        <v>136</v>
      </c>
      <c r="H51">
        <v>7010</v>
      </c>
      <c r="I51" t="s">
        <v>137</v>
      </c>
      <c r="K51" t="s">
        <v>79</v>
      </c>
      <c r="M51">
        <v>12160922345</v>
      </c>
      <c r="N51" t="s">
        <v>139</v>
      </c>
      <c r="O51">
        <v>12160922345</v>
      </c>
      <c r="Q51" t="s">
        <v>141</v>
      </c>
      <c r="R51">
        <v>0</v>
      </c>
      <c r="S51">
        <v>30</v>
      </c>
      <c r="T51" t="s">
        <v>142</v>
      </c>
      <c r="AA51" t="s">
        <v>144</v>
      </c>
      <c r="AB51" t="s">
        <v>159</v>
      </c>
      <c r="AC51">
        <v>0</v>
      </c>
      <c r="AD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A51">
        <v>727185</v>
      </c>
      <c r="BB51">
        <v>3763726</v>
      </c>
    </row>
    <row r="52" spans="1:54" x14ac:dyDescent="0.35">
      <c r="A52">
        <v>110500</v>
      </c>
      <c r="B52">
        <v>867</v>
      </c>
      <c r="C52" t="s">
        <v>135</v>
      </c>
      <c r="D52" s="15">
        <v>701012160922345</v>
      </c>
      <c r="F52">
        <v>70</v>
      </c>
      <c r="G52" t="s">
        <v>136</v>
      </c>
      <c r="H52">
        <v>7010</v>
      </c>
      <c r="I52" t="s">
        <v>137</v>
      </c>
      <c r="K52" t="s">
        <v>138</v>
      </c>
      <c r="M52">
        <v>12160922345</v>
      </c>
      <c r="N52" t="s">
        <v>139</v>
      </c>
      <c r="O52">
        <v>12160922345</v>
      </c>
      <c r="P52" t="s">
        <v>140</v>
      </c>
      <c r="Q52" t="s">
        <v>141</v>
      </c>
      <c r="R52">
        <v>0</v>
      </c>
      <c r="S52">
        <v>30</v>
      </c>
      <c r="T52" t="s">
        <v>142</v>
      </c>
      <c r="U52" t="s">
        <v>143</v>
      </c>
      <c r="V52" t="s">
        <v>143</v>
      </c>
      <c r="W52" t="s">
        <v>143</v>
      </c>
      <c r="X52" t="s">
        <v>143</v>
      </c>
      <c r="AA52" t="s">
        <v>144</v>
      </c>
      <c r="AB52" t="s">
        <v>159</v>
      </c>
      <c r="AC52">
        <v>0</v>
      </c>
      <c r="AD52">
        <v>0</v>
      </c>
      <c r="AO52">
        <v>0</v>
      </c>
      <c r="AP52">
        <v>18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A52">
        <v>727185</v>
      </c>
      <c r="BB52">
        <v>3763726</v>
      </c>
    </row>
    <row r="53" spans="1:54" x14ac:dyDescent="0.35">
      <c r="A53">
        <v>110499</v>
      </c>
      <c r="B53">
        <v>866</v>
      </c>
      <c r="C53" t="s">
        <v>135</v>
      </c>
      <c r="D53" s="15">
        <v>701012160922345</v>
      </c>
      <c r="F53">
        <v>70</v>
      </c>
      <c r="G53" t="s">
        <v>136</v>
      </c>
      <c r="H53">
        <v>7010</v>
      </c>
      <c r="I53" t="s">
        <v>137</v>
      </c>
      <c r="K53" t="s">
        <v>79</v>
      </c>
      <c r="M53">
        <v>12160922344</v>
      </c>
      <c r="N53" t="s">
        <v>139</v>
      </c>
      <c r="O53">
        <v>12160922344</v>
      </c>
      <c r="Q53" t="s">
        <v>141</v>
      </c>
      <c r="R53">
        <v>0</v>
      </c>
      <c r="T53" t="s">
        <v>146</v>
      </c>
      <c r="AA53" t="s">
        <v>144</v>
      </c>
      <c r="AB53" t="s">
        <v>159</v>
      </c>
      <c r="AC53">
        <v>0</v>
      </c>
      <c r="AD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A53">
        <v>727156.00000000105</v>
      </c>
      <c r="BB53">
        <v>3763732</v>
      </c>
    </row>
    <row r="54" spans="1:54" x14ac:dyDescent="0.35">
      <c r="A54">
        <v>110498</v>
      </c>
      <c r="B54">
        <v>865</v>
      </c>
      <c r="C54" t="s">
        <v>135</v>
      </c>
      <c r="D54" s="15">
        <v>701012160922344</v>
      </c>
      <c r="F54">
        <v>70</v>
      </c>
      <c r="G54" t="s">
        <v>136</v>
      </c>
      <c r="H54">
        <v>7010</v>
      </c>
      <c r="I54" t="s">
        <v>137</v>
      </c>
      <c r="K54" t="s">
        <v>138</v>
      </c>
      <c r="M54">
        <v>12160922344</v>
      </c>
      <c r="N54" t="s">
        <v>139</v>
      </c>
      <c r="O54">
        <v>12160922344</v>
      </c>
      <c r="P54" t="s">
        <v>140</v>
      </c>
      <c r="Q54" t="s">
        <v>141</v>
      </c>
      <c r="R54">
        <v>0</v>
      </c>
      <c r="T54" t="s">
        <v>146</v>
      </c>
      <c r="U54" t="s">
        <v>143</v>
      </c>
      <c r="V54" t="s">
        <v>143</v>
      </c>
      <c r="W54" t="s">
        <v>143</v>
      </c>
      <c r="X54" t="s">
        <v>143</v>
      </c>
      <c r="AA54" t="s">
        <v>144</v>
      </c>
      <c r="AB54" t="s">
        <v>159</v>
      </c>
      <c r="AC54">
        <v>0</v>
      </c>
      <c r="AD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A54">
        <v>727156.00000000105</v>
      </c>
      <c r="BB54">
        <v>3763732</v>
      </c>
    </row>
    <row r="55" spans="1:54" x14ac:dyDescent="0.35">
      <c r="A55">
        <v>110497</v>
      </c>
      <c r="B55">
        <v>864</v>
      </c>
      <c r="C55" t="s">
        <v>135</v>
      </c>
      <c r="D55" s="15">
        <v>701012160922344</v>
      </c>
      <c r="F55">
        <v>70</v>
      </c>
      <c r="G55" t="s">
        <v>136</v>
      </c>
      <c r="H55">
        <v>7010</v>
      </c>
      <c r="I55" t="s">
        <v>137</v>
      </c>
      <c r="K55" t="s">
        <v>79</v>
      </c>
      <c r="M55">
        <v>12160922344</v>
      </c>
      <c r="N55" t="s">
        <v>139</v>
      </c>
      <c r="O55">
        <v>12160922344</v>
      </c>
      <c r="Q55" t="s">
        <v>141</v>
      </c>
      <c r="R55">
        <v>0</v>
      </c>
      <c r="T55" t="s">
        <v>146</v>
      </c>
      <c r="AA55" t="s">
        <v>144</v>
      </c>
      <c r="AB55" t="s">
        <v>159</v>
      </c>
      <c r="AC55">
        <v>0</v>
      </c>
      <c r="AD55">
        <v>0</v>
      </c>
      <c r="AE55" t="s">
        <v>147</v>
      </c>
      <c r="AF55" t="s">
        <v>148</v>
      </c>
      <c r="AG55" t="s">
        <v>149</v>
      </c>
      <c r="AH55" t="s">
        <v>161</v>
      </c>
      <c r="AJ55" t="s">
        <v>162</v>
      </c>
      <c r="AK55" t="s">
        <v>152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 t="s">
        <v>163</v>
      </c>
      <c r="BA55">
        <v>727156.00000000105</v>
      </c>
      <c r="BB55">
        <v>3763732</v>
      </c>
    </row>
    <row r="56" spans="1:54" x14ac:dyDescent="0.35">
      <c r="A56">
        <v>110496</v>
      </c>
      <c r="B56">
        <v>863</v>
      </c>
      <c r="C56" t="s">
        <v>135</v>
      </c>
      <c r="D56" s="15">
        <v>701012160922340</v>
      </c>
      <c r="E56">
        <v>0</v>
      </c>
      <c r="F56">
        <v>70</v>
      </c>
      <c r="G56" t="s">
        <v>136</v>
      </c>
      <c r="H56">
        <v>7010</v>
      </c>
      <c r="I56" t="s">
        <v>137</v>
      </c>
      <c r="K56" t="s">
        <v>138</v>
      </c>
      <c r="M56">
        <v>12160922340</v>
      </c>
      <c r="N56" t="s">
        <v>139</v>
      </c>
      <c r="O56">
        <v>12160922340</v>
      </c>
      <c r="P56" t="s">
        <v>140</v>
      </c>
      <c r="Q56" t="s">
        <v>141</v>
      </c>
      <c r="R56">
        <v>0</v>
      </c>
      <c r="S56">
        <v>36</v>
      </c>
      <c r="T56" t="s">
        <v>142</v>
      </c>
      <c r="U56" t="s">
        <v>143</v>
      </c>
      <c r="V56" t="s">
        <v>143</v>
      </c>
      <c r="W56" t="s">
        <v>143</v>
      </c>
      <c r="X56" t="s">
        <v>143</v>
      </c>
      <c r="AA56" t="s">
        <v>144</v>
      </c>
      <c r="AB56" t="s">
        <v>164</v>
      </c>
      <c r="AC56">
        <v>0</v>
      </c>
      <c r="AD56">
        <v>0</v>
      </c>
      <c r="AO56">
        <v>0</v>
      </c>
      <c r="AP56">
        <v>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A56">
        <v>727104</v>
      </c>
      <c r="BB56">
        <v>3763774</v>
      </c>
    </row>
    <row r="57" spans="1:54" x14ac:dyDescent="0.35">
      <c r="A57">
        <v>110495</v>
      </c>
      <c r="B57">
        <v>862</v>
      </c>
      <c r="C57" t="s">
        <v>135</v>
      </c>
      <c r="D57" s="15">
        <v>701012160922340</v>
      </c>
      <c r="F57">
        <v>70</v>
      </c>
      <c r="G57" t="s">
        <v>136</v>
      </c>
      <c r="H57">
        <v>7010</v>
      </c>
      <c r="I57" t="s">
        <v>137</v>
      </c>
      <c r="K57" t="s">
        <v>79</v>
      </c>
      <c r="M57">
        <v>12160922339</v>
      </c>
      <c r="N57" t="s">
        <v>139</v>
      </c>
      <c r="O57">
        <v>12160922339</v>
      </c>
      <c r="Q57" t="s">
        <v>141</v>
      </c>
      <c r="R57">
        <v>0</v>
      </c>
      <c r="S57">
        <v>36</v>
      </c>
      <c r="T57" t="s">
        <v>142</v>
      </c>
      <c r="AA57" t="s">
        <v>144</v>
      </c>
      <c r="AB57" t="s">
        <v>164</v>
      </c>
      <c r="AC57">
        <v>0</v>
      </c>
      <c r="AD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A57">
        <v>727044.00000000105</v>
      </c>
      <c r="BB57">
        <v>3763796</v>
      </c>
    </row>
    <row r="58" spans="1:54" x14ac:dyDescent="0.35">
      <c r="A58">
        <v>110494</v>
      </c>
      <c r="B58">
        <v>861</v>
      </c>
      <c r="C58" t="s">
        <v>135</v>
      </c>
      <c r="D58" s="15">
        <v>701012160922339</v>
      </c>
      <c r="F58">
        <v>70</v>
      </c>
      <c r="G58" t="s">
        <v>136</v>
      </c>
      <c r="H58">
        <v>7010</v>
      </c>
      <c r="I58" t="s">
        <v>137</v>
      </c>
      <c r="K58" t="s">
        <v>138</v>
      </c>
      <c r="M58">
        <v>12160922339</v>
      </c>
      <c r="N58" t="s">
        <v>139</v>
      </c>
      <c r="O58">
        <v>12160922339</v>
      </c>
      <c r="P58" t="s">
        <v>140</v>
      </c>
      <c r="Q58" t="s">
        <v>141</v>
      </c>
      <c r="R58">
        <v>0</v>
      </c>
      <c r="S58">
        <v>36</v>
      </c>
      <c r="T58" t="s">
        <v>142</v>
      </c>
      <c r="U58" t="s">
        <v>143</v>
      </c>
      <c r="V58" t="s">
        <v>143</v>
      </c>
      <c r="W58" t="s">
        <v>143</v>
      </c>
      <c r="X58" t="s">
        <v>143</v>
      </c>
      <c r="AA58" t="s">
        <v>144</v>
      </c>
      <c r="AB58" t="s">
        <v>164</v>
      </c>
      <c r="AC58">
        <v>0</v>
      </c>
      <c r="AD58">
        <v>0</v>
      </c>
      <c r="AO58">
        <v>0</v>
      </c>
      <c r="AP58">
        <v>28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A58">
        <v>727044.00000000105</v>
      </c>
      <c r="BB58">
        <v>3763796</v>
      </c>
    </row>
    <row r="59" spans="1:54" x14ac:dyDescent="0.35">
      <c r="A59">
        <v>110493</v>
      </c>
      <c r="B59">
        <v>860</v>
      </c>
      <c r="C59" t="s">
        <v>135</v>
      </c>
      <c r="D59" s="15">
        <v>701012160922339</v>
      </c>
      <c r="F59">
        <v>70</v>
      </c>
      <c r="G59" t="s">
        <v>136</v>
      </c>
      <c r="H59">
        <v>7010</v>
      </c>
      <c r="I59" t="s">
        <v>137</v>
      </c>
      <c r="K59" t="s">
        <v>79</v>
      </c>
      <c r="M59">
        <v>12160922338</v>
      </c>
      <c r="N59" t="s">
        <v>139</v>
      </c>
      <c r="O59">
        <v>12160922338</v>
      </c>
      <c r="Q59" t="s">
        <v>141</v>
      </c>
      <c r="R59">
        <v>0</v>
      </c>
      <c r="T59" t="s">
        <v>146</v>
      </c>
      <c r="AA59" t="s">
        <v>144</v>
      </c>
      <c r="AB59" t="s">
        <v>164</v>
      </c>
      <c r="AC59">
        <v>0</v>
      </c>
      <c r="AD59">
        <v>0</v>
      </c>
      <c r="AE59" t="s">
        <v>147</v>
      </c>
      <c r="AF59" t="s">
        <v>148</v>
      </c>
      <c r="AG59" t="s">
        <v>165</v>
      </c>
      <c r="AH59" t="s">
        <v>161</v>
      </c>
      <c r="AJ59" t="s">
        <v>166</v>
      </c>
      <c r="AK59" t="s">
        <v>152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 t="s">
        <v>167</v>
      </c>
      <c r="BA59">
        <v>727010.00000000105</v>
      </c>
      <c r="BB59">
        <v>3763813</v>
      </c>
    </row>
    <row r="60" spans="1:54" x14ac:dyDescent="0.35">
      <c r="A60">
        <v>110492</v>
      </c>
      <c r="B60">
        <v>859</v>
      </c>
      <c r="C60" t="s">
        <v>135</v>
      </c>
      <c r="D60" s="15">
        <v>701012140922164</v>
      </c>
      <c r="F60">
        <v>70</v>
      </c>
      <c r="G60" t="s">
        <v>136</v>
      </c>
      <c r="H60">
        <v>7010</v>
      </c>
      <c r="I60" t="s">
        <v>137</v>
      </c>
      <c r="K60" t="s">
        <v>138</v>
      </c>
      <c r="M60">
        <v>12140922164</v>
      </c>
      <c r="N60" t="s">
        <v>139</v>
      </c>
      <c r="O60">
        <v>12140922164</v>
      </c>
      <c r="P60" t="s">
        <v>140</v>
      </c>
      <c r="Q60" t="s">
        <v>141</v>
      </c>
      <c r="R60">
        <v>0</v>
      </c>
      <c r="S60">
        <v>36</v>
      </c>
      <c r="T60" t="s">
        <v>142</v>
      </c>
      <c r="U60" t="s">
        <v>143</v>
      </c>
      <c r="V60" t="s">
        <v>143</v>
      </c>
      <c r="W60" t="s">
        <v>143</v>
      </c>
      <c r="X60" t="s">
        <v>143</v>
      </c>
      <c r="AA60" t="s">
        <v>144</v>
      </c>
      <c r="AB60" t="s">
        <v>164</v>
      </c>
      <c r="AC60">
        <v>0</v>
      </c>
      <c r="AD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A60">
        <v>726959.00000000105</v>
      </c>
      <c r="BB60">
        <v>3763778</v>
      </c>
    </row>
    <row r="61" spans="1:54" x14ac:dyDescent="0.35">
      <c r="A61">
        <v>110491</v>
      </c>
      <c r="B61">
        <v>858</v>
      </c>
      <c r="C61" t="s">
        <v>135</v>
      </c>
      <c r="D61" s="15">
        <v>701012140922164</v>
      </c>
      <c r="F61">
        <v>70</v>
      </c>
      <c r="G61" t="s">
        <v>136</v>
      </c>
      <c r="H61">
        <v>7010</v>
      </c>
      <c r="I61" t="s">
        <v>137</v>
      </c>
      <c r="K61" t="s">
        <v>79</v>
      </c>
      <c r="M61">
        <v>12160922338</v>
      </c>
      <c r="N61" t="s">
        <v>139</v>
      </c>
      <c r="O61">
        <v>12160922338</v>
      </c>
      <c r="Q61" t="s">
        <v>141</v>
      </c>
      <c r="R61">
        <v>0</v>
      </c>
      <c r="T61" t="s">
        <v>146</v>
      </c>
      <c r="AA61" t="s">
        <v>144</v>
      </c>
      <c r="AB61" t="s">
        <v>164</v>
      </c>
      <c r="AC61">
        <v>0</v>
      </c>
      <c r="AD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A61">
        <v>727010.00000000105</v>
      </c>
      <c r="BB61">
        <v>3763813</v>
      </c>
    </row>
    <row r="62" spans="1:54" x14ac:dyDescent="0.35">
      <c r="A62">
        <v>110490</v>
      </c>
      <c r="B62">
        <v>857</v>
      </c>
      <c r="C62" t="s">
        <v>135</v>
      </c>
      <c r="D62" s="15">
        <v>701012160922338</v>
      </c>
      <c r="F62">
        <v>70</v>
      </c>
      <c r="G62" t="s">
        <v>136</v>
      </c>
      <c r="H62">
        <v>7010</v>
      </c>
      <c r="I62" t="s">
        <v>137</v>
      </c>
      <c r="K62" t="s">
        <v>138</v>
      </c>
      <c r="M62">
        <v>12160922338</v>
      </c>
      <c r="N62" t="s">
        <v>139</v>
      </c>
      <c r="O62">
        <v>12160922338</v>
      </c>
      <c r="P62" t="s">
        <v>140</v>
      </c>
      <c r="Q62" t="s">
        <v>141</v>
      </c>
      <c r="R62">
        <v>0</v>
      </c>
      <c r="T62" t="s">
        <v>146</v>
      </c>
      <c r="U62" t="s">
        <v>143</v>
      </c>
      <c r="V62" t="s">
        <v>143</v>
      </c>
      <c r="W62" t="s">
        <v>143</v>
      </c>
      <c r="X62" t="s">
        <v>143</v>
      </c>
      <c r="AA62" t="s">
        <v>144</v>
      </c>
      <c r="AB62" t="s">
        <v>164</v>
      </c>
      <c r="AC62">
        <v>0</v>
      </c>
      <c r="AD62">
        <v>0</v>
      </c>
      <c r="AO62">
        <v>0</v>
      </c>
      <c r="AP62">
        <v>39</v>
      </c>
      <c r="AQ62">
        <v>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A62">
        <v>727010.00000000105</v>
      </c>
      <c r="BB62">
        <v>3763813</v>
      </c>
    </row>
    <row r="63" spans="1:54" x14ac:dyDescent="0.35">
      <c r="A63">
        <v>110489</v>
      </c>
      <c r="B63">
        <v>856</v>
      </c>
      <c r="C63" t="s">
        <v>135</v>
      </c>
      <c r="D63" s="15">
        <v>701012160922338</v>
      </c>
      <c r="F63">
        <v>70</v>
      </c>
      <c r="G63" t="s">
        <v>136</v>
      </c>
      <c r="H63">
        <v>7010</v>
      </c>
      <c r="I63" t="s">
        <v>137</v>
      </c>
      <c r="K63" t="s">
        <v>79</v>
      </c>
      <c r="M63">
        <v>12160922338</v>
      </c>
      <c r="N63" t="s">
        <v>139</v>
      </c>
      <c r="O63">
        <v>12160922338</v>
      </c>
      <c r="Q63" t="s">
        <v>141</v>
      </c>
      <c r="R63">
        <v>0</v>
      </c>
      <c r="T63" t="s">
        <v>146</v>
      </c>
      <c r="AA63" t="s">
        <v>144</v>
      </c>
      <c r="AB63" t="s">
        <v>164</v>
      </c>
      <c r="AC63">
        <v>0</v>
      </c>
      <c r="AD63">
        <v>0</v>
      </c>
      <c r="AE63" t="s">
        <v>147</v>
      </c>
      <c r="AF63" t="s">
        <v>148</v>
      </c>
      <c r="AG63" t="s">
        <v>165</v>
      </c>
      <c r="AH63" t="s">
        <v>161</v>
      </c>
      <c r="AJ63" t="s">
        <v>166</v>
      </c>
      <c r="AK63" t="s">
        <v>152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 t="s">
        <v>167</v>
      </c>
      <c r="BA63">
        <v>727010.00000000105</v>
      </c>
      <c r="BB63">
        <v>3763813</v>
      </c>
    </row>
    <row r="64" spans="1:54" x14ac:dyDescent="0.35">
      <c r="A64">
        <v>110488</v>
      </c>
      <c r="B64">
        <v>855</v>
      </c>
      <c r="C64" t="s">
        <v>135</v>
      </c>
      <c r="D64" s="15">
        <v>701012160922335</v>
      </c>
      <c r="F64">
        <v>70</v>
      </c>
      <c r="G64" t="s">
        <v>136</v>
      </c>
      <c r="H64">
        <v>7010</v>
      </c>
      <c r="I64" t="s">
        <v>137</v>
      </c>
      <c r="K64" t="s">
        <v>138</v>
      </c>
      <c r="M64">
        <v>12160922335</v>
      </c>
      <c r="N64" t="s">
        <v>139</v>
      </c>
      <c r="O64">
        <v>12160922335</v>
      </c>
      <c r="P64" t="s">
        <v>140</v>
      </c>
      <c r="Q64" t="s">
        <v>141</v>
      </c>
      <c r="R64">
        <v>0</v>
      </c>
      <c r="S64">
        <v>36</v>
      </c>
      <c r="T64" t="s">
        <v>142</v>
      </c>
      <c r="U64" t="s">
        <v>143</v>
      </c>
      <c r="V64" t="s">
        <v>143</v>
      </c>
      <c r="W64" t="s">
        <v>143</v>
      </c>
      <c r="X64" t="s">
        <v>143</v>
      </c>
      <c r="AA64" t="s">
        <v>144</v>
      </c>
      <c r="AB64" t="s">
        <v>168</v>
      </c>
      <c r="AC64">
        <v>0</v>
      </c>
      <c r="AD64">
        <v>0</v>
      </c>
      <c r="AO64">
        <v>0</v>
      </c>
      <c r="AP64">
        <v>28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A64">
        <v>727141.00000000105</v>
      </c>
      <c r="BB64">
        <v>3763697</v>
      </c>
    </row>
    <row r="65" spans="1:54" x14ac:dyDescent="0.35">
      <c r="A65">
        <v>110487</v>
      </c>
      <c r="B65">
        <v>854</v>
      </c>
      <c r="C65" t="s">
        <v>135</v>
      </c>
      <c r="D65" s="15">
        <v>701012160922335</v>
      </c>
      <c r="E65">
        <v>0</v>
      </c>
      <c r="F65">
        <v>70</v>
      </c>
      <c r="G65" t="s">
        <v>136</v>
      </c>
      <c r="H65">
        <v>7010</v>
      </c>
      <c r="I65" t="s">
        <v>137</v>
      </c>
      <c r="K65" t="s">
        <v>79</v>
      </c>
      <c r="M65">
        <v>12160922334</v>
      </c>
      <c r="N65" t="s">
        <v>139</v>
      </c>
      <c r="O65">
        <v>12160922334</v>
      </c>
      <c r="Q65" t="s">
        <v>141</v>
      </c>
      <c r="R65">
        <v>0</v>
      </c>
      <c r="S65">
        <v>36</v>
      </c>
      <c r="T65" t="s">
        <v>142</v>
      </c>
      <c r="AA65" t="s">
        <v>144</v>
      </c>
      <c r="AB65" t="s">
        <v>168</v>
      </c>
      <c r="AC65">
        <v>0</v>
      </c>
      <c r="AD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A65">
        <v>727121.99999999895</v>
      </c>
      <c r="BB65">
        <v>3763669</v>
      </c>
    </row>
    <row r="66" spans="1:54" x14ac:dyDescent="0.35">
      <c r="A66">
        <v>110486</v>
      </c>
      <c r="B66">
        <v>853</v>
      </c>
      <c r="C66" t="s">
        <v>135</v>
      </c>
      <c r="D66" s="15">
        <v>701012160922334</v>
      </c>
      <c r="E66">
        <v>0</v>
      </c>
      <c r="F66">
        <v>70</v>
      </c>
      <c r="G66" t="s">
        <v>136</v>
      </c>
      <c r="H66">
        <v>7010</v>
      </c>
      <c r="I66" t="s">
        <v>137</v>
      </c>
      <c r="K66" t="s">
        <v>138</v>
      </c>
      <c r="M66">
        <v>12160922334</v>
      </c>
      <c r="N66" t="s">
        <v>139</v>
      </c>
      <c r="O66">
        <v>12160922334</v>
      </c>
      <c r="P66" t="s">
        <v>140</v>
      </c>
      <c r="Q66" t="s">
        <v>141</v>
      </c>
      <c r="R66">
        <v>0</v>
      </c>
      <c r="S66">
        <v>36</v>
      </c>
      <c r="T66" t="s">
        <v>142</v>
      </c>
      <c r="U66" t="s">
        <v>143</v>
      </c>
      <c r="V66" t="s">
        <v>143</v>
      </c>
      <c r="W66" t="s">
        <v>143</v>
      </c>
      <c r="X66" t="s">
        <v>143</v>
      </c>
      <c r="AA66" t="s">
        <v>144</v>
      </c>
      <c r="AB66" t="s">
        <v>168</v>
      </c>
      <c r="AC66">
        <v>0</v>
      </c>
      <c r="AD66">
        <v>0</v>
      </c>
      <c r="AO66">
        <v>0</v>
      </c>
      <c r="AP66">
        <v>23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A66">
        <v>727121.99999999895</v>
      </c>
      <c r="BB66">
        <v>3763669</v>
      </c>
    </row>
    <row r="67" spans="1:54" x14ac:dyDescent="0.35">
      <c r="A67">
        <v>110485</v>
      </c>
      <c r="B67">
        <v>852</v>
      </c>
      <c r="C67" t="s">
        <v>135</v>
      </c>
      <c r="D67" s="15">
        <v>701012160922334</v>
      </c>
      <c r="F67">
        <v>70</v>
      </c>
      <c r="G67" t="s">
        <v>136</v>
      </c>
      <c r="H67">
        <v>7010</v>
      </c>
      <c r="I67" t="s">
        <v>137</v>
      </c>
      <c r="K67" t="s">
        <v>79</v>
      </c>
      <c r="M67">
        <v>12160922331</v>
      </c>
      <c r="N67" t="s">
        <v>139</v>
      </c>
      <c r="O67">
        <v>12160922331</v>
      </c>
      <c r="Q67" t="s">
        <v>141</v>
      </c>
      <c r="R67">
        <v>0</v>
      </c>
      <c r="S67">
        <v>36</v>
      </c>
      <c r="T67" t="s">
        <v>142</v>
      </c>
      <c r="AA67" t="s">
        <v>144</v>
      </c>
      <c r="AB67" t="s">
        <v>168</v>
      </c>
      <c r="AC67">
        <v>0</v>
      </c>
      <c r="AD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A67">
        <v>727102.00000000105</v>
      </c>
      <c r="BB67">
        <v>3763617</v>
      </c>
    </row>
    <row r="68" spans="1:54" x14ac:dyDescent="0.35">
      <c r="A68">
        <v>110484</v>
      </c>
      <c r="B68">
        <v>851</v>
      </c>
      <c r="C68" t="s">
        <v>135</v>
      </c>
      <c r="D68" s="15">
        <v>701012160922333</v>
      </c>
      <c r="F68">
        <v>70</v>
      </c>
      <c r="G68" t="s">
        <v>136</v>
      </c>
      <c r="H68">
        <v>7010</v>
      </c>
      <c r="I68" t="s">
        <v>137</v>
      </c>
      <c r="K68" t="s">
        <v>138</v>
      </c>
      <c r="M68">
        <v>12160922333</v>
      </c>
      <c r="N68" t="s">
        <v>139</v>
      </c>
      <c r="O68">
        <v>12160922333</v>
      </c>
      <c r="P68" t="s">
        <v>140</v>
      </c>
      <c r="Q68" t="s">
        <v>141</v>
      </c>
      <c r="R68">
        <v>0</v>
      </c>
      <c r="S68">
        <v>30</v>
      </c>
      <c r="T68" t="s">
        <v>142</v>
      </c>
      <c r="U68" t="s">
        <v>154</v>
      </c>
      <c r="V68" t="s">
        <v>154</v>
      </c>
      <c r="W68" t="s">
        <v>154</v>
      </c>
      <c r="X68" t="s">
        <v>154</v>
      </c>
      <c r="AA68" t="s">
        <v>144</v>
      </c>
      <c r="AB68" t="s">
        <v>168</v>
      </c>
      <c r="AC68">
        <v>0</v>
      </c>
      <c r="AD68">
        <v>0</v>
      </c>
      <c r="AO68">
        <v>0</v>
      </c>
      <c r="AP68">
        <v>14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A68">
        <v>727084.00000000105</v>
      </c>
      <c r="BB68">
        <v>3763670</v>
      </c>
    </row>
    <row r="69" spans="1:54" x14ac:dyDescent="0.35">
      <c r="A69">
        <v>110483</v>
      </c>
      <c r="B69">
        <v>850</v>
      </c>
      <c r="C69" t="s">
        <v>135</v>
      </c>
      <c r="D69" s="15">
        <v>701012160922333</v>
      </c>
      <c r="F69">
        <v>70</v>
      </c>
      <c r="G69" t="s">
        <v>136</v>
      </c>
      <c r="H69">
        <v>7010</v>
      </c>
      <c r="I69" t="s">
        <v>137</v>
      </c>
      <c r="K69" t="s">
        <v>79</v>
      </c>
      <c r="M69">
        <v>12160922332</v>
      </c>
      <c r="N69" t="s">
        <v>139</v>
      </c>
      <c r="O69">
        <v>12160922332</v>
      </c>
      <c r="Q69" t="s">
        <v>141</v>
      </c>
      <c r="R69">
        <v>0</v>
      </c>
      <c r="S69">
        <v>30</v>
      </c>
      <c r="T69" t="s">
        <v>142</v>
      </c>
      <c r="AA69" t="s">
        <v>144</v>
      </c>
      <c r="AB69" t="s">
        <v>168</v>
      </c>
      <c r="AC69">
        <v>0</v>
      </c>
      <c r="AD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A69">
        <v>727068</v>
      </c>
      <c r="BB69">
        <v>3763642</v>
      </c>
    </row>
    <row r="70" spans="1:54" x14ac:dyDescent="0.35">
      <c r="A70">
        <v>110482</v>
      </c>
      <c r="B70">
        <v>849</v>
      </c>
      <c r="C70" t="s">
        <v>135</v>
      </c>
      <c r="D70" s="15">
        <v>701012160922332</v>
      </c>
      <c r="F70">
        <v>70</v>
      </c>
      <c r="G70" t="s">
        <v>136</v>
      </c>
      <c r="H70">
        <v>7010</v>
      </c>
      <c r="I70" t="s">
        <v>137</v>
      </c>
      <c r="K70" t="s">
        <v>138</v>
      </c>
      <c r="M70">
        <v>12160922332</v>
      </c>
      <c r="N70" t="s">
        <v>139</v>
      </c>
      <c r="O70">
        <v>12160922332</v>
      </c>
      <c r="P70" t="s">
        <v>140</v>
      </c>
      <c r="Q70" t="s">
        <v>141</v>
      </c>
      <c r="R70">
        <v>0</v>
      </c>
      <c r="S70">
        <v>30</v>
      </c>
      <c r="T70" t="s">
        <v>142</v>
      </c>
      <c r="U70" t="s">
        <v>143</v>
      </c>
      <c r="V70" t="s">
        <v>143</v>
      </c>
      <c r="W70" t="s">
        <v>154</v>
      </c>
      <c r="X70" t="s">
        <v>154</v>
      </c>
      <c r="AA70" t="s">
        <v>144</v>
      </c>
      <c r="AB70" t="s">
        <v>168</v>
      </c>
      <c r="AC70">
        <v>0</v>
      </c>
      <c r="AD70">
        <v>0</v>
      </c>
      <c r="AO70">
        <v>0</v>
      </c>
      <c r="AP70">
        <v>14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A70">
        <v>727068</v>
      </c>
      <c r="BB70">
        <v>3763642</v>
      </c>
    </row>
    <row r="71" spans="1:54" x14ac:dyDescent="0.35">
      <c r="A71">
        <v>110481</v>
      </c>
      <c r="B71">
        <v>848</v>
      </c>
      <c r="C71" t="s">
        <v>135</v>
      </c>
      <c r="D71" s="15">
        <v>701012160922332</v>
      </c>
      <c r="F71">
        <v>70</v>
      </c>
      <c r="G71" t="s">
        <v>136</v>
      </c>
      <c r="H71">
        <v>7010</v>
      </c>
      <c r="I71" t="s">
        <v>137</v>
      </c>
      <c r="K71" t="s">
        <v>79</v>
      </c>
      <c r="M71">
        <v>12160922331</v>
      </c>
      <c r="N71" t="s">
        <v>139</v>
      </c>
      <c r="O71">
        <v>12160922331</v>
      </c>
      <c r="Q71" t="s">
        <v>141</v>
      </c>
      <c r="R71">
        <v>0</v>
      </c>
      <c r="S71">
        <v>36</v>
      </c>
      <c r="T71" t="s">
        <v>142</v>
      </c>
      <c r="AA71" t="s">
        <v>144</v>
      </c>
      <c r="AB71" t="s">
        <v>168</v>
      </c>
      <c r="AC71">
        <v>0</v>
      </c>
      <c r="AD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A71">
        <v>727102.00000000105</v>
      </c>
      <c r="BB71">
        <v>3763617</v>
      </c>
    </row>
    <row r="72" spans="1:54" x14ac:dyDescent="0.35">
      <c r="A72">
        <v>110480</v>
      </c>
      <c r="B72">
        <v>847</v>
      </c>
      <c r="C72" t="s">
        <v>135</v>
      </c>
      <c r="D72" s="15">
        <v>701012160922328</v>
      </c>
      <c r="E72">
        <v>1</v>
      </c>
      <c r="F72">
        <v>70</v>
      </c>
      <c r="G72" t="s">
        <v>136</v>
      </c>
      <c r="H72">
        <v>7010</v>
      </c>
      <c r="I72" t="s">
        <v>137</v>
      </c>
      <c r="K72" t="s">
        <v>138</v>
      </c>
      <c r="M72">
        <v>12160922328</v>
      </c>
      <c r="N72" t="s">
        <v>139</v>
      </c>
      <c r="O72">
        <v>12160922328</v>
      </c>
      <c r="P72" t="s">
        <v>140</v>
      </c>
      <c r="Q72" t="s">
        <v>141</v>
      </c>
      <c r="R72">
        <v>0</v>
      </c>
      <c r="S72">
        <v>36</v>
      </c>
      <c r="T72" t="s">
        <v>142</v>
      </c>
      <c r="U72" t="s">
        <v>143</v>
      </c>
      <c r="V72" t="s">
        <v>143</v>
      </c>
      <c r="W72" t="s">
        <v>143</v>
      </c>
      <c r="X72" t="s">
        <v>143</v>
      </c>
      <c r="AA72" t="s">
        <v>144</v>
      </c>
      <c r="AB72" t="s">
        <v>168</v>
      </c>
      <c r="AC72">
        <v>0</v>
      </c>
      <c r="AD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A72">
        <v>727082.00000000105</v>
      </c>
      <c r="BB72">
        <v>3763577</v>
      </c>
    </row>
    <row r="73" spans="1:54" x14ac:dyDescent="0.35">
      <c r="A73">
        <v>110479</v>
      </c>
      <c r="B73">
        <v>846</v>
      </c>
      <c r="C73" t="s">
        <v>135</v>
      </c>
      <c r="D73" s="15">
        <v>701012160922328</v>
      </c>
      <c r="F73">
        <v>70</v>
      </c>
      <c r="G73" t="s">
        <v>136</v>
      </c>
      <c r="H73">
        <v>7010</v>
      </c>
      <c r="I73" t="s">
        <v>137</v>
      </c>
      <c r="K73" t="s">
        <v>79</v>
      </c>
      <c r="M73">
        <v>12160922331</v>
      </c>
      <c r="N73" t="s">
        <v>139</v>
      </c>
      <c r="O73">
        <v>12160922331</v>
      </c>
      <c r="Q73" t="s">
        <v>141</v>
      </c>
      <c r="R73">
        <v>0</v>
      </c>
      <c r="S73">
        <v>36</v>
      </c>
      <c r="T73" t="s">
        <v>142</v>
      </c>
      <c r="AA73" t="s">
        <v>144</v>
      </c>
      <c r="AB73" t="s">
        <v>168</v>
      </c>
      <c r="AC73">
        <v>0</v>
      </c>
      <c r="AD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A73">
        <v>727102.00000000105</v>
      </c>
      <c r="BB73">
        <v>3763617</v>
      </c>
    </row>
    <row r="74" spans="1:54" x14ac:dyDescent="0.35">
      <c r="A74">
        <v>110478</v>
      </c>
      <c r="B74">
        <v>845</v>
      </c>
      <c r="C74" t="s">
        <v>135</v>
      </c>
      <c r="D74" s="15">
        <v>701012160922331</v>
      </c>
      <c r="F74">
        <v>70</v>
      </c>
      <c r="G74" t="s">
        <v>136</v>
      </c>
      <c r="H74">
        <v>7010</v>
      </c>
      <c r="I74" t="s">
        <v>137</v>
      </c>
      <c r="K74" t="s">
        <v>138</v>
      </c>
      <c r="M74">
        <v>12160922331</v>
      </c>
      <c r="N74" t="s">
        <v>139</v>
      </c>
      <c r="O74">
        <v>12160922331</v>
      </c>
      <c r="P74" t="s">
        <v>140</v>
      </c>
      <c r="Q74" t="s">
        <v>141</v>
      </c>
      <c r="R74">
        <v>0</v>
      </c>
      <c r="S74">
        <v>36</v>
      </c>
      <c r="T74" t="s">
        <v>142</v>
      </c>
      <c r="U74" t="s">
        <v>143</v>
      </c>
      <c r="V74" t="s">
        <v>143</v>
      </c>
      <c r="W74" t="s">
        <v>143</v>
      </c>
      <c r="X74" t="s">
        <v>143</v>
      </c>
      <c r="AA74" t="s">
        <v>144</v>
      </c>
      <c r="AB74" t="s">
        <v>168</v>
      </c>
      <c r="AC74">
        <v>0</v>
      </c>
      <c r="AD74">
        <v>0</v>
      </c>
      <c r="AO74">
        <v>0</v>
      </c>
      <c r="AP74">
        <v>31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A74">
        <v>727102.00000000105</v>
      </c>
      <c r="BB74">
        <v>3763617</v>
      </c>
    </row>
    <row r="75" spans="1:54" x14ac:dyDescent="0.35">
      <c r="A75">
        <v>110477</v>
      </c>
      <c r="B75">
        <v>844</v>
      </c>
      <c r="C75" t="s">
        <v>135</v>
      </c>
      <c r="D75" s="15">
        <v>701012160922331</v>
      </c>
      <c r="F75">
        <v>70</v>
      </c>
      <c r="G75" t="s">
        <v>136</v>
      </c>
      <c r="H75">
        <v>7010</v>
      </c>
      <c r="I75" t="s">
        <v>137</v>
      </c>
      <c r="K75" t="s">
        <v>79</v>
      </c>
      <c r="M75">
        <v>12160922331</v>
      </c>
      <c r="N75" t="s">
        <v>139</v>
      </c>
      <c r="O75">
        <v>12160922331</v>
      </c>
      <c r="Q75" t="s">
        <v>141</v>
      </c>
      <c r="R75">
        <v>0</v>
      </c>
      <c r="S75">
        <v>36</v>
      </c>
      <c r="T75" t="s">
        <v>142</v>
      </c>
      <c r="AA75" t="s">
        <v>144</v>
      </c>
      <c r="AB75" t="s">
        <v>168</v>
      </c>
      <c r="AC75">
        <v>0</v>
      </c>
      <c r="AD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169</v>
      </c>
      <c r="BA75">
        <v>727102.00000000105</v>
      </c>
      <c r="BB75">
        <v>3763617</v>
      </c>
    </row>
    <row r="76" spans="1:54" x14ac:dyDescent="0.35">
      <c r="A76">
        <v>110476</v>
      </c>
      <c r="B76">
        <v>843</v>
      </c>
      <c r="C76" t="s">
        <v>135</v>
      </c>
      <c r="D76" s="15">
        <v>701012160922328</v>
      </c>
      <c r="E76">
        <v>1</v>
      </c>
      <c r="F76">
        <v>70</v>
      </c>
      <c r="G76" t="s">
        <v>136</v>
      </c>
      <c r="H76">
        <v>7010</v>
      </c>
      <c r="I76" t="s">
        <v>137</v>
      </c>
      <c r="K76" t="s">
        <v>138</v>
      </c>
      <c r="M76">
        <v>12160922328</v>
      </c>
      <c r="N76" t="s">
        <v>139</v>
      </c>
      <c r="O76">
        <v>12160922328</v>
      </c>
      <c r="P76" t="s">
        <v>140</v>
      </c>
      <c r="Q76" t="s">
        <v>141</v>
      </c>
      <c r="R76">
        <v>0</v>
      </c>
      <c r="S76">
        <v>36</v>
      </c>
      <c r="T76" t="s">
        <v>142</v>
      </c>
      <c r="U76" t="s">
        <v>154</v>
      </c>
      <c r="V76" t="s">
        <v>154</v>
      </c>
      <c r="W76" t="s">
        <v>154</v>
      </c>
      <c r="X76" t="s">
        <v>154</v>
      </c>
      <c r="AA76" t="s">
        <v>144</v>
      </c>
      <c r="AB76" t="s">
        <v>170</v>
      </c>
      <c r="AC76">
        <v>0</v>
      </c>
      <c r="AD76">
        <v>0</v>
      </c>
      <c r="AO76">
        <v>0</v>
      </c>
      <c r="AP76">
        <v>15</v>
      </c>
      <c r="AQ76">
        <v>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A76">
        <v>727082.00000000105</v>
      </c>
      <c r="BB76">
        <v>3763577</v>
      </c>
    </row>
    <row r="77" spans="1:54" x14ac:dyDescent="0.35">
      <c r="A77">
        <v>110475</v>
      </c>
      <c r="B77">
        <v>842</v>
      </c>
      <c r="C77" t="s">
        <v>135</v>
      </c>
      <c r="D77" s="15">
        <v>701012160922328</v>
      </c>
      <c r="E77">
        <v>0</v>
      </c>
      <c r="F77">
        <v>70</v>
      </c>
      <c r="G77" t="s">
        <v>136</v>
      </c>
      <c r="H77">
        <v>7010</v>
      </c>
      <c r="I77" t="s">
        <v>137</v>
      </c>
      <c r="K77" t="s">
        <v>79</v>
      </c>
      <c r="M77">
        <v>12160922327</v>
      </c>
      <c r="N77" t="s">
        <v>139</v>
      </c>
      <c r="O77">
        <v>12160922327</v>
      </c>
      <c r="Q77" t="s">
        <v>141</v>
      </c>
      <c r="R77">
        <v>0</v>
      </c>
      <c r="S77">
        <v>36</v>
      </c>
      <c r="T77" t="s">
        <v>142</v>
      </c>
      <c r="AA77" t="s">
        <v>144</v>
      </c>
      <c r="AB77" t="s">
        <v>170</v>
      </c>
      <c r="AC77">
        <v>0</v>
      </c>
      <c r="AD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A77">
        <v>727065</v>
      </c>
      <c r="BB77">
        <v>3763538</v>
      </c>
    </row>
    <row r="78" spans="1:54" x14ac:dyDescent="0.35">
      <c r="A78">
        <v>110474</v>
      </c>
      <c r="B78">
        <v>841</v>
      </c>
      <c r="C78" t="s">
        <v>135</v>
      </c>
      <c r="D78" s="15">
        <v>701012160922327</v>
      </c>
      <c r="E78">
        <v>0</v>
      </c>
      <c r="F78">
        <v>70</v>
      </c>
      <c r="G78" t="s">
        <v>136</v>
      </c>
      <c r="H78">
        <v>7010</v>
      </c>
      <c r="I78" t="s">
        <v>137</v>
      </c>
      <c r="K78" t="s">
        <v>138</v>
      </c>
      <c r="M78">
        <v>12160922327</v>
      </c>
      <c r="N78" t="s">
        <v>139</v>
      </c>
      <c r="O78">
        <v>12160922327</v>
      </c>
      <c r="P78" t="s">
        <v>140</v>
      </c>
      <c r="Q78" t="s">
        <v>141</v>
      </c>
      <c r="R78">
        <v>0</v>
      </c>
      <c r="S78">
        <v>36</v>
      </c>
      <c r="T78" t="s">
        <v>142</v>
      </c>
      <c r="U78" t="s">
        <v>154</v>
      </c>
      <c r="V78" t="s">
        <v>154</v>
      </c>
      <c r="W78" t="s">
        <v>154</v>
      </c>
      <c r="X78" t="s">
        <v>154</v>
      </c>
      <c r="AA78" t="s">
        <v>144</v>
      </c>
      <c r="AB78" t="s">
        <v>170</v>
      </c>
      <c r="AC78">
        <v>0</v>
      </c>
      <c r="AD78">
        <v>0</v>
      </c>
      <c r="AO78">
        <v>0</v>
      </c>
      <c r="AP78">
        <v>16</v>
      </c>
      <c r="AQ78">
        <v>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A78">
        <v>727065</v>
      </c>
      <c r="BB78">
        <v>3763538</v>
      </c>
    </row>
    <row r="79" spans="1:54" x14ac:dyDescent="0.35">
      <c r="A79">
        <v>110473</v>
      </c>
      <c r="B79">
        <v>840</v>
      </c>
      <c r="C79" t="s">
        <v>135</v>
      </c>
      <c r="D79" s="15">
        <v>701012160922327</v>
      </c>
      <c r="F79">
        <v>70</v>
      </c>
      <c r="G79" t="s">
        <v>136</v>
      </c>
      <c r="H79">
        <v>7010</v>
      </c>
      <c r="I79" t="s">
        <v>137</v>
      </c>
      <c r="K79" t="s">
        <v>79</v>
      </c>
      <c r="M79">
        <v>12160922326</v>
      </c>
      <c r="N79" t="s">
        <v>139</v>
      </c>
      <c r="O79">
        <v>12160922326</v>
      </c>
      <c r="Q79" t="s">
        <v>141</v>
      </c>
      <c r="R79">
        <v>0</v>
      </c>
      <c r="S79">
        <v>36</v>
      </c>
      <c r="T79" t="s">
        <v>142</v>
      </c>
      <c r="AA79" t="s">
        <v>144</v>
      </c>
      <c r="AB79" t="s">
        <v>170</v>
      </c>
      <c r="AC79">
        <v>0</v>
      </c>
      <c r="AD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A79">
        <v>727046.00000000105</v>
      </c>
      <c r="BB79">
        <v>3763504</v>
      </c>
    </row>
    <row r="80" spans="1:54" x14ac:dyDescent="0.35">
      <c r="A80">
        <v>110472</v>
      </c>
      <c r="B80">
        <v>839</v>
      </c>
      <c r="C80" t="s">
        <v>135</v>
      </c>
      <c r="D80" s="15">
        <v>701012160922326</v>
      </c>
      <c r="F80">
        <v>70</v>
      </c>
      <c r="G80" t="s">
        <v>136</v>
      </c>
      <c r="H80">
        <v>7010</v>
      </c>
      <c r="I80" t="s">
        <v>137</v>
      </c>
      <c r="K80" t="s">
        <v>138</v>
      </c>
      <c r="M80">
        <v>12160922326</v>
      </c>
      <c r="N80" t="s">
        <v>139</v>
      </c>
      <c r="O80">
        <v>12160922326</v>
      </c>
      <c r="P80" t="s">
        <v>140</v>
      </c>
      <c r="Q80" t="s">
        <v>141</v>
      </c>
      <c r="R80">
        <v>0</v>
      </c>
      <c r="S80">
        <v>36</v>
      </c>
      <c r="T80" t="s">
        <v>142</v>
      </c>
      <c r="U80" t="s">
        <v>154</v>
      </c>
      <c r="V80" t="s">
        <v>154</v>
      </c>
      <c r="W80" t="s">
        <v>154</v>
      </c>
      <c r="X80" t="s">
        <v>154</v>
      </c>
      <c r="AA80" t="s">
        <v>144</v>
      </c>
      <c r="AB80" t="s">
        <v>170</v>
      </c>
      <c r="AC80">
        <v>0</v>
      </c>
      <c r="AD80">
        <v>0</v>
      </c>
      <c r="AO80">
        <v>0</v>
      </c>
      <c r="AP80">
        <v>4</v>
      </c>
      <c r="AQ80">
        <v>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A80">
        <v>727046.00000000105</v>
      </c>
      <c r="BB80">
        <v>3763504</v>
      </c>
    </row>
    <row r="81" spans="1:54" x14ac:dyDescent="0.35">
      <c r="A81">
        <v>110471</v>
      </c>
      <c r="B81">
        <v>838</v>
      </c>
      <c r="C81" t="s">
        <v>135</v>
      </c>
      <c r="D81" s="15">
        <v>701012160922326</v>
      </c>
      <c r="F81">
        <v>70</v>
      </c>
      <c r="G81" t="s">
        <v>136</v>
      </c>
      <c r="H81">
        <v>7010</v>
      </c>
      <c r="I81" t="s">
        <v>137</v>
      </c>
      <c r="K81" t="s">
        <v>79</v>
      </c>
      <c r="M81">
        <v>12160922318</v>
      </c>
      <c r="N81" t="s">
        <v>139</v>
      </c>
      <c r="O81">
        <v>12160922318</v>
      </c>
      <c r="Q81" t="s">
        <v>141</v>
      </c>
      <c r="R81">
        <v>0</v>
      </c>
      <c r="T81" t="s">
        <v>146</v>
      </c>
      <c r="AA81" t="s">
        <v>144</v>
      </c>
      <c r="AB81" t="s">
        <v>170</v>
      </c>
      <c r="AC81">
        <v>0</v>
      </c>
      <c r="AD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A81">
        <v>727026.20000000205</v>
      </c>
      <c r="BB81">
        <v>3763468.4</v>
      </c>
    </row>
    <row r="82" spans="1:54" x14ac:dyDescent="0.35">
      <c r="A82">
        <v>110470</v>
      </c>
      <c r="B82">
        <v>837</v>
      </c>
      <c r="C82" t="s">
        <v>135</v>
      </c>
      <c r="D82" s="15">
        <v>701012160922318</v>
      </c>
      <c r="F82">
        <v>70</v>
      </c>
      <c r="G82" t="s">
        <v>136</v>
      </c>
      <c r="H82">
        <v>7010</v>
      </c>
      <c r="I82" t="s">
        <v>137</v>
      </c>
      <c r="K82" t="s">
        <v>138</v>
      </c>
      <c r="M82">
        <v>12160922318</v>
      </c>
      <c r="N82" t="s">
        <v>139</v>
      </c>
      <c r="O82">
        <v>12160922318</v>
      </c>
      <c r="P82" t="s">
        <v>140</v>
      </c>
      <c r="Q82" t="s">
        <v>141</v>
      </c>
      <c r="R82">
        <v>0</v>
      </c>
      <c r="T82" t="s">
        <v>146</v>
      </c>
      <c r="U82" t="s">
        <v>154</v>
      </c>
      <c r="V82" t="s">
        <v>154</v>
      </c>
      <c r="W82" t="s">
        <v>154</v>
      </c>
      <c r="X82" t="s">
        <v>154</v>
      </c>
      <c r="AA82" t="s">
        <v>144</v>
      </c>
      <c r="AB82" t="s">
        <v>170</v>
      </c>
      <c r="AC82">
        <v>0</v>
      </c>
      <c r="AD82">
        <v>0</v>
      </c>
      <c r="AO82">
        <v>0</v>
      </c>
      <c r="AP82">
        <v>4</v>
      </c>
      <c r="AQ82">
        <v>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A82">
        <v>727026.20000000205</v>
      </c>
      <c r="BB82">
        <v>3763468.4</v>
      </c>
    </row>
    <row r="83" spans="1:54" x14ac:dyDescent="0.35">
      <c r="A83">
        <v>110469</v>
      </c>
      <c r="B83">
        <v>836</v>
      </c>
      <c r="C83" t="s">
        <v>135</v>
      </c>
      <c r="D83" s="15">
        <v>701012160922318</v>
      </c>
      <c r="F83">
        <v>70</v>
      </c>
      <c r="G83" t="s">
        <v>136</v>
      </c>
      <c r="H83">
        <v>7010</v>
      </c>
      <c r="I83" t="s">
        <v>137</v>
      </c>
      <c r="K83" t="s">
        <v>79</v>
      </c>
      <c r="M83">
        <v>12160922318</v>
      </c>
      <c r="N83" t="s">
        <v>139</v>
      </c>
      <c r="O83">
        <v>12160922318</v>
      </c>
      <c r="Q83" t="s">
        <v>141</v>
      </c>
      <c r="R83">
        <v>0</v>
      </c>
      <c r="T83" t="s">
        <v>146</v>
      </c>
      <c r="AA83" t="s">
        <v>144</v>
      </c>
      <c r="AB83" t="s">
        <v>170</v>
      </c>
      <c r="AC83">
        <v>0</v>
      </c>
      <c r="AD83">
        <v>0</v>
      </c>
      <c r="AE83" t="s">
        <v>147</v>
      </c>
      <c r="AF83" t="s">
        <v>148</v>
      </c>
      <c r="AG83" t="s">
        <v>149</v>
      </c>
      <c r="AH83" t="s">
        <v>171</v>
      </c>
      <c r="AJ83" t="s">
        <v>172</v>
      </c>
      <c r="AK83" t="s">
        <v>152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 t="s">
        <v>173</v>
      </c>
      <c r="BA83">
        <v>727026.20000000205</v>
      </c>
      <c r="BB83">
        <v>3763468.4</v>
      </c>
    </row>
    <row r="84" spans="1:54" x14ac:dyDescent="0.35">
      <c r="A84">
        <v>110468</v>
      </c>
      <c r="B84">
        <v>835</v>
      </c>
      <c r="C84" t="s">
        <v>135</v>
      </c>
      <c r="D84" s="15">
        <v>701012160922325</v>
      </c>
      <c r="F84">
        <v>70</v>
      </c>
      <c r="G84" t="s">
        <v>136</v>
      </c>
      <c r="H84">
        <v>7010</v>
      </c>
      <c r="I84" t="s">
        <v>137</v>
      </c>
      <c r="K84" t="s">
        <v>138</v>
      </c>
      <c r="M84">
        <v>12160922325</v>
      </c>
      <c r="N84" t="s">
        <v>139</v>
      </c>
      <c r="O84">
        <v>12160922325</v>
      </c>
      <c r="P84" t="s">
        <v>140</v>
      </c>
      <c r="Q84" t="s">
        <v>141</v>
      </c>
      <c r="R84">
        <v>0</v>
      </c>
      <c r="S84">
        <v>30</v>
      </c>
      <c r="T84" t="s">
        <v>142</v>
      </c>
      <c r="U84" t="s">
        <v>154</v>
      </c>
      <c r="V84" t="s">
        <v>154</v>
      </c>
      <c r="W84" t="s">
        <v>154</v>
      </c>
      <c r="X84" t="s">
        <v>154</v>
      </c>
      <c r="AA84" t="s">
        <v>144</v>
      </c>
      <c r="AB84" t="s">
        <v>174</v>
      </c>
      <c r="AC84">
        <v>0</v>
      </c>
      <c r="AD84">
        <v>0</v>
      </c>
      <c r="AO84">
        <v>0</v>
      </c>
      <c r="AP84">
        <v>13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A84">
        <v>727028.00000000105</v>
      </c>
      <c r="BB84">
        <v>3763595</v>
      </c>
    </row>
    <row r="85" spans="1:54" x14ac:dyDescent="0.35">
      <c r="A85">
        <v>110467</v>
      </c>
      <c r="B85">
        <v>834</v>
      </c>
      <c r="C85" t="s">
        <v>135</v>
      </c>
      <c r="D85" s="15">
        <v>701012160922325</v>
      </c>
      <c r="F85">
        <v>70</v>
      </c>
      <c r="G85" t="s">
        <v>136</v>
      </c>
      <c r="H85">
        <v>7010</v>
      </c>
      <c r="I85" t="s">
        <v>137</v>
      </c>
      <c r="K85" t="s">
        <v>79</v>
      </c>
      <c r="M85">
        <v>12160922324</v>
      </c>
      <c r="N85" t="s">
        <v>139</v>
      </c>
      <c r="O85">
        <v>12160922324</v>
      </c>
      <c r="Q85" t="s">
        <v>141</v>
      </c>
      <c r="R85">
        <v>0</v>
      </c>
      <c r="S85">
        <v>30</v>
      </c>
      <c r="T85" t="s">
        <v>142</v>
      </c>
      <c r="AA85" t="s">
        <v>144</v>
      </c>
      <c r="AB85" t="s">
        <v>174</v>
      </c>
      <c r="AC85">
        <v>0</v>
      </c>
      <c r="AD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A85">
        <v>727017</v>
      </c>
      <c r="BB85">
        <v>3763563</v>
      </c>
    </row>
    <row r="86" spans="1:54" x14ac:dyDescent="0.35">
      <c r="A86">
        <v>110466</v>
      </c>
      <c r="B86">
        <v>833</v>
      </c>
      <c r="C86" t="s">
        <v>135</v>
      </c>
      <c r="D86" s="15">
        <v>701012160922324</v>
      </c>
      <c r="F86">
        <v>70</v>
      </c>
      <c r="G86" t="s">
        <v>136</v>
      </c>
      <c r="H86">
        <v>7010</v>
      </c>
      <c r="I86" t="s">
        <v>137</v>
      </c>
      <c r="K86" t="s">
        <v>138</v>
      </c>
      <c r="M86">
        <v>12160922324</v>
      </c>
      <c r="N86" t="s">
        <v>139</v>
      </c>
      <c r="O86">
        <v>12160922324</v>
      </c>
      <c r="P86" t="s">
        <v>140</v>
      </c>
      <c r="Q86" t="s">
        <v>141</v>
      </c>
      <c r="R86">
        <v>0</v>
      </c>
      <c r="S86">
        <v>30</v>
      </c>
      <c r="T86" t="s">
        <v>142</v>
      </c>
      <c r="U86" t="s">
        <v>154</v>
      </c>
      <c r="V86" t="s">
        <v>154</v>
      </c>
      <c r="W86" t="s">
        <v>154</v>
      </c>
      <c r="X86" t="s">
        <v>154</v>
      </c>
      <c r="AA86" t="s">
        <v>144</v>
      </c>
      <c r="AB86" t="s">
        <v>174</v>
      </c>
      <c r="AC86">
        <v>0</v>
      </c>
      <c r="AD86">
        <v>0</v>
      </c>
      <c r="AO86">
        <v>0</v>
      </c>
      <c r="AP86">
        <v>3</v>
      </c>
      <c r="AQ86">
        <v>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A86">
        <v>727017</v>
      </c>
      <c r="BB86">
        <v>3763563</v>
      </c>
    </row>
    <row r="87" spans="1:54" x14ac:dyDescent="0.35">
      <c r="A87">
        <v>110465</v>
      </c>
      <c r="B87">
        <v>832</v>
      </c>
      <c r="C87" t="s">
        <v>135</v>
      </c>
      <c r="D87" s="15">
        <v>701012160922324</v>
      </c>
      <c r="F87">
        <v>70</v>
      </c>
      <c r="G87" t="s">
        <v>136</v>
      </c>
      <c r="H87">
        <v>7010</v>
      </c>
      <c r="I87" t="s">
        <v>137</v>
      </c>
      <c r="K87" t="s">
        <v>79</v>
      </c>
      <c r="M87">
        <v>12160922323</v>
      </c>
      <c r="N87" t="s">
        <v>139</v>
      </c>
      <c r="O87">
        <v>12160922323</v>
      </c>
      <c r="Q87" t="s">
        <v>141</v>
      </c>
      <c r="R87">
        <v>0</v>
      </c>
      <c r="S87">
        <v>36</v>
      </c>
      <c r="T87" t="s">
        <v>142</v>
      </c>
      <c r="AA87" t="s">
        <v>144</v>
      </c>
      <c r="AB87" t="s">
        <v>174</v>
      </c>
      <c r="AC87">
        <v>0</v>
      </c>
      <c r="AD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A87">
        <v>727007.00000000198</v>
      </c>
      <c r="BB87">
        <v>3763544</v>
      </c>
    </row>
    <row r="88" spans="1:54" x14ac:dyDescent="0.35">
      <c r="A88">
        <v>110464</v>
      </c>
      <c r="B88">
        <v>831</v>
      </c>
      <c r="C88" t="s">
        <v>135</v>
      </c>
      <c r="D88" s="15">
        <v>701012160922323</v>
      </c>
      <c r="F88">
        <v>70</v>
      </c>
      <c r="G88" t="s">
        <v>136</v>
      </c>
      <c r="H88">
        <v>7010</v>
      </c>
      <c r="I88" t="s">
        <v>137</v>
      </c>
      <c r="K88" t="s">
        <v>138</v>
      </c>
      <c r="M88">
        <v>12160922323</v>
      </c>
      <c r="N88" t="s">
        <v>139</v>
      </c>
      <c r="O88">
        <v>12160922323</v>
      </c>
      <c r="P88" t="s">
        <v>140</v>
      </c>
      <c r="Q88" t="s">
        <v>141</v>
      </c>
      <c r="R88">
        <v>0</v>
      </c>
      <c r="S88">
        <v>36</v>
      </c>
      <c r="T88" t="s">
        <v>142</v>
      </c>
      <c r="U88" t="s">
        <v>154</v>
      </c>
      <c r="V88" t="s">
        <v>154</v>
      </c>
      <c r="W88" t="s">
        <v>154</v>
      </c>
      <c r="X88" t="s">
        <v>154</v>
      </c>
      <c r="AA88" t="s">
        <v>144</v>
      </c>
      <c r="AB88" t="s">
        <v>174</v>
      </c>
      <c r="AC88">
        <v>0</v>
      </c>
      <c r="AD88">
        <v>0</v>
      </c>
      <c r="AO88">
        <v>0</v>
      </c>
      <c r="AP88">
        <v>4</v>
      </c>
      <c r="AQ88">
        <v>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A88">
        <v>727007.00000000198</v>
      </c>
      <c r="BB88">
        <v>3763544</v>
      </c>
    </row>
    <row r="89" spans="1:54" x14ac:dyDescent="0.35">
      <c r="A89">
        <v>110463</v>
      </c>
      <c r="B89">
        <v>830</v>
      </c>
      <c r="C89" t="s">
        <v>135</v>
      </c>
      <c r="D89" s="15">
        <v>701012160922323</v>
      </c>
      <c r="F89">
        <v>70</v>
      </c>
      <c r="G89" t="s">
        <v>136</v>
      </c>
      <c r="H89">
        <v>7010</v>
      </c>
      <c r="I89" t="s">
        <v>137</v>
      </c>
      <c r="K89" t="s">
        <v>79</v>
      </c>
      <c r="M89">
        <v>12160922322</v>
      </c>
      <c r="N89" t="s">
        <v>139</v>
      </c>
      <c r="O89">
        <v>12160922322</v>
      </c>
      <c r="Q89" t="s">
        <v>141</v>
      </c>
      <c r="R89">
        <v>0</v>
      </c>
      <c r="S89">
        <v>36</v>
      </c>
      <c r="T89" t="s">
        <v>142</v>
      </c>
      <c r="AA89" t="s">
        <v>144</v>
      </c>
      <c r="AB89" t="s">
        <v>174</v>
      </c>
      <c r="AC89">
        <v>0</v>
      </c>
      <c r="AD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A89">
        <v>726986</v>
      </c>
      <c r="BB89">
        <v>3763499</v>
      </c>
    </row>
    <row r="90" spans="1:54" x14ac:dyDescent="0.35">
      <c r="A90">
        <v>110462</v>
      </c>
      <c r="B90">
        <v>829</v>
      </c>
      <c r="C90" t="s">
        <v>135</v>
      </c>
      <c r="D90" s="15">
        <v>701012160922315</v>
      </c>
      <c r="F90">
        <v>70</v>
      </c>
      <c r="G90" t="s">
        <v>136</v>
      </c>
      <c r="H90">
        <v>7010</v>
      </c>
      <c r="I90" t="s">
        <v>137</v>
      </c>
      <c r="K90" t="s">
        <v>138</v>
      </c>
      <c r="M90">
        <v>12160922315</v>
      </c>
      <c r="N90" t="s">
        <v>139</v>
      </c>
      <c r="O90">
        <v>12160922315</v>
      </c>
      <c r="P90" t="s">
        <v>140</v>
      </c>
      <c r="Q90" t="s">
        <v>141</v>
      </c>
      <c r="R90">
        <v>0</v>
      </c>
      <c r="S90">
        <v>36</v>
      </c>
      <c r="T90" t="s">
        <v>142</v>
      </c>
      <c r="U90" t="s">
        <v>154</v>
      </c>
      <c r="V90" t="s">
        <v>154</v>
      </c>
      <c r="W90" t="s">
        <v>154</v>
      </c>
      <c r="X90" t="s">
        <v>154</v>
      </c>
      <c r="AA90" t="s">
        <v>144</v>
      </c>
      <c r="AB90" t="s">
        <v>174</v>
      </c>
      <c r="AC90">
        <v>0</v>
      </c>
      <c r="AD90">
        <v>0</v>
      </c>
      <c r="AO90">
        <v>0</v>
      </c>
      <c r="AP90">
        <v>8</v>
      </c>
      <c r="AQ90">
        <v>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A90">
        <v>727007.00000000198</v>
      </c>
      <c r="BB90">
        <v>3763426</v>
      </c>
    </row>
    <row r="91" spans="1:54" x14ac:dyDescent="0.35">
      <c r="A91">
        <v>110461</v>
      </c>
      <c r="B91">
        <v>828</v>
      </c>
      <c r="C91" t="s">
        <v>135</v>
      </c>
      <c r="D91" s="15">
        <v>701012160922315</v>
      </c>
      <c r="F91">
        <v>70</v>
      </c>
      <c r="G91" t="s">
        <v>136</v>
      </c>
      <c r="H91">
        <v>7010</v>
      </c>
      <c r="I91" t="s">
        <v>137</v>
      </c>
      <c r="K91" t="s">
        <v>79</v>
      </c>
      <c r="M91">
        <v>12150922206</v>
      </c>
      <c r="N91" t="s">
        <v>139</v>
      </c>
      <c r="O91">
        <v>12150922206</v>
      </c>
      <c r="Q91" t="s">
        <v>141</v>
      </c>
      <c r="R91">
        <v>0</v>
      </c>
      <c r="S91">
        <v>36</v>
      </c>
      <c r="T91" t="s">
        <v>142</v>
      </c>
      <c r="AA91" t="s">
        <v>144</v>
      </c>
      <c r="AB91" t="s">
        <v>174</v>
      </c>
      <c r="AC91">
        <v>0</v>
      </c>
      <c r="AD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A91">
        <v>726965</v>
      </c>
      <c r="BB91">
        <v>3763461</v>
      </c>
    </row>
    <row r="92" spans="1:54" x14ac:dyDescent="0.35">
      <c r="A92">
        <v>110460</v>
      </c>
      <c r="B92">
        <v>827</v>
      </c>
      <c r="C92" t="s">
        <v>135</v>
      </c>
      <c r="D92" s="15">
        <v>701012150922206</v>
      </c>
      <c r="F92">
        <v>70</v>
      </c>
      <c r="G92" t="s">
        <v>136</v>
      </c>
      <c r="H92">
        <v>7010</v>
      </c>
      <c r="I92" t="s">
        <v>137</v>
      </c>
      <c r="K92" t="s">
        <v>138</v>
      </c>
      <c r="M92">
        <v>12150922206</v>
      </c>
      <c r="N92" t="s">
        <v>139</v>
      </c>
      <c r="O92">
        <v>12150922206</v>
      </c>
      <c r="P92" t="s">
        <v>140</v>
      </c>
      <c r="Q92" t="s">
        <v>141</v>
      </c>
      <c r="R92">
        <v>0</v>
      </c>
      <c r="S92">
        <v>36</v>
      </c>
      <c r="T92" t="s">
        <v>142</v>
      </c>
      <c r="U92" t="s">
        <v>154</v>
      </c>
      <c r="V92" t="s">
        <v>154</v>
      </c>
      <c r="W92" t="s">
        <v>154</v>
      </c>
      <c r="X92" t="s">
        <v>154</v>
      </c>
      <c r="AA92" t="s">
        <v>144</v>
      </c>
      <c r="AB92" t="s">
        <v>174</v>
      </c>
      <c r="AC92">
        <v>0</v>
      </c>
      <c r="AD92">
        <v>0</v>
      </c>
      <c r="AO92">
        <v>0</v>
      </c>
      <c r="AP92">
        <v>3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A92">
        <v>726965</v>
      </c>
      <c r="BB92">
        <v>3763461</v>
      </c>
    </row>
    <row r="93" spans="1:54" x14ac:dyDescent="0.35">
      <c r="A93">
        <v>110459</v>
      </c>
      <c r="B93">
        <v>826</v>
      </c>
      <c r="C93" t="s">
        <v>135</v>
      </c>
      <c r="D93" s="15">
        <v>701012150922206</v>
      </c>
      <c r="F93">
        <v>70</v>
      </c>
      <c r="G93" t="s">
        <v>136</v>
      </c>
      <c r="H93">
        <v>7010</v>
      </c>
      <c r="I93" t="s">
        <v>137</v>
      </c>
      <c r="K93" t="s">
        <v>79</v>
      </c>
      <c r="M93">
        <v>12160922319</v>
      </c>
      <c r="N93" t="s">
        <v>139</v>
      </c>
      <c r="O93">
        <v>12160922319</v>
      </c>
      <c r="P93" t="s">
        <v>140</v>
      </c>
      <c r="Q93" t="s">
        <v>141</v>
      </c>
      <c r="R93">
        <v>0</v>
      </c>
      <c r="S93">
        <v>36</v>
      </c>
      <c r="T93" t="s">
        <v>142</v>
      </c>
      <c r="U93" t="s">
        <v>154</v>
      </c>
      <c r="V93" t="s">
        <v>154</v>
      </c>
      <c r="W93" t="s">
        <v>154</v>
      </c>
      <c r="X93" t="s">
        <v>154</v>
      </c>
      <c r="AA93" t="s">
        <v>144</v>
      </c>
      <c r="AB93" t="s">
        <v>174</v>
      </c>
      <c r="AC93">
        <v>0</v>
      </c>
      <c r="AD93">
        <v>0</v>
      </c>
      <c r="AO93">
        <v>0</v>
      </c>
      <c r="AP93">
        <v>3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A93">
        <v>726975.00000000105</v>
      </c>
      <c r="BB93">
        <v>3763474</v>
      </c>
    </row>
    <row r="94" spans="1:54" x14ac:dyDescent="0.35">
      <c r="A94">
        <v>110458</v>
      </c>
      <c r="B94">
        <v>825</v>
      </c>
      <c r="C94" t="s">
        <v>135</v>
      </c>
      <c r="D94" s="15">
        <v>701012160922319</v>
      </c>
      <c r="F94">
        <v>70</v>
      </c>
      <c r="G94" t="s">
        <v>136</v>
      </c>
      <c r="H94">
        <v>7010</v>
      </c>
      <c r="I94" t="s">
        <v>137</v>
      </c>
      <c r="K94" t="s">
        <v>138</v>
      </c>
      <c r="M94">
        <v>12160922319</v>
      </c>
      <c r="N94" t="s">
        <v>139</v>
      </c>
      <c r="O94">
        <v>12160922319</v>
      </c>
      <c r="P94" t="s">
        <v>140</v>
      </c>
      <c r="Q94" t="s">
        <v>141</v>
      </c>
      <c r="R94">
        <v>0</v>
      </c>
      <c r="S94">
        <v>36</v>
      </c>
      <c r="T94" t="s">
        <v>142</v>
      </c>
      <c r="U94" t="s">
        <v>154</v>
      </c>
      <c r="V94" t="s">
        <v>154</v>
      </c>
      <c r="W94" t="s">
        <v>154</v>
      </c>
      <c r="X94" t="s">
        <v>154</v>
      </c>
      <c r="AA94" t="s">
        <v>144</v>
      </c>
      <c r="AB94" t="s">
        <v>174</v>
      </c>
      <c r="AC94">
        <v>0</v>
      </c>
      <c r="AD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A94">
        <v>726975.00000000105</v>
      </c>
      <c r="BB94">
        <v>3763474</v>
      </c>
    </row>
    <row r="95" spans="1:54" x14ac:dyDescent="0.35">
      <c r="A95">
        <v>110457</v>
      </c>
      <c r="B95">
        <v>824</v>
      </c>
      <c r="C95" t="s">
        <v>135</v>
      </c>
      <c r="D95" s="15">
        <v>701012160922319</v>
      </c>
      <c r="F95">
        <v>70</v>
      </c>
      <c r="G95" t="s">
        <v>136</v>
      </c>
      <c r="H95">
        <v>7010</v>
      </c>
      <c r="I95" t="s">
        <v>137</v>
      </c>
      <c r="K95" t="s">
        <v>79</v>
      </c>
      <c r="M95">
        <v>12160922322</v>
      </c>
      <c r="N95" t="s">
        <v>139</v>
      </c>
      <c r="O95">
        <v>12160922322</v>
      </c>
      <c r="Q95" t="s">
        <v>141</v>
      </c>
      <c r="R95">
        <v>0</v>
      </c>
      <c r="S95">
        <v>36</v>
      </c>
      <c r="T95" t="s">
        <v>142</v>
      </c>
      <c r="AA95" t="s">
        <v>144</v>
      </c>
      <c r="AB95" t="s">
        <v>174</v>
      </c>
      <c r="AC95">
        <v>0</v>
      </c>
      <c r="AD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A95">
        <v>726986</v>
      </c>
      <c r="BB95">
        <v>3763499</v>
      </c>
    </row>
    <row r="96" spans="1:54" x14ac:dyDescent="0.35">
      <c r="A96">
        <v>110456</v>
      </c>
      <c r="B96">
        <v>823</v>
      </c>
      <c r="C96" t="s">
        <v>135</v>
      </c>
      <c r="D96" s="15">
        <v>701012160922322</v>
      </c>
      <c r="F96">
        <v>70</v>
      </c>
      <c r="G96" t="s">
        <v>136</v>
      </c>
      <c r="H96">
        <v>7010</v>
      </c>
      <c r="I96" t="s">
        <v>137</v>
      </c>
      <c r="K96" t="s">
        <v>138</v>
      </c>
      <c r="M96">
        <v>12160922322</v>
      </c>
      <c r="N96" t="s">
        <v>139</v>
      </c>
      <c r="O96">
        <v>12160922322</v>
      </c>
      <c r="P96" t="s">
        <v>140</v>
      </c>
      <c r="Q96" t="s">
        <v>141</v>
      </c>
      <c r="R96">
        <v>0</v>
      </c>
      <c r="S96">
        <v>36</v>
      </c>
      <c r="T96" t="s">
        <v>142</v>
      </c>
      <c r="U96" t="s">
        <v>154</v>
      </c>
      <c r="V96" t="s">
        <v>154</v>
      </c>
      <c r="W96" t="s">
        <v>154</v>
      </c>
      <c r="X96" t="s">
        <v>154</v>
      </c>
      <c r="AA96" t="s">
        <v>144</v>
      </c>
      <c r="AB96" t="s">
        <v>174</v>
      </c>
      <c r="AC96">
        <v>0</v>
      </c>
      <c r="AD96">
        <v>0</v>
      </c>
      <c r="AO96">
        <v>0</v>
      </c>
      <c r="AP96">
        <v>3</v>
      </c>
      <c r="AQ96">
        <v>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A96">
        <v>726986</v>
      </c>
      <c r="BB96">
        <v>3763499</v>
      </c>
    </row>
    <row r="97" spans="1:54" x14ac:dyDescent="0.35">
      <c r="A97">
        <v>110455</v>
      </c>
      <c r="B97">
        <v>822</v>
      </c>
      <c r="C97" t="s">
        <v>135</v>
      </c>
      <c r="D97" s="15">
        <v>701012160922322</v>
      </c>
      <c r="F97">
        <v>70</v>
      </c>
      <c r="G97" t="s">
        <v>136</v>
      </c>
      <c r="H97">
        <v>7010</v>
      </c>
      <c r="I97" t="s">
        <v>137</v>
      </c>
      <c r="K97" t="s">
        <v>79</v>
      </c>
      <c r="M97">
        <v>12160922322</v>
      </c>
      <c r="N97" t="s">
        <v>139</v>
      </c>
      <c r="O97">
        <v>12160922322</v>
      </c>
      <c r="Q97" t="s">
        <v>141</v>
      </c>
      <c r="R97">
        <v>0</v>
      </c>
      <c r="S97">
        <v>36</v>
      </c>
      <c r="T97" t="s">
        <v>142</v>
      </c>
      <c r="AA97" t="s">
        <v>144</v>
      </c>
      <c r="AB97" t="s">
        <v>174</v>
      </c>
      <c r="AC97">
        <v>0</v>
      </c>
      <c r="AD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t="s">
        <v>175</v>
      </c>
      <c r="BA97">
        <v>726986</v>
      </c>
      <c r="BB97">
        <v>3763499</v>
      </c>
    </row>
    <row r="98" spans="1:54" x14ac:dyDescent="0.35">
      <c r="A98">
        <v>110454</v>
      </c>
      <c r="B98">
        <v>821</v>
      </c>
      <c r="C98" t="s">
        <v>135</v>
      </c>
      <c r="D98" s="15">
        <v>701012160922318</v>
      </c>
      <c r="F98">
        <v>70</v>
      </c>
      <c r="G98" t="s">
        <v>136</v>
      </c>
      <c r="H98">
        <v>7010</v>
      </c>
      <c r="I98" t="s">
        <v>137</v>
      </c>
      <c r="K98" t="s">
        <v>138</v>
      </c>
      <c r="M98">
        <v>12160922318</v>
      </c>
      <c r="N98" t="s">
        <v>139</v>
      </c>
      <c r="O98">
        <v>12160922318</v>
      </c>
      <c r="P98" t="s">
        <v>140</v>
      </c>
      <c r="Q98" t="s">
        <v>141</v>
      </c>
      <c r="R98">
        <v>0</v>
      </c>
      <c r="S98">
        <v>36</v>
      </c>
      <c r="T98" t="s">
        <v>142</v>
      </c>
      <c r="U98" t="s">
        <v>143</v>
      </c>
      <c r="V98" t="s">
        <v>143</v>
      </c>
      <c r="W98" t="s">
        <v>143</v>
      </c>
      <c r="X98" t="s">
        <v>143</v>
      </c>
      <c r="AA98" t="s">
        <v>144</v>
      </c>
      <c r="AB98" t="s">
        <v>174</v>
      </c>
      <c r="AC98">
        <v>0</v>
      </c>
      <c r="AD98">
        <v>0</v>
      </c>
      <c r="AO98">
        <v>0</v>
      </c>
      <c r="AP98">
        <v>5</v>
      </c>
      <c r="AQ98">
        <v>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A98">
        <v>727026.20000000205</v>
      </c>
      <c r="BB98">
        <v>3763468.4</v>
      </c>
    </row>
    <row r="99" spans="1:54" x14ac:dyDescent="0.35">
      <c r="A99">
        <v>110453</v>
      </c>
      <c r="B99">
        <v>820</v>
      </c>
      <c r="C99" t="s">
        <v>135</v>
      </c>
      <c r="D99" s="15">
        <v>701012160922318</v>
      </c>
      <c r="F99">
        <v>70</v>
      </c>
      <c r="G99" t="s">
        <v>136</v>
      </c>
      <c r="H99">
        <v>7010</v>
      </c>
      <c r="I99" t="s">
        <v>137</v>
      </c>
      <c r="K99" t="s">
        <v>79</v>
      </c>
      <c r="M99">
        <v>12160922315</v>
      </c>
      <c r="N99" t="s">
        <v>139</v>
      </c>
      <c r="O99">
        <v>12160922315</v>
      </c>
      <c r="Q99" t="s">
        <v>141</v>
      </c>
      <c r="R99">
        <v>0</v>
      </c>
      <c r="S99">
        <v>36</v>
      </c>
      <c r="T99" t="s">
        <v>142</v>
      </c>
      <c r="AA99" t="s">
        <v>144</v>
      </c>
      <c r="AB99" t="s">
        <v>174</v>
      </c>
      <c r="AC99">
        <v>0</v>
      </c>
      <c r="AD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A99">
        <v>727007.00000000198</v>
      </c>
      <c r="BB99">
        <v>3763426</v>
      </c>
    </row>
    <row r="100" spans="1:54" x14ac:dyDescent="0.35">
      <c r="A100">
        <v>110452</v>
      </c>
      <c r="B100">
        <v>819</v>
      </c>
      <c r="C100" t="s">
        <v>135</v>
      </c>
      <c r="D100" s="15">
        <v>701012160922315</v>
      </c>
      <c r="F100">
        <v>70</v>
      </c>
      <c r="G100" t="s">
        <v>136</v>
      </c>
      <c r="H100">
        <v>7010</v>
      </c>
      <c r="I100" t="s">
        <v>137</v>
      </c>
      <c r="K100" t="s">
        <v>138</v>
      </c>
      <c r="M100">
        <v>12160922315</v>
      </c>
      <c r="N100" t="s">
        <v>139</v>
      </c>
      <c r="O100">
        <v>12160922315</v>
      </c>
      <c r="P100" t="s">
        <v>140</v>
      </c>
      <c r="Q100" t="s">
        <v>141</v>
      </c>
      <c r="R100">
        <v>0</v>
      </c>
      <c r="S100">
        <v>36</v>
      </c>
      <c r="T100" t="s">
        <v>142</v>
      </c>
      <c r="U100" t="s">
        <v>143</v>
      </c>
      <c r="V100" t="s">
        <v>143</v>
      </c>
      <c r="W100" t="s">
        <v>143</v>
      </c>
      <c r="X100" t="s">
        <v>143</v>
      </c>
      <c r="AA100" t="s">
        <v>144</v>
      </c>
      <c r="AB100" t="s">
        <v>174</v>
      </c>
      <c r="AC100">
        <v>0</v>
      </c>
      <c r="AD100">
        <v>0</v>
      </c>
      <c r="AO100">
        <v>0</v>
      </c>
      <c r="AP100">
        <v>7</v>
      </c>
      <c r="AQ100">
        <v>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A100">
        <v>727007.00000000198</v>
      </c>
      <c r="BB100">
        <v>3763426</v>
      </c>
    </row>
    <row r="101" spans="1:54" x14ac:dyDescent="0.35">
      <c r="A101">
        <v>110451</v>
      </c>
      <c r="B101">
        <v>818</v>
      </c>
      <c r="C101" t="s">
        <v>135</v>
      </c>
      <c r="D101" s="15">
        <v>701012160922315</v>
      </c>
      <c r="F101">
        <v>70</v>
      </c>
      <c r="G101" t="s">
        <v>136</v>
      </c>
      <c r="H101">
        <v>7010</v>
      </c>
      <c r="I101" t="s">
        <v>137</v>
      </c>
      <c r="K101" t="s">
        <v>79</v>
      </c>
      <c r="M101">
        <v>12160922314</v>
      </c>
      <c r="N101" t="s">
        <v>139</v>
      </c>
      <c r="O101">
        <v>12160922314</v>
      </c>
      <c r="Q101" t="s">
        <v>141</v>
      </c>
      <c r="R101">
        <v>0</v>
      </c>
      <c r="T101" t="s">
        <v>146</v>
      </c>
      <c r="AA101" t="s">
        <v>144</v>
      </c>
      <c r="AB101" t="s">
        <v>174</v>
      </c>
      <c r="AC101">
        <v>0</v>
      </c>
      <c r="AD101">
        <v>0</v>
      </c>
      <c r="AE101" t="s">
        <v>147</v>
      </c>
      <c r="AF101" t="s">
        <v>148</v>
      </c>
      <c r="AG101" t="s">
        <v>149</v>
      </c>
      <c r="AH101" t="s">
        <v>150</v>
      </c>
      <c r="AJ101" t="s">
        <v>176</v>
      </c>
      <c r="AK101" t="s">
        <v>152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Z101" t="s">
        <v>177</v>
      </c>
      <c r="BA101">
        <v>726990.00000000105</v>
      </c>
      <c r="BB101">
        <v>3763380</v>
      </c>
    </row>
    <row r="102" spans="1:54" x14ac:dyDescent="0.35">
      <c r="A102">
        <v>110450</v>
      </c>
      <c r="B102">
        <v>817</v>
      </c>
      <c r="C102" t="s">
        <v>135</v>
      </c>
      <c r="D102" s="15">
        <v>701012160922279</v>
      </c>
      <c r="F102">
        <v>70</v>
      </c>
      <c r="G102" t="s">
        <v>136</v>
      </c>
      <c r="H102">
        <v>7010</v>
      </c>
      <c r="I102" t="s">
        <v>137</v>
      </c>
      <c r="K102" t="s">
        <v>138</v>
      </c>
      <c r="M102">
        <v>12160922279</v>
      </c>
      <c r="N102" t="s">
        <v>139</v>
      </c>
      <c r="O102">
        <v>12160922279</v>
      </c>
      <c r="P102" t="s">
        <v>178</v>
      </c>
      <c r="Q102" t="s">
        <v>141</v>
      </c>
      <c r="R102">
        <v>0</v>
      </c>
      <c r="S102">
        <v>36</v>
      </c>
      <c r="T102" t="s">
        <v>142</v>
      </c>
      <c r="U102" t="s">
        <v>143</v>
      </c>
      <c r="V102" t="s">
        <v>143</v>
      </c>
      <c r="X102" t="s">
        <v>143</v>
      </c>
      <c r="AA102" t="s">
        <v>144</v>
      </c>
      <c r="AB102" t="s">
        <v>174</v>
      </c>
      <c r="AC102">
        <v>0</v>
      </c>
      <c r="AD102">
        <v>0</v>
      </c>
      <c r="AO102">
        <v>0</v>
      </c>
      <c r="AP102">
        <v>7</v>
      </c>
      <c r="AQ102">
        <v>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A102">
        <v>726968</v>
      </c>
      <c r="BB102">
        <v>3763337</v>
      </c>
    </row>
    <row r="103" spans="1:54" x14ac:dyDescent="0.35">
      <c r="A103">
        <v>110449</v>
      </c>
      <c r="B103">
        <v>816</v>
      </c>
      <c r="C103" t="s">
        <v>135</v>
      </c>
      <c r="D103" s="15">
        <v>701012160922279</v>
      </c>
      <c r="F103">
        <v>70</v>
      </c>
      <c r="G103" t="s">
        <v>136</v>
      </c>
      <c r="H103">
        <v>7010</v>
      </c>
      <c r="I103" t="s">
        <v>137</v>
      </c>
      <c r="K103" t="s">
        <v>79</v>
      </c>
      <c r="M103">
        <v>12160922314</v>
      </c>
      <c r="N103" t="s">
        <v>139</v>
      </c>
      <c r="O103">
        <v>12160922314</v>
      </c>
      <c r="Q103" t="s">
        <v>141</v>
      </c>
      <c r="R103">
        <v>0</v>
      </c>
      <c r="T103" t="s">
        <v>146</v>
      </c>
      <c r="AA103" t="s">
        <v>144</v>
      </c>
      <c r="AB103" t="s">
        <v>174</v>
      </c>
      <c r="AC103">
        <v>0</v>
      </c>
      <c r="AD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A103">
        <v>726990.00000000105</v>
      </c>
      <c r="BB103">
        <v>3763380</v>
      </c>
    </row>
    <row r="104" spans="1:54" x14ac:dyDescent="0.35">
      <c r="A104">
        <v>110448</v>
      </c>
      <c r="B104">
        <v>815</v>
      </c>
      <c r="C104" t="s">
        <v>135</v>
      </c>
      <c r="D104" s="15">
        <v>701012160922314</v>
      </c>
      <c r="F104">
        <v>70</v>
      </c>
      <c r="G104" t="s">
        <v>136</v>
      </c>
      <c r="H104">
        <v>7010</v>
      </c>
      <c r="I104" t="s">
        <v>137</v>
      </c>
      <c r="K104" t="s">
        <v>138</v>
      </c>
      <c r="M104">
        <v>12160922314</v>
      </c>
      <c r="N104" t="s">
        <v>139</v>
      </c>
      <c r="O104">
        <v>12160922314</v>
      </c>
      <c r="P104" t="s">
        <v>140</v>
      </c>
      <c r="Q104" t="s">
        <v>141</v>
      </c>
      <c r="R104">
        <v>0</v>
      </c>
      <c r="T104" t="s">
        <v>146</v>
      </c>
      <c r="U104" t="s">
        <v>143</v>
      </c>
      <c r="V104" t="s">
        <v>143</v>
      </c>
      <c r="W104" t="s">
        <v>143</v>
      </c>
      <c r="X104" t="s">
        <v>143</v>
      </c>
      <c r="AA104" t="s">
        <v>144</v>
      </c>
      <c r="AB104" t="s">
        <v>174</v>
      </c>
      <c r="AC104">
        <v>0</v>
      </c>
      <c r="AD104">
        <v>0</v>
      </c>
      <c r="AO104">
        <v>0</v>
      </c>
      <c r="AP104">
        <v>8</v>
      </c>
      <c r="AQ104">
        <v>10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A104">
        <v>726990.00000000105</v>
      </c>
      <c r="BB104">
        <v>3763380</v>
      </c>
    </row>
    <row r="105" spans="1:54" x14ac:dyDescent="0.35">
      <c r="A105">
        <v>110447</v>
      </c>
      <c r="B105">
        <v>814</v>
      </c>
      <c r="C105" t="s">
        <v>135</v>
      </c>
      <c r="D105" s="15">
        <v>701012160922314</v>
      </c>
      <c r="F105">
        <v>70</v>
      </c>
      <c r="G105" t="s">
        <v>136</v>
      </c>
      <c r="H105">
        <v>7010</v>
      </c>
      <c r="I105" t="s">
        <v>137</v>
      </c>
      <c r="K105" t="s">
        <v>79</v>
      </c>
      <c r="M105">
        <v>12160922314</v>
      </c>
      <c r="N105" t="s">
        <v>139</v>
      </c>
      <c r="O105">
        <v>12160922314</v>
      </c>
      <c r="Q105" t="s">
        <v>141</v>
      </c>
      <c r="R105">
        <v>0</v>
      </c>
      <c r="T105" t="s">
        <v>146</v>
      </c>
      <c r="AA105" t="s">
        <v>144</v>
      </c>
      <c r="AB105" t="s">
        <v>174</v>
      </c>
      <c r="AC105">
        <v>0</v>
      </c>
      <c r="AD105">
        <v>0</v>
      </c>
      <c r="AE105" t="s">
        <v>147</v>
      </c>
      <c r="AF105" t="s">
        <v>148</v>
      </c>
      <c r="AG105" t="s">
        <v>149</v>
      </c>
      <c r="AH105" t="s">
        <v>150</v>
      </c>
      <c r="AJ105" t="s">
        <v>176</v>
      </c>
      <c r="AK105" t="s">
        <v>152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 t="s">
        <v>177</v>
      </c>
      <c r="BA105">
        <v>726990.00000000105</v>
      </c>
      <c r="BB105">
        <v>3763380</v>
      </c>
    </row>
    <row r="106" spans="1:54" x14ac:dyDescent="0.35">
      <c r="A106">
        <v>110446</v>
      </c>
      <c r="B106">
        <v>813</v>
      </c>
      <c r="C106" t="s">
        <v>135</v>
      </c>
      <c r="D106" s="15">
        <v>701012160922311</v>
      </c>
      <c r="F106">
        <v>70</v>
      </c>
      <c r="G106" t="s">
        <v>136</v>
      </c>
      <c r="H106">
        <v>7010</v>
      </c>
      <c r="I106" t="s">
        <v>137</v>
      </c>
      <c r="K106" t="s">
        <v>138</v>
      </c>
      <c r="M106">
        <v>12160922311</v>
      </c>
      <c r="N106" t="s">
        <v>139</v>
      </c>
      <c r="O106">
        <v>12160922311</v>
      </c>
      <c r="P106" t="s">
        <v>140</v>
      </c>
      <c r="Q106" t="s">
        <v>141</v>
      </c>
      <c r="R106">
        <v>0</v>
      </c>
      <c r="S106">
        <v>30</v>
      </c>
      <c r="T106" t="s">
        <v>142</v>
      </c>
      <c r="U106" t="s">
        <v>143</v>
      </c>
      <c r="V106" t="s">
        <v>143</v>
      </c>
      <c r="W106" t="s">
        <v>143</v>
      </c>
      <c r="X106" t="s">
        <v>143</v>
      </c>
      <c r="AA106" t="s">
        <v>144</v>
      </c>
      <c r="AB106" t="s">
        <v>179</v>
      </c>
      <c r="AC106">
        <v>0</v>
      </c>
      <c r="AD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A106">
        <v>727157</v>
      </c>
      <c r="BB106">
        <v>3763437</v>
      </c>
    </row>
    <row r="107" spans="1:54" x14ac:dyDescent="0.35">
      <c r="A107">
        <v>110445</v>
      </c>
      <c r="B107">
        <v>812</v>
      </c>
      <c r="C107" t="s">
        <v>135</v>
      </c>
      <c r="D107" s="15">
        <v>701012160922311</v>
      </c>
      <c r="F107">
        <v>70</v>
      </c>
      <c r="G107" t="s">
        <v>136</v>
      </c>
      <c r="H107">
        <v>7010</v>
      </c>
      <c r="I107" t="s">
        <v>137</v>
      </c>
      <c r="K107" t="s">
        <v>79</v>
      </c>
      <c r="M107">
        <v>12160922307</v>
      </c>
      <c r="N107" t="s">
        <v>139</v>
      </c>
      <c r="O107">
        <v>12160922307</v>
      </c>
      <c r="Q107" t="s">
        <v>141</v>
      </c>
      <c r="R107">
        <v>0</v>
      </c>
      <c r="S107">
        <v>30</v>
      </c>
      <c r="T107" t="s">
        <v>142</v>
      </c>
      <c r="AA107" t="s">
        <v>144</v>
      </c>
      <c r="AB107" t="s">
        <v>179</v>
      </c>
      <c r="AC107">
        <v>0</v>
      </c>
      <c r="AD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A107">
        <v>727138.00000000105</v>
      </c>
      <c r="BB107">
        <v>3763422</v>
      </c>
    </row>
    <row r="108" spans="1:54" x14ac:dyDescent="0.35">
      <c r="A108">
        <v>110444</v>
      </c>
      <c r="B108">
        <v>811</v>
      </c>
      <c r="C108" t="s">
        <v>135</v>
      </c>
      <c r="D108" s="15">
        <v>701012160922308</v>
      </c>
      <c r="F108">
        <v>70</v>
      </c>
      <c r="G108" t="s">
        <v>136</v>
      </c>
      <c r="H108">
        <v>7010</v>
      </c>
      <c r="I108" t="s">
        <v>137</v>
      </c>
      <c r="K108" t="s">
        <v>138</v>
      </c>
      <c r="M108">
        <v>12160922308</v>
      </c>
      <c r="N108" t="s">
        <v>139</v>
      </c>
      <c r="O108">
        <v>12160922308</v>
      </c>
      <c r="P108" t="s">
        <v>140</v>
      </c>
      <c r="Q108" t="s">
        <v>141</v>
      </c>
      <c r="R108">
        <v>0</v>
      </c>
      <c r="S108">
        <v>30</v>
      </c>
      <c r="T108" t="s">
        <v>142</v>
      </c>
      <c r="U108" t="s">
        <v>143</v>
      </c>
      <c r="V108" t="s">
        <v>143</v>
      </c>
      <c r="W108" t="s">
        <v>143</v>
      </c>
      <c r="X108" t="s">
        <v>143</v>
      </c>
      <c r="AA108" t="s">
        <v>144</v>
      </c>
      <c r="AB108" t="s">
        <v>179</v>
      </c>
      <c r="AC108">
        <v>0</v>
      </c>
      <c r="AD108">
        <v>0</v>
      </c>
      <c r="AO108">
        <v>0</v>
      </c>
      <c r="AP108">
        <v>15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A108">
        <v>727154.00000000105</v>
      </c>
      <c r="BB108">
        <v>3763409</v>
      </c>
    </row>
    <row r="109" spans="1:54" x14ac:dyDescent="0.35">
      <c r="A109">
        <v>110443</v>
      </c>
      <c r="B109">
        <v>810</v>
      </c>
      <c r="C109" t="s">
        <v>135</v>
      </c>
      <c r="D109" s="15">
        <v>701012160922308</v>
      </c>
      <c r="F109">
        <v>70</v>
      </c>
      <c r="G109" t="s">
        <v>136</v>
      </c>
      <c r="H109">
        <v>7010</v>
      </c>
      <c r="I109" t="s">
        <v>137</v>
      </c>
      <c r="K109" t="s">
        <v>79</v>
      </c>
      <c r="M109">
        <v>12160922307</v>
      </c>
      <c r="N109" t="s">
        <v>139</v>
      </c>
      <c r="O109">
        <v>12160922307</v>
      </c>
      <c r="Q109" t="s">
        <v>141</v>
      </c>
      <c r="R109">
        <v>0</v>
      </c>
      <c r="S109">
        <v>30</v>
      </c>
      <c r="T109" t="s">
        <v>142</v>
      </c>
      <c r="AA109" t="s">
        <v>144</v>
      </c>
      <c r="AB109" t="s">
        <v>179</v>
      </c>
      <c r="AC109">
        <v>0</v>
      </c>
      <c r="AD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A109">
        <v>727138.00000000105</v>
      </c>
      <c r="BB109">
        <v>3763422</v>
      </c>
    </row>
    <row r="110" spans="1:54" x14ac:dyDescent="0.35">
      <c r="A110">
        <v>110442</v>
      </c>
      <c r="B110">
        <v>809</v>
      </c>
      <c r="C110" t="s">
        <v>135</v>
      </c>
      <c r="D110" s="15">
        <v>701012160922307</v>
      </c>
      <c r="F110">
        <v>70</v>
      </c>
      <c r="G110" t="s">
        <v>136</v>
      </c>
      <c r="H110">
        <v>7010</v>
      </c>
      <c r="I110" t="s">
        <v>137</v>
      </c>
      <c r="K110" t="s">
        <v>138</v>
      </c>
      <c r="M110">
        <v>12160922307</v>
      </c>
      <c r="N110" t="s">
        <v>139</v>
      </c>
      <c r="O110">
        <v>12160922307</v>
      </c>
      <c r="P110" t="s">
        <v>140</v>
      </c>
      <c r="Q110" t="s">
        <v>141</v>
      </c>
      <c r="R110">
        <v>0</v>
      </c>
      <c r="S110">
        <v>30</v>
      </c>
      <c r="T110" t="s">
        <v>142</v>
      </c>
      <c r="U110" t="s">
        <v>143</v>
      </c>
      <c r="V110" t="s">
        <v>143</v>
      </c>
      <c r="W110" t="s">
        <v>143</v>
      </c>
      <c r="X110" t="s">
        <v>143</v>
      </c>
      <c r="AA110" t="s">
        <v>144</v>
      </c>
      <c r="AB110" t="s">
        <v>179</v>
      </c>
      <c r="AC110">
        <v>0</v>
      </c>
      <c r="AD110">
        <v>0</v>
      </c>
      <c r="AO110">
        <v>0</v>
      </c>
      <c r="AP110">
        <v>9</v>
      </c>
      <c r="AQ110">
        <v>4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A110">
        <v>727138.00000000105</v>
      </c>
      <c r="BB110">
        <v>3763422</v>
      </c>
    </row>
    <row r="111" spans="1:54" x14ac:dyDescent="0.35">
      <c r="A111">
        <v>110441</v>
      </c>
      <c r="B111">
        <v>808</v>
      </c>
      <c r="C111" t="s">
        <v>135</v>
      </c>
      <c r="D111" s="15">
        <v>701012160922307</v>
      </c>
      <c r="F111">
        <v>70</v>
      </c>
      <c r="G111" t="s">
        <v>136</v>
      </c>
      <c r="H111">
        <v>7010</v>
      </c>
      <c r="I111" t="s">
        <v>137</v>
      </c>
      <c r="K111" t="s">
        <v>79</v>
      </c>
      <c r="M111">
        <v>12160922305</v>
      </c>
      <c r="N111" t="s">
        <v>139</v>
      </c>
      <c r="O111">
        <v>12160922305</v>
      </c>
      <c r="Q111" t="s">
        <v>141</v>
      </c>
      <c r="R111">
        <v>0</v>
      </c>
      <c r="S111">
        <v>36</v>
      </c>
      <c r="T111" t="s">
        <v>142</v>
      </c>
      <c r="AA111" t="s">
        <v>144</v>
      </c>
      <c r="AB111" t="s">
        <v>179</v>
      </c>
      <c r="AC111">
        <v>0</v>
      </c>
      <c r="AD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A111">
        <v>727115.00000000105</v>
      </c>
      <c r="BB111">
        <v>3763384</v>
      </c>
    </row>
    <row r="112" spans="1:54" x14ac:dyDescent="0.35">
      <c r="A112">
        <v>110440</v>
      </c>
      <c r="B112">
        <v>807</v>
      </c>
      <c r="C112" t="s">
        <v>135</v>
      </c>
      <c r="D112" s="15">
        <v>701012160922306</v>
      </c>
      <c r="F112">
        <v>70</v>
      </c>
      <c r="G112" t="s">
        <v>136</v>
      </c>
      <c r="H112">
        <v>7010</v>
      </c>
      <c r="I112" t="s">
        <v>137</v>
      </c>
      <c r="K112" t="s">
        <v>138</v>
      </c>
      <c r="M112">
        <v>12160922306</v>
      </c>
      <c r="N112" t="s">
        <v>139</v>
      </c>
      <c r="O112">
        <v>12160922306</v>
      </c>
      <c r="P112" t="s">
        <v>140</v>
      </c>
      <c r="Q112" t="s">
        <v>141</v>
      </c>
      <c r="R112">
        <v>0</v>
      </c>
      <c r="S112">
        <v>30</v>
      </c>
      <c r="T112" t="s">
        <v>142</v>
      </c>
      <c r="U112" t="s">
        <v>143</v>
      </c>
      <c r="V112" t="s">
        <v>143</v>
      </c>
      <c r="W112" t="s">
        <v>143</v>
      </c>
      <c r="X112" t="s">
        <v>143</v>
      </c>
      <c r="AA112" t="s">
        <v>144</v>
      </c>
      <c r="AB112" t="s">
        <v>179</v>
      </c>
      <c r="AC112">
        <v>0</v>
      </c>
      <c r="AD112">
        <v>0</v>
      </c>
      <c r="AO112">
        <v>0</v>
      </c>
      <c r="AP112">
        <v>22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A112">
        <v>727142</v>
      </c>
      <c r="BB112">
        <v>3763372</v>
      </c>
    </row>
    <row r="113" spans="1:54" x14ac:dyDescent="0.35">
      <c r="A113">
        <v>110439</v>
      </c>
      <c r="B113">
        <v>806</v>
      </c>
      <c r="C113" t="s">
        <v>135</v>
      </c>
      <c r="D113" s="15">
        <v>701012160922306</v>
      </c>
      <c r="F113">
        <v>70</v>
      </c>
      <c r="G113" t="s">
        <v>136</v>
      </c>
      <c r="H113">
        <v>7010</v>
      </c>
      <c r="I113" t="s">
        <v>137</v>
      </c>
      <c r="K113" t="s">
        <v>79</v>
      </c>
      <c r="M113">
        <v>12160922305</v>
      </c>
      <c r="N113" t="s">
        <v>139</v>
      </c>
      <c r="O113">
        <v>12160922305</v>
      </c>
      <c r="Q113" t="s">
        <v>141</v>
      </c>
      <c r="R113">
        <v>0</v>
      </c>
      <c r="S113">
        <v>30</v>
      </c>
      <c r="T113" t="s">
        <v>142</v>
      </c>
      <c r="AA113" t="s">
        <v>144</v>
      </c>
      <c r="AB113" t="s">
        <v>179</v>
      </c>
      <c r="AC113">
        <v>0</v>
      </c>
      <c r="AD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A113">
        <v>727115.00000000105</v>
      </c>
      <c r="BB113">
        <v>3763384</v>
      </c>
    </row>
    <row r="114" spans="1:54" x14ac:dyDescent="0.35">
      <c r="A114">
        <v>110438</v>
      </c>
      <c r="B114">
        <v>805</v>
      </c>
      <c r="C114" t="s">
        <v>135</v>
      </c>
      <c r="D114" s="15">
        <v>701012160922305</v>
      </c>
      <c r="F114">
        <v>70</v>
      </c>
      <c r="G114" t="s">
        <v>136</v>
      </c>
      <c r="H114">
        <v>7010</v>
      </c>
      <c r="I114" t="s">
        <v>137</v>
      </c>
      <c r="K114" t="s">
        <v>138</v>
      </c>
      <c r="M114">
        <v>12160922305</v>
      </c>
      <c r="N114" t="s">
        <v>139</v>
      </c>
      <c r="O114">
        <v>12160922305</v>
      </c>
      <c r="P114" t="s">
        <v>140</v>
      </c>
      <c r="Q114" t="s">
        <v>141</v>
      </c>
      <c r="R114">
        <v>0</v>
      </c>
      <c r="S114">
        <v>30</v>
      </c>
      <c r="T114" t="s">
        <v>142</v>
      </c>
      <c r="U114" t="s">
        <v>143</v>
      </c>
      <c r="V114" t="s">
        <v>143</v>
      </c>
      <c r="W114" t="s">
        <v>143</v>
      </c>
      <c r="X114" t="s">
        <v>143</v>
      </c>
      <c r="AA114" t="s">
        <v>144</v>
      </c>
      <c r="AB114" t="s">
        <v>179</v>
      </c>
      <c r="AC114">
        <v>0</v>
      </c>
      <c r="AD114">
        <v>0</v>
      </c>
      <c r="AO114">
        <v>0</v>
      </c>
      <c r="AP114">
        <v>10</v>
      </c>
      <c r="AQ114">
        <v>3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A114">
        <v>727115.00000000105</v>
      </c>
      <c r="BB114">
        <v>3763384</v>
      </c>
    </row>
    <row r="115" spans="1:54" x14ac:dyDescent="0.35">
      <c r="A115">
        <v>110437</v>
      </c>
      <c r="B115">
        <v>804</v>
      </c>
      <c r="C115" t="s">
        <v>135</v>
      </c>
      <c r="D115" s="15">
        <v>701012160922305</v>
      </c>
      <c r="F115">
        <v>70</v>
      </c>
      <c r="G115" t="s">
        <v>136</v>
      </c>
      <c r="H115">
        <v>7010</v>
      </c>
      <c r="I115" t="s">
        <v>137</v>
      </c>
      <c r="K115" t="s">
        <v>79</v>
      </c>
      <c r="M115">
        <v>12160922304</v>
      </c>
      <c r="N115" t="s">
        <v>139</v>
      </c>
      <c r="O115">
        <v>12160922304</v>
      </c>
      <c r="Q115" t="s">
        <v>141</v>
      </c>
      <c r="R115">
        <v>0</v>
      </c>
      <c r="S115">
        <v>30</v>
      </c>
      <c r="T115" t="s">
        <v>142</v>
      </c>
      <c r="AA115" t="s">
        <v>144</v>
      </c>
      <c r="AB115" t="s">
        <v>179</v>
      </c>
      <c r="AC115">
        <v>0</v>
      </c>
      <c r="AD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A115">
        <v>727103</v>
      </c>
      <c r="BB115">
        <v>3763352</v>
      </c>
    </row>
    <row r="116" spans="1:54" x14ac:dyDescent="0.35">
      <c r="A116">
        <v>110436</v>
      </c>
      <c r="B116">
        <v>803</v>
      </c>
      <c r="C116" t="s">
        <v>135</v>
      </c>
      <c r="D116" s="15">
        <v>701012160922304</v>
      </c>
      <c r="F116">
        <v>70</v>
      </c>
      <c r="G116" t="s">
        <v>136</v>
      </c>
      <c r="H116">
        <v>7010</v>
      </c>
      <c r="I116" t="s">
        <v>137</v>
      </c>
      <c r="K116" t="s">
        <v>138</v>
      </c>
      <c r="M116">
        <v>12160922304</v>
      </c>
      <c r="N116" t="s">
        <v>139</v>
      </c>
      <c r="O116">
        <v>12160922304</v>
      </c>
      <c r="P116" t="s">
        <v>140</v>
      </c>
      <c r="Q116" t="s">
        <v>141</v>
      </c>
      <c r="R116">
        <v>0</v>
      </c>
      <c r="S116">
        <v>30</v>
      </c>
      <c r="T116" t="s">
        <v>142</v>
      </c>
      <c r="U116" t="s">
        <v>143</v>
      </c>
      <c r="V116" t="s">
        <v>143</v>
      </c>
      <c r="W116" t="s">
        <v>143</v>
      </c>
      <c r="X116" t="s">
        <v>143</v>
      </c>
      <c r="AA116" t="s">
        <v>144</v>
      </c>
      <c r="AB116" t="s">
        <v>179</v>
      </c>
      <c r="AC116">
        <v>0</v>
      </c>
      <c r="AD116">
        <v>0</v>
      </c>
      <c r="AO116">
        <v>0</v>
      </c>
      <c r="AP116">
        <v>7</v>
      </c>
      <c r="AQ116">
        <v>2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A116">
        <v>727103</v>
      </c>
      <c r="BB116">
        <v>3763352</v>
      </c>
    </row>
    <row r="117" spans="1:54" x14ac:dyDescent="0.35">
      <c r="A117">
        <v>110435</v>
      </c>
      <c r="B117">
        <v>802</v>
      </c>
      <c r="C117" t="s">
        <v>135</v>
      </c>
      <c r="D117" s="15">
        <v>701012160922304</v>
      </c>
      <c r="F117">
        <v>70</v>
      </c>
      <c r="G117" t="s">
        <v>136</v>
      </c>
      <c r="H117">
        <v>7010</v>
      </c>
      <c r="I117" t="s">
        <v>137</v>
      </c>
      <c r="K117" t="s">
        <v>79</v>
      </c>
      <c r="M117">
        <v>12160922303</v>
      </c>
      <c r="N117" t="s">
        <v>139</v>
      </c>
      <c r="O117">
        <v>12160922303</v>
      </c>
      <c r="Q117" t="s">
        <v>141</v>
      </c>
      <c r="R117">
        <v>0</v>
      </c>
      <c r="T117" t="s">
        <v>146</v>
      </c>
      <c r="AA117" t="s">
        <v>144</v>
      </c>
      <c r="AB117" t="s">
        <v>179</v>
      </c>
      <c r="AC117">
        <v>0</v>
      </c>
      <c r="AD117">
        <v>0</v>
      </c>
      <c r="AE117" t="s">
        <v>147</v>
      </c>
      <c r="AF117" t="s">
        <v>148</v>
      </c>
      <c r="AG117" t="s">
        <v>149</v>
      </c>
      <c r="AH117" t="s">
        <v>156</v>
      </c>
      <c r="AJ117" t="s">
        <v>166</v>
      </c>
      <c r="AK117" t="s">
        <v>152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Z117" t="s">
        <v>180</v>
      </c>
      <c r="BA117">
        <v>727087.00000000105</v>
      </c>
      <c r="BB117">
        <v>3763315</v>
      </c>
    </row>
    <row r="118" spans="1:54" x14ac:dyDescent="0.35">
      <c r="A118">
        <v>110434</v>
      </c>
      <c r="B118">
        <v>801</v>
      </c>
      <c r="C118" t="s">
        <v>135</v>
      </c>
      <c r="D118" s="15">
        <v>701012160922287</v>
      </c>
      <c r="E118">
        <v>0</v>
      </c>
      <c r="F118">
        <v>70</v>
      </c>
      <c r="G118" t="s">
        <v>136</v>
      </c>
      <c r="H118">
        <v>7010</v>
      </c>
      <c r="I118" t="s">
        <v>137</v>
      </c>
      <c r="K118" t="s">
        <v>138</v>
      </c>
      <c r="M118">
        <v>12160922287</v>
      </c>
      <c r="N118" t="s">
        <v>139</v>
      </c>
      <c r="O118">
        <v>12160922287</v>
      </c>
      <c r="Q118" t="s">
        <v>141</v>
      </c>
      <c r="R118">
        <v>0</v>
      </c>
      <c r="S118">
        <v>36</v>
      </c>
      <c r="T118" t="s">
        <v>142</v>
      </c>
      <c r="AA118" t="s">
        <v>144</v>
      </c>
      <c r="AB118" t="s">
        <v>179</v>
      </c>
      <c r="AC118">
        <v>0</v>
      </c>
      <c r="AD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A118">
        <v>727056.00000000105</v>
      </c>
      <c r="BB118">
        <v>3763292</v>
      </c>
    </row>
    <row r="119" spans="1:54" x14ac:dyDescent="0.35">
      <c r="A119">
        <v>110433</v>
      </c>
      <c r="B119">
        <v>800</v>
      </c>
      <c r="C119" t="s">
        <v>135</v>
      </c>
      <c r="D119" s="15">
        <v>701012160922287</v>
      </c>
      <c r="F119">
        <v>70</v>
      </c>
      <c r="G119" t="s">
        <v>136</v>
      </c>
      <c r="H119">
        <v>7010</v>
      </c>
      <c r="I119" t="s">
        <v>137</v>
      </c>
      <c r="K119" t="s">
        <v>79</v>
      </c>
      <c r="M119">
        <v>12160922288</v>
      </c>
      <c r="N119" t="s">
        <v>139</v>
      </c>
      <c r="O119">
        <v>12160922288</v>
      </c>
      <c r="Q119" t="s">
        <v>141</v>
      </c>
      <c r="R119">
        <v>0</v>
      </c>
      <c r="S119">
        <v>36</v>
      </c>
      <c r="T119" t="s">
        <v>142</v>
      </c>
      <c r="AA119" t="s">
        <v>144</v>
      </c>
      <c r="AB119" t="s">
        <v>179</v>
      </c>
      <c r="AC119">
        <v>0</v>
      </c>
      <c r="AD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A119">
        <v>727074.00000000105</v>
      </c>
      <c r="BB119">
        <v>3763287</v>
      </c>
    </row>
    <row r="120" spans="1:54" x14ac:dyDescent="0.35">
      <c r="A120">
        <v>110432</v>
      </c>
      <c r="B120">
        <v>799</v>
      </c>
      <c r="C120" t="s">
        <v>135</v>
      </c>
      <c r="D120" s="15">
        <v>701012160922288</v>
      </c>
      <c r="F120">
        <v>70</v>
      </c>
      <c r="G120" t="s">
        <v>136</v>
      </c>
      <c r="H120">
        <v>7010</v>
      </c>
      <c r="I120" t="s">
        <v>137</v>
      </c>
      <c r="K120" t="s">
        <v>138</v>
      </c>
      <c r="M120">
        <v>12160922288</v>
      </c>
      <c r="N120" t="s">
        <v>139</v>
      </c>
      <c r="O120">
        <v>12160922288</v>
      </c>
      <c r="P120" t="s">
        <v>140</v>
      </c>
      <c r="Q120" t="s">
        <v>141</v>
      </c>
      <c r="R120">
        <v>0</v>
      </c>
      <c r="S120">
        <v>36</v>
      </c>
      <c r="T120" t="s">
        <v>142</v>
      </c>
      <c r="U120" t="s">
        <v>143</v>
      </c>
      <c r="V120" t="s">
        <v>143</v>
      </c>
      <c r="W120" t="s">
        <v>143</v>
      </c>
      <c r="X120" t="s">
        <v>143</v>
      </c>
      <c r="AA120" t="s">
        <v>144</v>
      </c>
      <c r="AB120" t="s">
        <v>179</v>
      </c>
      <c r="AC120">
        <v>0</v>
      </c>
      <c r="AD120">
        <v>0</v>
      </c>
      <c r="AO120">
        <v>0</v>
      </c>
      <c r="AP120">
        <v>1</v>
      </c>
      <c r="AQ120">
        <v>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A120">
        <v>727074.00000000105</v>
      </c>
      <c r="BB120">
        <v>3763287</v>
      </c>
    </row>
    <row r="121" spans="1:54" x14ac:dyDescent="0.35">
      <c r="A121">
        <v>110431</v>
      </c>
      <c r="B121">
        <v>798</v>
      </c>
      <c r="C121" t="s">
        <v>135</v>
      </c>
      <c r="D121" s="15">
        <v>701012160922288</v>
      </c>
      <c r="F121">
        <v>70</v>
      </c>
      <c r="G121" t="s">
        <v>136</v>
      </c>
      <c r="H121">
        <v>7010</v>
      </c>
      <c r="I121" t="s">
        <v>137</v>
      </c>
      <c r="K121" t="s">
        <v>79</v>
      </c>
      <c r="M121">
        <v>12160922303</v>
      </c>
      <c r="N121" t="s">
        <v>139</v>
      </c>
      <c r="O121">
        <v>12160922303</v>
      </c>
      <c r="Q121" t="s">
        <v>141</v>
      </c>
      <c r="R121">
        <v>0</v>
      </c>
      <c r="T121" t="s">
        <v>146</v>
      </c>
      <c r="AA121" t="s">
        <v>144</v>
      </c>
      <c r="AB121" t="s">
        <v>179</v>
      </c>
      <c r="AC121">
        <v>0</v>
      </c>
      <c r="AD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A121">
        <v>727087.00000000105</v>
      </c>
      <c r="BB121">
        <v>3763315</v>
      </c>
    </row>
    <row r="122" spans="1:54" x14ac:dyDescent="0.35">
      <c r="A122">
        <v>110430</v>
      </c>
      <c r="B122">
        <v>797</v>
      </c>
      <c r="C122" t="s">
        <v>135</v>
      </c>
      <c r="D122" s="15">
        <v>701012160922303</v>
      </c>
      <c r="F122">
        <v>70</v>
      </c>
      <c r="G122" t="s">
        <v>136</v>
      </c>
      <c r="H122">
        <v>7010</v>
      </c>
      <c r="I122" t="s">
        <v>137</v>
      </c>
      <c r="K122" t="s">
        <v>138</v>
      </c>
      <c r="M122">
        <v>12160922303</v>
      </c>
      <c r="N122" t="s">
        <v>139</v>
      </c>
      <c r="O122">
        <v>12160922303</v>
      </c>
      <c r="P122" t="s">
        <v>140</v>
      </c>
      <c r="Q122" t="s">
        <v>141</v>
      </c>
      <c r="R122">
        <v>0</v>
      </c>
      <c r="T122" t="s">
        <v>146</v>
      </c>
      <c r="U122" t="s">
        <v>143</v>
      </c>
      <c r="V122" t="s">
        <v>143</v>
      </c>
      <c r="W122" t="s">
        <v>143</v>
      </c>
      <c r="X122" t="s">
        <v>143</v>
      </c>
      <c r="AA122" t="s">
        <v>144</v>
      </c>
      <c r="AB122" t="s">
        <v>179</v>
      </c>
      <c r="AC122">
        <v>0</v>
      </c>
      <c r="AD122">
        <v>0</v>
      </c>
      <c r="AO122">
        <v>0</v>
      </c>
      <c r="AP122">
        <v>3</v>
      </c>
      <c r="AQ122">
        <v>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A122">
        <v>727087.00000000105</v>
      </c>
      <c r="BB122">
        <v>3763315</v>
      </c>
    </row>
    <row r="123" spans="1:54" x14ac:dyDescent="0.35">
      <c r="A123">
        <v>110429</v>
      </c>
      <c r="B123">
        <v>796</v>
      </c>
      <c r="C123" t="s">
        <v>135</v>
      </c>
      <c r="D123" s="15">
        <v>701012160922303</v>
      </c>
      <c r="F123">
        <v>70</v>
      </c>
      <c r="G123" t="s">
        <v>136</v>
      </c>
      <c r="H123">
        <v>7010</v>
      </c>
      <c r="I123" t="s">
        <v>137</v>
      </c>
      <c r="K123" t="s">
        <v>79</v>
      </c>
      <c r="M123">
        <v>12160922303</v>
      </c>
      <c r="N123" t="s">
        <v>139</v>
      </c>
      <c r="O123">
        <v>12160922303</v>
      </c>
      <c r="Q123" t="s">
        <v>141</v>
      </c>
      <c r="R123">
        <v>0</v>
      </c>
      <c r="T123" t="s">
        <v>146</v>
      </c>
      <c r="AA123" t="s">
        <v>144</v>
      </c>
      <c r="AB123" t="s">
        <v>179</v>
      </c>
      <c r="AC123">
        <v>0</v>
      </c>
      <c r="AD123">
        <v>0</v>
      </c>
      <c r="AE123" t="s">
        <v>147</v>
      </c>
      <c r="AF123" t="s">
        <v>148</v>
      </c>
      <c r="AG123" t="s">
        <v>149</v>
      </c>
      <c r="AH123" t="s">
        <v>156</v>
      </c>
      <c r="AJ123" t="s">
        <v>166</v>
      </c>
      <c r="AK123" t="s">
        <v>152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 t="s">
        <v>180</v>
      </c>
      <c r="BA123">
        <v>727087.00000000105</v>
      </c>
      <c r="BB123">
        <v>3763315</v>
      </c>
    </row>
    <row r="124" spans="1:54" x14ac:dyDescent="0.35">
      <c r="A124">
        <v>110428</v>
      </c>
      <c r="B124">
        <v>795</v>
      </c>
      <c r="C124" t="s">
        <v>135</v>
      </c>
      <c r="D124" s="15">
        <v>701012160922300</v>
      </c>
      <c r="F124">
        <v>70</v>
      </c>
      <c r="G124" t="s">
        <v>136</v>
      </c>
      <c r="H124">
        <v>7010</v>
      </c>
      <c r="I124" t="s">
        <v>137</v>
      </c>
      <c r="K124" t="s">
        <v>138</v>
      </c>
      <c r="M124">
        <v>12160922300</v>
      </c>
      <c r="N124" t="s">
        <v>139</v>
      </c>
      <c r="O124">
        <v>12160922300</v>
      </c>
      <c r="P124" t="s">
        <v>140</v>
      </c>
      <c r="Q124" t="s">
        <v>141</v>
      </c>
      <c r="R124">
        <v>0</v>
      </c>
      <c r="S124">
        <v>30</v>
      </c>
      <c r="T124" t="s">
        <v>142</v>
      </c>
      <c r="U124" t="s">
        <v>154</v>
      </c>
      <c r="V124" t="s">
        <v>154</v>
      </c>
      <c r="W124" t="s">
        <v>154</v>
      </c>
      <c r="X124" t="s">
        <v>154</v>
      </c>
      <c r="AA124" t="s">
        <v>144</v>
      </c>
      <c r="AB124" t="s">
        <v>181</v>
      </c>
      <c r="AC124">
        <v>0</v>
      </c>
      <c r="AD124">
        <v>0</v>
      </c>
      <c r="AO124">
        <v>0</v>
      </c>
      <c r="AP124">
        <v>12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A124">
        <v>727135.00000000198</v>
      </c>
      <c r="BB124">
        <v>3763240</v>
      </c>
    </row>
    <row r="125" spans="1:54" x14ac:dyDescent="0.35">
      <c r="A125">
        <v>110427</v>
      </c>
      <c r="B125">
        <v>794</v>
      </c>
      <c r="C125" t="s">
        <v>135</v>
      </c>
      <c r="D125" s="15">
        <v>701012160922300</v>
      </c>
      <c r="F125">
        <v>70</v>
      </c>
      <c r="G125" t="s">
        <v>136</v>
      </c>
      <c r="H125">
        <v>7010</v>
      </c>
      <c r="I125" t="s">
        <v>137</v>
      </c>
      <c r="K125" t="s">
        <v>79</v>
      </c>
      <c r="M125">
        <v>12160922299</v>
      </c>
      <c r="N125" t="s">
        <v>139</v>
      </c>
      <c r="O125">
        <v>12160922299</v>
      </c>
      <c r="Q125" t="s">
        <v>141</v>
      </c>
      <c r="R125">
        <v>0</v>
      </c>
      <c r="S125">
        <v>30</v>
      </c>
      <c r="T125" t="s">
        <v>142</v>
      </c>
      <c r="AA125" t="s">
        <v>144</v>
      </c>
      <c r="AB125" t="s">
        <v>181</v>
      </c>
      <c r="AC125">
        <v>0</v>
      </c>
      <c r="AD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A125">
        <v>727106</v>
      </c>
      <c r="BB125">
        <v>3763255</v>
      </c>
    </row>
    <row r="126" spans="1:54" x14ac:dyDescent="0.35">
      <c r="A126">
        <v>110426</v>
      </c>
      <c r="B126">
        <v>793</v>
      </c>
      <c r="C126" t="s">
        <v>135</v>
      </c>
      <c r="D126" s="15">
        <v>701012160922299</v>
      </c>
      <c r="F126">
        <v>70</v>
      </c>
      <c r="G126" t="s">
        <v>136</v>
      </c>
      <c r="H126">
        <v>7010</v>
      </c>
      <c r="I126" t="s">
        <v>137</v>
      </c>
      <c r="K126" t="s">
        <v>138</v>
      </c>
      <c r="M126">
        <v>12160922299</v>
      </c>
      <c r="N126" t="s">
        <v>139</v>
      </c>
      <c r="O126">
        <v>12160922299</v>
      </c>
      <c r="P126" t="s">
        <v>140</v>
      </c>
      <c r="Q126" t="s">
        <v>141</v>
      </c>
      <c r="R126">
        <v>0</v>
      </c>
      <c r="S126">
        <v>30</v>
      </c>
      <c r="T126" t="s">
        <v>142</v>
      </c>
      <c r="U126" t="s">
        <v>154</v>
      </c>
      <c r="V126" t="s">
        <v>154</v>
      </c>
      <c r="W126" t="s">
        <v>154</v>
      </c>
      <c r="X126" t="s">
        <v>154</v>
      </c>
      <c r="AA126" t="s">
        <v>144</v>
      </c>
      <c r="AB126" t="s">
        <v>181</v>
      </c>
      <c r="AC126">
        <v>0</v>
      </c>
      <c r="AD126">
        <v>0</v>
      </c>
      <c r="AO126">
        <v>0</v>
      </c>
      <c r="AP126">
        <v>9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A126">
        <v>727106</v>
      </c>
      <c r="BB126">
        <v>3763255</v>
      </c>
    </row>
    <row r="127" spans="1:54" x14ac:dyDescent="0.35">
      <c r="A127">
        <v>110425</v>
      </c>
      <c r="B127">
        <v>792</v>
      </c>
      <c r="C127" t="s">
        <v>135</v>
      </c>
      <c r="D127" s="15">
        <v>701012160922299</v>
      </c>
      <c r="F127">
        <v>70</v>
      </c>
      <c r="G127" t="s">
        <v>136</v>
      </c>
      <c r="H127">
        <v>7010</v>
      </c>
      <c r="I127" t="s">
        <v>137</v>
      </c>
      <c r="K127" t="s">
        <v>79</v>
      </c>
      <c r="M127">
        <v>12160922298</v>
      </c>
      <c r="N127" t="s">
        <v>139</v>
      </c>
      <c r="O127">
        <v>12160922298</v>
      </c>
      <c r="Q127" t="s">
        <v>141</v>
      </c>
      <c r="R127">
        <v>0</v>
      </c>
      <c r="S127">
        <v>30</v>
      </c>
      <c r="T127" t="s">
        <v>142</v>
      </c>
      <c r="AA127" t="s">
        <v>144</v>
      </c>
      <c r="AB127" t="s">
        <v>181</v>
      </c>
      <c r="AC127">
        <v>0</v>
      </c>
      <c r="AD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A127">
        <v>727095.00000000105</v>
      </c>
      <c r="BB127">
        <v>3763262</v>
      </c>
    </row>
    <row r="128" spans="1:54" x14ac:dyDescent="0.35">
      <c r="A128">
        <v>110424</v>
      </c>
      <c r="B128">
        <v>791</v>
      </c>
      <c r="C128" t="s">
        <v>135</v>
      </c>
      <c r="D128" s="15">
        <v>701012160922298</v>
      </c>
      <c r="F128">
        <v>70</v>
      </c>
      <c r="G128" t="s">
        <v>136</v>
      </c>
      <c r="H128">
        <v>7010</v>
      </c>
      <c r="I128" t="s">
        <v>137</v>
      </c>
      <c r="K128" t="s">
        <v>138</v>
      </c>
      <c r="M128">
        <v>12160922298</v>
      </c>
      <c r="N128" t="s">
        <v>139</v>
      </c>
      <c r="O128">
        <v>12160922298</v>
      </c>
      <c r="P128" t="s">
        <v>140</v>
      </c>
      <c r="Q128" t="s">
        <v>141</v>
      </c>
      <c r="R128">
        <v>0</v>
      </c>
      <c r="S128">
        <v>30</v>
      </c>
      <c r="T128" t="s">
        <v>142</v>
      </c>
      <c r="U128" t="s">
        <v>154</v>
      </c>
      <c r="V128" t="s">
        <v>154</v>
      </c>
      <c r="W128" t="s">
        <v>154</v>
      </c>
      <c r="X128" t="s">
        <v>154</v>
      </c>
      <c r="AA128" t="s">
        <v>144</v>
      </c>
      <c r="AB128" t="s">
        <v>181</v>
      </c>
      <c r="AC128">
        <v>0</v>
      </c>
      <c r="AD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A128">
        <v>727095.00000000105</v>
      </c>
      <c r="BB128">
        <v>3763262</v>
      </c>
    </row>
    <row r="129" spans="1:54" x14ac:dyDescent="0.35">
      <c r="A129">
        <v>110423</v>
      </c>
      <c r="B129">
        <v>790</v>
      </c>
      <c r="C129" t="s">
        <v>135</v>
      </c>
      <c r="D129" s="15">
        <v>701012160922298</v>
      </c>
      <c r="F129">
        <v>70</v>
      </c>
      <c r="G129" t="s">
        <v>136</v>
      </c>
      <c r="H129">
        <v>7010</v>
      </c>
      <c r="I129" t="s">
        <v>137</v>
      </c>
      <c r="K129" t="s">
        <v>79</v>
      </c>
      <c r="M129">
        <v>12160922294</v>
      </c>
      <c r="N129" t="s">
        <v>139</v>
      </c>
      <c r="O129">
        <v>12160922294</v>
      </c>
      <c r="Q129" t="s">
        <v>141</v>
      </c>
      <c r="R129">
        <v>0</v>
      </c>
      <c r="S129">
        <v>36</v>
      </c>
      <c r="T129" t="s">
        <v>142</v>
      </c>
      <c r="AA129" t="s">
        <v>144</v>
      </c>
      <c r="AB129" t="s">
        <v>181</v>
      </c>
      <c r="AC129">
        <v>0</v>
      </c>
      <c r="AD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A129">
        <v>727102.00000000105</v>
      </c>
      <c r="BB129">
        <v>3763282</v>
      </c>
    </row>
    <row r="130" spans="1:54" x14ac:dyDescent="0.35">
      <c r="A130">
        <v>110422</v>
      </c>
      <c r="B130">
        <v>789</v>
      </c>
      <c r="C130" t="s">
        <v>135</v>
      </c>
      <c r="D130" s="15">
        <v>701012160922297</v>
      </c>
      <c r="F130">
        <v>70</v>
      </c>
      <c r="G130" t="s">
        <v>136</v>
      </c>
      <c r="H130">
        <v>7010</v>
      </c>
      <c r="I130" t="s">
        <v>137</v>
      </c>
      <c r="K130" t="s">
        <v>138</v>
      </c>
      <c r="M130">
        <v>12160922297</v>
      </c>
      <c r="N130" t="s">
        <v>139</v>
      </c>
      <c r="O130">
        <v>12160922297</v>
      </c>
      <c r="P130" t="s">
        <v>140</v>
      </c>
      <c r="Q130" t="s">
        <v>141</v>
      </c>
      <c r="R130">
        <v>0</v>
      </c>
      <c r="S130">
        <v>30</v>
      </c>
      <c r="T130" t="s">
        <v>142</v>
      </c>
      <c r="U130" t="s">
        <v>154</v>
      </c>
      <c r="V130" t="s">
        <v>154</v>
      </c>
      <c r="W130" t="s">
        <v>154</v>
      </c>
      <c r="X130" t="s">
        <v>154</v>
      </c>
      <c r="AA130" t="s">
        <v>144</v>
      </c>
      <c r="AB130" t="s">
        <v>181</v>
      </c>
      <c r="AC130">
        <v>0</v>
      </c>
      <c r="AD130">
        <v>0</v>
      </c>
      <c r="AO130">
        <v>0</v>
      </c>
      <c r="AP130">
        <v>7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A130">
        <v>727156.00000000105</v>
      </c>
      <c r="BB130">
        <v>3763317</v>
      </c>
    </row>
    <row r="131" spans="1:54" x14ac:dyDescent="0.35">
      <c r="A131">
        <v>110421</v>
      </c>
      <c r="B131">
        <v>788</v>
      </c>
      <c r="C131" t="s">
        <v>135</v>
      </c>
      <c r="D131" s="15">
        <v>701012160922297</v>
      </c>
      <c r="F131">
        <v>70</v>
      </c>
      <c r="G131" t="s">
        <v>136</v>
      </c>
      <c r="H131">
        <v>7010</v>
      </c>
      <c r="I131" t="s">
        <v>137</v>
      </c>
      <c r="K131" t="s">
        <v>79</v>
      </c>
      <c r="M131">
        <v>12160922296</v>
      </c>
      <c r="N131" t="s">
        <v>139</v>
      </c>
      <c r="O131">
        <v>12160922296</v>
      </c>
      <c r="Q131" t="s">
        <v>141</v>
      </c>
      <c r="R131">
        <v>0</v>
      </c>
      <c r="S131">
        <v>30</v>
      </c>
      <c r="T131" t="s">
        <v>142</v>
      </c>
      <c r="AA131" t="s">
        <v>144</v>
      </c>
      <c r="AB131" t="s">
        <v>181</v>
      </c>
      <c r="AC131">
        <v>0</v>
      </c>
      <c r="AD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A131">
        <v>727129</v>
      </c>
      <c r="BB131">
        <v>3763335</v>
      </c>
    </row>
    <row r="132" spans="1:54" x14ac:dyDescent="0.35">
      <c r="A132">
        <v>110420</v>
      </c>
      <c r="B132">
        <v>787</v>
      </c>
      <c r="C132" t="s">
        <v>135</v>
      </c>
      <c r="D132" s="15">
        <v>701012160922296</v>
      </c>
      <c r="F132">
        <v>70</v>
      </c>
      <c r="G132" t="s">
        <v>136</v>
      </c>
      <c r="H132">
        <v>7010</v>
      </c>
      <c r="I132" t="s">
        <v>137</v>
      </c>
      <c r="K132" t="s">
        <v>138</v>
      </c>
      <c r="M132">
        <v>12160922296</v>
      </c>
      <c r="N132" t="s">
        <v>139</v>
      </c>
      <c r="O132">
        <v>12160922296</v>
      </c>
      <c r="P132" t="s">
        <v>140</v>
      </c>
      <c r="Q132" t="s">
        <v>141</v>
      </c>
      <c r="R132">
        <v>0</v>
      </c>
      <c r="S132">
        <v>30</v>
      </c>
      <c r="T132" t="s">
        <v>142</v>
      </c>
      <c r="U132" t="s">
        <v>154</v>
      </c>
      <c r="V132" t="s">
        <v>154</v>
      </c>
      <c r="W132" t="s">
        <v>154</v>
      </c>
      <c r="X132" t="s">
        <v>154</v>
      </c>
      <c r="AA132" t="s">
        <v>144</v>
      </c>
      <c r="AB132" t="s">
        <v>181</v>
      </c>
      <c r="AC132">
        <v>0</v>
      </c>
      <c r="AD132">
        <v>0</v>
      </c>
      <c r="AO132">
        <v>0</v>
      </c>
      <c r="AP132">
        <v>4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A132">
        <v>727129</v>
      </c>
      <c r="BB132">
        <v>3763335</v>
      </c>
    </row>
    <row r="133" spans="1:54" x14ac:dyDescent="0.35">
      <c r="A133">
        <v>110419</v>
      </c>
      <c r="B133">
        <v>786</v>
      </c>
      <c r="C133" t="s">
        <v>135</v>
      </c>
      <c r="D133" s="15">
        <v>701012160922296</v>
      </c>
      <c r="F133">
        <v>70</v>
      </c>
      <c r="G133" t="s">
        <v>136</v>
      </c>
      <c r="H133">
        <v>7010</v>
      </c>
      <c r="I133" t="s">
        <v>137</v>
      </c>
      <c r="K133" t="s">
        <v>79</v>
      </c>
      <c r="M133">
        <v>12160922295</v>
      </c>
      <c r="N133" t="s">
        <v>139</v>
      </c>
      <c r="O133">
        <v>12160922295</v>
      </c>
      <c r="Q133" t="s">
        <v>141</v>
      </c>
      <c r="R133">
        <v>0</v>
      </c>
      <c r="S133">
        <v>30</v>
      </c>
      <c r="T133" t="s">
        <v>142</v>
      </c>
      <c r="AA133" t="s">
        <v>144</v>
      </c>
      <c r="AB133" t="s">
        <v>181</v>
      </c>
      <c r="AC133">
        <v>0</v>
      </c>
      <c r="AD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A133">
        <v>727111</v>
      </c>
      <c r="BB133">
        <v>3763296</v>
      </c>
    </row>
    <row r="134" spans="1:54" x14ac:dyDescent="0.35">
      <c r="A134">
        <v>110418</v>
      </c>
      <c r="B134">
        <v>785</v>
      </c>
      <c r="C134" t="s">
        <v>135</v>
      </c>
      <c r="D134" s="15">
        <v>701012160922295</v>
      </c>
      <c r="F134">
        <v>70</v>
      </c>
      <c r="G134" t="s">
        <v>136</v>
      </c>
      <c r="H134">
        <v>7010</v>
      </c>
      <c r="I134" t="s">
        <v>137</v>
      </c>
      <c r="K134" t="s">
        <v>138</v>
      </c>
      <c r="M134">
        <v>12160922295</v>
      </c>
      <c r="N134" t="s">
        <v>139</v>
      </c>
      <c r="O134">
        <v>12160922295</v>
      </c>
      <c r="P134" t="s">
        <v>140</v>
      </c>
      <c r="Q134" t="s">
        <v>141</v>
      </c>
      <c r="R134">
        <v>0</v>
      </c>
      <c r="S134">
        <v>30</v>
      </c>
      <c r="T134" t="s">
        <v>142</v>
      </c>
      <c r="U134" t="s">
        <v>154</v>
      </c>
      <c r="V134" t="s">
        <v>154</v>
      </c>
      <c r="W134" t="s">
        <v>154</v>
      </c>
      <c r="X134" t="s">
        <v>154</v>
      </c>
      <c r="AA134" t="s">
        <v>144</v>
      </c>
      <c r="AB134" t="s">
        <v>181</v>
      </c>
      <c r="AC134">
        <v>0</v>
      </c>
      <c r="AD134">
        <v>0</v>
      </c>
      <c r="AO134">
        <v>0</v>
      </c>
      <c r="AP134">
        <v>22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A134">
        <v>727111</v>
      </c>
      <c r="BB134">
        <v>3763296</v>
      </c>
    </row>
    <row r="135" spans="1:54" x14ac:dyDescent="0.35">
      <c r="A135">
        <v>110417</v>
      </c>
      <c r="B135">
        <v>784</v>
      </c>
      <c r="C135" t="s">
        <v>135</v>
      </c>
      <c r="D135" s="15">
        <v>701012160922295</v>
      </c>
      <c r="F135">
        <v>70</v>
      </c>
      <c r="G135" t="s">
        <v>136</v>
      </c>
      <c r="H135">
        <v>7010</v>
      </c>
      <c r="I135" t="s">
        <v>137</v>
      </c>
      <c r="K135" t="s">
        <v>79</v>
      </c>
      <c r="M135">
        <v>12160922294</v>
      </c>
      <c r="N135" t="s">
        <v>139</v>
      </c>
      <c r="O135">
        <v>12160922294</v>
      </c>
      <c r="Q135" t="s">
        <v>141</v>
      </c>
      <c r="R135">
        <v>0</v>
      </c>
      <c r="S135">
        <v>30</v>
      </c>
      <c r="T135" t="s">
        <v>142</v>
      </c>
      <c r="AA135" t="s">
        <v>144</v>
      </c>
      <c r="AB135" t="s">
        <v>181</v>
      </c>
      <c r="AC135">
        <v>0</v>
      </c>
      <c r="AD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A135">
        <v>727102.00000000105</v>
      </c>
      <c r="BB135">
        <v>3763282</v>
      </c>
    </row>
    <row r="136" spans="1:54" x14ac:dyDescent="0.35">
      <c r="A136">
        <v>110416</v>
      </c>
      <c r="B136">
        <v>783</v>
      </c>
      <c r="C136" t="s">
        <v>135</v>
      </c>
      <c r="D136" s="15">
        <v>701012160922294</v>
      </c>
      <c r="F136">
        <v>70</v>
      </c>
      <c r="G136" t="s">
        <v>136</v>
      </c>
      <c r="H136">
        <v>7010</v>
      </c>
      <c r="I136" t="s">
        <v>137</v>
      </c>
      <c r="K136" t="s">
        <v>138</v>
      </c>
      <c r="M136">
        <v>12160922294</v>
      </c>
      <c r="N136" t="s">
        <v>139</v>
      </c>
      <c r="O136">
        <v>12160922294</v>
      </c>
      <c r="P136" t="s">
        <v>140</v>
      </c>
      <c r="Q136" t="s">
        <v>141</v>
      </c>
      <c r="R136">
        <v>0</v>
      </c>
      <c r="S136">
        <v>30</v>
      </c>
      <c r="T136" t="s">
        <v>142</v>
      </c>
      <c r="U136" t="s">
        <v>154</v>
      </c>
      <c r="V136" t="s">
        <v>154</v>
      </c>
      <c r="W136" t="s">
        <v>154</v>
      </c>
      <c r="X136" t="s">
        <v>154</v>
      </c>
      <c r="AA136" t="s">
        <v>144</v>
      </c>
      <c r="AB136" t="s">
        <v>181</v>
      </c>
      <c r="AC136">
        <v>0</v>
      </c>
      <c r="AD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A136">
        <v>727102.00000000105</v>
      </c>
      <c r="BB136">
        <v>3763282</v>
      </c>
    </row>
    <row r="137" spans="1:54" x14ac:dyDescent="0.35">
      <c r="A137">
        <v>110415</v>
      </c>
      <c r="B137">
        <v>782</v>
      </c>
      <c r="C137" t="s">
        <v>135</v>
      </c>
      <c r="D137" s="15">
        <v>701012160922294</v>
      </c>
      <c r="F137">
        <v>70</v>
      </c>
      <c r="G137" t="s">
        <v>136</v>
      </c>
      <c r="H137">
        <v>7010</v>
      </c>
      <c r="I137" t="s">
        <v>137</v>
      </c>
      <c r="K137" t="s">
        <v>79</v>
      </c>
      <c r="M137">
        <v>12160922291</v>
      </c>
      <c r="N137" t="s">
        <v>139</v>
      </c>
      <c r="O137">
        <v>12160922291</v>
      </c>
      <c r="Q137" t="s">
        <v>141</v>
      </c>
      <c r="R137">
        <v>0</v>
      </c>
      <c r="T137" t="s">
        <v>146</v>
      </c>
      <c r="AA137" t="s">
        <v>144</v>
      </c>
      <c r="AB137" t="s">
        <v>181</v>
      </c>
      <c r="AC137">
        <v>0</v>
      </c>
      <c r="AD137">
        <v>0</v>
      </c>
      <c r="AE137" t="s">
        <v>147</v>
      </c>
      <c r="AF137" t="s">
        <v>148</v>
      </c>
      <c r="AG137" t="s">
        <v>149</v>
      </c>
      <c r="AH137" t="s">
        <v>182</v>
      </c>
      <c r="AJ137" t="s">
        <v>162</v>
      </c>
      <c r="AK137" t="s">
        <v>152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Z137" t="s">
        <v>183</v>
      </c>
      <c r="BA137">
        <v>727089.00000000198</v>
      </c>
      <c r="BB137">
        <v>3763285</v>
      </c>
    </row>
    <row r="138" spans="1:54" x14ac:dyDescent="0.35">
      <c r="A138">
        <v>110414</v>
      </c>
      <c r="B138">
        <v>781</v>
      </c>
      <c r="C138" t="s">
        <v>135</v>
      </c>
      <c r="D138" s="15">
        <v>701012160922288</v>
      </c>
      <c r="F138">
        <v>70</v>
      </c>
      <c r="G138" t="s">
        <v>136</v>
      </c>
      <c r="H138">
        <v>7010</v>
      </c>
      <c r="I138" t="s">
        <v>137</v>
      </c>
      <c r="K138" t="s">
        <v>138</v>
      </c>
      <c r="M138">
        <v>12160922288</v>
      </c>
      <c r="N138" t="s">
        <v>139</v>
      </c>
      <c r="O138">
        <v>12160922288</v>
      </c>
      <c r="P138" t="s">
        <v>140</v>
      </c>
      <c r="Q138" t="s">
        <v>141</v>
      </c>
      <c r="R138">
        <v>0</v>
      </c>
      <c r="S138">
        <v>36</v>
      </c>
      <c r="T138" t="s">
        <v>142</v>
      </c>
      <c r="U138" t="s">
        <v>154</v>
      </c>
      <c r="V138" t="s">
        <v>154</v>
      </c>
      <c r="W138" t="s">
        <v>154</v>
      </c>
      <c r="X138" t="s">
        <v>154</v>
      </c>
      <c r="AA138" t="s">
        <v>144</v>
      </c>
      <c r="AB138" t="s">
        <v>181</v>
      </c>
      <c r="AC138">
        <v>0</v>
      </c>
      <c r="AD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A138">
        <v>727074.00000000105</v>
      </c>
      <c r="BB138">
        <v>3763287</v>
      </c>
    </row>
    <row r="139" spans="1:54" x14ac:dyDescent="0.35">
      <c r="A139">
        <v>110413</v>
      </c>
      <c r="B139">
        <v>780</v>
      </c>
      <c r="C139" t="s">
        <v>135</v>
      </c>
      <c r="D139" s="15">
        <v>701012160922288</v>
      </c>
      <c r="F139">
        <v>70</v>
      </c>
      <c r="G139" t="s">
        <v>136</v>
      </c>
      <c r="H139">
        <v>7010</v>
      </c>
      <c r="I139" t="s">
        <v>137</v>
      </c>
      <c r="K139" t="s">
        <v>79</v>
      </c>
      <c r="M139">
        <v>12160922291</v>
      </c>
      <c r="N139" t="s">
        <v>139</v>
      </c>
      <c r="O139">
        <v>12160922291</v>
      </c>
      <c r="Q139" t="s">
        <v>141</v>
      </c>
      <c r="R139">
        <v>0</v>
      </c>
      <c r="T139" t="s">
        <v>146</v>
      </c>
      <c r="AA139" t="s">
        <v>144</v>
      </c>
      <c r="AB139" t="s">
        <v>181</v>
      </c>
      <c r="AC139">
        <v>0</v>
      </c>
      <c r="AD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A139">
        <v>727089.00000000198</v>
      </c>
      <c r="BB139">
        <v>3763285</v>
      </c>
    </row>
    <row r="140" spans="1:54" x14ac:dyDescent="0.35">
      <c r="A140">
        <v>110412</v>
      </c>
      <c r="B140">
        <v>779</v>
      </c>
      <c r="C140" t="s">
        <v>135</v>
      </c>
      <c r="D140" s="15">
        <v>701012160922291</v>
      </c>
      <c r="F140">
        <v>70</v>
      </c>
      <c r="G140" t="s">
        <v>136</v>
      </c>
      <c r="H140">
        <v>7010</v>
      </c>
      <c r="I140" t="s">
        <v>137</v>
      </c>
      <c r="K140" t="s">
        <v>138</v>
      </c>
      <c r="M140">
        <v>12160922291</v>
      </c>
      <c r="N140" t="s">
        <v>139</v>
      </c>
      <c r="O140">
        <v>12160922291</v>
      </c>
      <c r="P140" t="s">
        <v>140</v>
      </c>
      <c r="Q140" t="s">
        <v>141</v>
      </c>
      <c r="R140">
        <v>0</v>
      </c>
      <c r="T140" t="s">
        <v>146</v>
      </c>
      <c r="U140" t="s">
        <v>154</v>
      </c>
      <c r="V140" t="s">
        <v>154</v>
      </c>
      <c r="W140" t="s">
        <v>154</v>
      </c>
      <c r="X140" t="s">
        <v>154</v>
      </c>
      <c r="AA140" t="s">
        <v>144</v>
      </c>
      <c r="AB140" t="s">
        <v>181</v>
      </c>
      <c r="AC140">
        <v>0</v>
      </c>
      <c r="AD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A140">
        <v>727089.00000000198</v>
      </c>
      <c r="BB140">
        <v>3763285</v>
      </c>
    </row>
    <row r="141" spans="1:54" x14ac:dyDescent="0.35">
      <c r="A141">
        <v>110411</v>
      </c>
      <c r="B141">
        <v>778</v>
      </c>
      <c r="C141" t="s">
        <v>135</v>
      </c>
      <c r="D141" s="15">
        <v>701012160922291</v>
      </c>
      <c r="F141">
        <v>70</v>
      </c>
      <c r="G141" t="s">
        <v>136</v>
      </c>
      <c r="H141">
        <v>7010</v>
      </c>
      <c r="I141" t="s">
        <v>137</v>
      </c>
      <c r="K141" t="s">
        <v>79</v>
      </c>
      <c r="M141">
        <v>12160922291</v>
      </c>
      <c r="N141" t="s">
        <v>139</v>
      </c>
      <c r="O141">
        <v>12160922291</v>
      </c>
      <c r="Q141" t="s">
        <v>141</v>
      </c>
      <c r="R141">
        <v>0</v>
      </c>
      <c r="T141" t="s">
        <v>146</v>
      </c>
      <c r="AA141" t="s">
        <v>144</v>
      </c>
      <c r="AB141" t="s">
        <v>181</v>
      </c>
      <c r="AC141">
        <v>0</v>
      </c>
      <c r="AD141">
        <v>0</v>
      </c>
      <c r="AE141" t="s">
        <v>147</v>
      </c>
      <c r="AF141" t="s">
        <v>148</v>
      </c>
      <c r="AG141" t="s">
        <v>149</v>
      </c>
      <c r="AH141" t="s">
        <v>182</v>
      </c>
      <c r="AJ141" t="s">
        <v>162</v>
      </c>
      <c r="AK141" t="s">
        <v>152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Z141" t="s">
        <v>183</v>
      </c>
      <c r="BA141">
        <v>727089.00000000198</v>
      </c>
      <c r="BB141">
        <v>3763285</v>
      </c>
    </row>
    <row r="142" spans="1:54" x14ac:dyDescent="0.35">
      <c r="A142">
        <v>110410</v>
      </c>
      <c r="B142">
        <v>777</v>
      </c>
      <c r="C142" t="s">
        <v>135</v>
      </c>
      <c r="D142" s="15">
        <v>701012160922287</v>
      </c>
      <c r="E142">
        <v>0</v>
      </c>
      <c r="F142">
        <v>70</v>
      </c>
      <c r="G142" t="s">
        <v>136</v>
      </c>
      <c r="H142">
        <v>7010</v>
      </c>
      <c r="I142" t="s">
        <v>137</v>
      </c>
      <c r="K142" t="s">
        <v>138</v>
      </c>
      <c r="M142">
        <v>12160922287</v>
      </c>
      <c r="N142" t="s">
        <v>139</v>
      </c>
      <c r="O142">
        <v>12160922287</v>
      </c>
      <c r="P142" t="s">
        <v>140</v>
      </c>
      <c r="Q142" t="s">
        <v>141</v>
      </c>
      <c r="R142">
        <v>0</v>
      </c>
      <c r="S142">
        <v>36</v>
      </c>
      <c r="T142" t="s">
        <v>142</v>
      </c>
      <c r="U142" t="s">
        <v>143</v>
      </c>
      <c r="V142" t="s">
        <v>143</v>
      </c>
      <c r="W142" t="s">
        <v>143</v>
      </c>
      <c r="X142" t="s">
        <v>143</v>
      </c>
      <c r="AA142" t="s">
        <v>144</v>
      </c>
      <c r="AB142" t="s">
        <v>184</v>
      </c>
      <c r="AC142">
        <v>0</v>
      </c>
      <c r="AD142">
        <v>0</v>
      </c>
      <c r="AO142">
        <v>0</v>
      </c>
      <c r="AP142">
        <v>2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A142">
        <v>727056.00000000105</v>
      </c>
      <c r="BB142">
        <v>3763292</v>
      </c>
    </row>
    <row r="143" spans="1:54" x14ac:dyDescent="0.35">
      <c r="A143">
        <v>110409</v>
      </c>
      <c r="B143">
        <v>776</v>
      </c>
      <c r="C143" t="s">
        <v>135</v>
      </c>
      <c r="D143" s="15">
        <v>701012160922287</v>
      </c>
      <c r="F143">
        <v>70</v>
      </c>
      <c r="G143" t="s">
        <v>136</v>
      </c>
      <c r="H143">
        <v>7010</v>
      </c>
      <c r="I143" t="s">
        <v>137</v>
      </c>
      <c r="K143" t="s">
        <v>79</v>
      </c>
      <c r="M143">
        <v>12160922281</v>
      </c>
      <c r="N143" t="s">
        <v>139</v>
      </c>
      <c r="O143">
        <v>12160922281</v>
      </c>
      <c r="Q143" t="s">
        <v>141</v>
      </c>
      <c r="R143">
        <v>0</v>
      </c>
      <c r="S143">
        <v>36</v>
      </c>
      <c r="T143" t="s">
        <v>142</v>
      </c>
      <c r="AA143" t="s">
        <v>144</v>
      </c>
      <c r="AB143" t="s">
        <v>184</v>
      </c>
      <c r="AC143">
        <v>0</v>
      </c>
      <c r="AD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A143">
        <v>727022</v>
      </c>
      <c r="BB143">
        <v>3763313</v>
      </c>
    </row>
    <row r="144" spans="1:54" x14ac:dyDescent="0.35">
      <c r="A144">
        <v>110408</v>
      </c>
      <c r="B144">
        <v>775</v>
      </c>
      <c r="C144" t="s">
        <v>135</v>
      </c>
      <c r="D144" s="15">
        <v>701012160922286</v>
      </c>
      <c r="F144">
        <v>70</v>
      </c>
      <c r="G144" t="s">
        <v>136</v>
      </c>
      <c r="H144">
        <v>7010</v>
      </c>
      <c r="I144" t="s">
        <v>137</v>
      </c>
      <c r="K144" t="s">
        <v>138</v>
      </c>
      <c r="M144">
        <v>12160922286</v>
      </c>
      <c r="N144" t="s">
        <v>139</v>
      </c>
      <c r="O144">
        <v>12160922286</v>
      </c>
      <c r="P144" t="s">
        <v>140</v>
      </c>
      <c r="Q144" t="s">
        <v>141</v>
      </c>
      <c r="R144">
        <v>0</v>
      </c>
      <c r="S144">
        <v>30</v>
      </c>
      <c r="T144" t="s">
        <v>142</v>
      </c>
      <c r="U144" t="s">
        <v>154</v>
      </c>
      <c r="V144" t="s">
        <v>154</v>
      </c>
      <c r="W144" t="s">
        <v>154</v>
      </c>
      <c r="X144" t="s">
        <v>154</v>
      </c>
      <c r="AA144" t="s">
        <v>144</v>
      </c>
      <c r="AB144" t="s">
        <v>184</v>
      </c>
      <c r="AC144">
        <v>0</v>
      </c>
      <c r="AD144">
        <v>0</v>
      </c>
      <c r="AO144">
        <v>0</v>
      </c>
      <c r="AP144">
        <v>12</v>
      </c>
      <c r="AQ144">
        <v>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A144">
        <v>727079.00000000105</v>
      </c>
      <c r="BB144">
        <v>3763434</v>
      </c>
    </row>
    <row r="145" spans="1:54" x14ac:dyDescent="0.35">
      <c r="A145">
        <v>110407</v>
      </c>
      <c r="B145">
        <v>774</v>
      </c>
      <c r="C145" t="s">
        <v>135</v>
      </c>
      <c r="D145" s="15">
        <v>701012160922286</v>
      </c>
      <c r="F145">
        <v>70</v>
      </c>
      <c r="G145" t="s">
        <v>136</v>
      </c>
      <c r="H145">
        <v>7010</v>
      </c>
      <c r="I145" t="s">
        <v>137</v>
      </c>
      <c r="K145" t="s">
        <v>79</v>
      </c>
      <c r="M145">
        <v>12160922285</v>
      </c>
      <c r="N145" t="s">
        <v>139</v>
      </c>
      <c r="O145">
        <v>12160922285</v>
      </c>
      <c r="Q145" t="s">
        <v>141</v>
      </c>
      <c r="R145">
        <v>0</v>
      </c>
      <c r="S145">
        <v>30</v>
      </c>
      <c r="T145" t="s">
        <v>142</v>
      </c>
      <c r="AA145" t="s">
        <v>144</v>
      </c>
      <c r="AB145" t="s">
        <v>184</v>
      </c>
      <c r="AC145">
        <v>0</v>
      </c>
      <c r="AD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A145">
        <v>727057.99999999895</v>
      </c>
      <c r="BB145">
        <v>3763392</v>
      </c>
    </row>
    <row r="146" spans="1:54" x14ac:dyDescent="0.35">
      <c r="A146">
        <v>110406</v>
      </c>
      <c r="B146">
        <v>773</v>
      </c>
      <c r="C146" t="s">
        <v>135</v>
      </c>
      <c r="D146" s="15">
        <v>701012160922285</v>
      </c>
      <c r="F146">
        <v>70</v>
      </c>
      <c r="G146" t="s">
        <v>136</v>
      </c>
      <c r="H146">
        <v>7010</v>
      </c>
      <c r="I146" t="s">
        <v>137</v>
      </c>
      <c r="K146" t="s">
        <v>138</v>
      </c>
      <c r="M146">
        <v>12160922285</v>
      </c>
      <c r="N146" t="s">
        <v>139</v>
      </c>
      <c r="O146">
        <v>12160922285</v>
      </c>
      <c r="P146" t="s">
        <v>140</v>
      </c>
      <c r="Q146" t="s">
        <v>141</v>
      </c>
      <c r="R146">
        <v>0</v>
      </c>
      <c r="S146">
        <v>30</v>
      </c>
      <c r="T146" t="s">
        <v>142</v>
      </c>
      <c r="U146" t="s">
        <v>154</v>
      </c>
      <c r="V146" t="s">
        <v>154</v>
      </c>
      <c r="W146" t="s">
        <v>154</v>
      </c>
      <c r="X146" t="s">
        <v>154</v>
      </c>
      <c r="AA146" t="s">
        <v>144</v>
      </c>
      <c r="AB146" t="s">
        <v>184</v>
      </c>
      <c r="AC146">
        <v>0</v>
      </c>
      <c r="AD146">
        <v>0</v>
      </c>
      <c r="AO146">
        <v>0</v>
      </c>
      <c r="AP146">
        <v>2</v>
      </c>
      <c r="AQ146">
        <v>6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A146">
        <v>727057.99999999895</v>
      </c>
      <c r="BB146">
        <v>3763392</v>
      </c>
    </row>
    <row r="147" spans="1:54" x14ac:dyDescent="0.35">
      <c r="A147">
        <v>110405</v>
      </c>
      <c r="B147">
        <v>772</v>
      </c>
      <c r="C147" t="s">
        <v>135</v>
      </c>
      <c r="D147" s="15">
        <v>701012160922285</v>
      </c>
      <c r="F147">
        <v>70</v>
      </c>
      <c r="G147" t="s">
        <v>136</v>
      </c>
      <c r="H147">
        <v>7010</v>
      </c>
      <c r="I147" t="s">
        <v>137</v>
      </c>
      <c r="K147" t="s">
        <v>79</v>
      </c>
      <c r="M147">
        <v>12160922284</v>
      </c>
      <c r="N147" t="s">
        <v>139</v>
      </c>
      <c r="O147">
        <v>12160922284</v>
      </c>
      <c r="Q147" t="s">
        <v>141</v>
      </c>
      <c r="R147">
        <v>0</v>
      </c>
      <c r="T147" t="s">
        <v>146</v>
      </c>
      <c r="AA147" t="s">
        <v>144</v>
      </c>
      <c r="AB147" t="s">
        <v>184</v>
      </c>
      <c r="AC147">
        <v>0</v>
      </c>
      <c r="AD147">
        <v>0</v>
      </c>
      <c r="AE147" t="s">
        <v>147</v>
      </c>
      <c r="AF147" t="s">
        <v>148</v>
      </c>
      <c r="AG147" t="s">
        <v>149</v>
      </c>
      <c r="AH147" t="s">
        <v>171</v>
      </c>
      <c r="AJ147" t="s">
        <v>185</v>
      </c>
      <c r="AK147" t="s">
        <v>186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Z147" t="s">
        <v>187</v>
      </c>
      <c r="BA147">
        <v>727037.200000001</v>
      </c>
      <c r="BB147">
        <v>3763349.4</v>
      </c>
    </row>
    <row r="148" spans="1:54" x14ac:dyDescent="0.35">
      <c r="A148">
        <v>110404</v>
      </c>
      <c r="B148">
        <v>771</v>
      </c>
      <c r="C148" t="s">
        <v>135</v>
      </c>
      <c r="D148" s="15">
        <v>701012160922281</v>
      </c>
      <c r="F148">
        <v>70</v>
      </c>
      <c r="G148" t="s">
        <v>136</v>
      </c>
      <c r="H148">
        <v>7010</v>
      </c>
      <c r="I148" t="s">
        <v>137</v>
      </c>
      <c r="K148" t="s">
        <v>138</v>
      </c>
      <c r="M148">
        <v>12160922281</v>
      </c>
      <c r="N148" t="s">
        <v>139</v>
      </c>
      <c r="O148">
        <v>12160922281</v>
      </c>
      <c r="P148" t="s">
        <v>140</v>
      </c>
      <c r="Q148" t="s">
        <v>141</v>
      </c>
      <c r="R148">
        <v>0</v>
      </c>
      <c r="S148">
        <v>36</v>
      </c>
      <c r="T148" t="s">
        <v>142</v>
      </c>
      <c r="U148" t="s">
        <v>154</v>
      </c>
      <c r="V148" t="s">
        <v>154</v>
      </c>
      <c r="W148" t="s">
        <v>154</v>
      </c>
      <c r="X148" t="s">
        <v>154</v>
      </c>
      <c r="AA148" t="s">
        <v>144</v>
      </c>
      <c r="AB148" t="s">
        <v>184</v>
      </c>
      <c r="AC148">
        <v>0</v>
      </c>
      <c r="AD148">
        <v>0</v>
      </c>
      <c r="AO148">
        <v>0</v>
      </c>
      <c r="AP148">
        <v>8</v>
      </c>
      <c r="AQ148">
        <v>4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A148">
        <v>727022</v>
      </c>
      <c r="BB148">
        <v>3763313</v>
      </c>
    </row>
    <row r="149" spans="1:54" x14ac:dyDescent="0.35">
      <c r="A149">
        <v>110403</v>
      </c>
      <c r="B149">
        <v>770</v>
      </c>
      <c r="C149" t="s">
        <v>135</v>
      </c>
      <c r="D149" s="15">
        <v>701012160922281</v>
      </c>
      <c r="F149">
        <v>70</v>
      </c>
      <c r="G149" t="s">
        <v>136</v>
      </c>
      <c r="H149">
        <v>7010</v>
      </c>
      <c r="I149" t="s">
        <v>137</v>
      </c>
      <c r="K149" t="s">
        <v>79</v>
      </c>
      <c r="M149">
        <v>12160922284</v>
      </c>
      <c r="N149" t="s">
        <v>139</v>
      </c>
      <c r="O149">
        <v>12160922284</v>
      </c>
      <c r="Q149" t="s">
        <v>141</v>
      </c>
      <c r="R149">
        <v>0</v>
      </c>
      <c r="T149" t="s">
        <v>146</v>
      </c>
      <c r="AA149" t="s">
        <v>144</v>
      </c>
      <c r="AB149" t="s">
        <v>184</v>
      </c>
      <c r="AC149">
        <v>0</v>
      </c>
      <c r="AD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A149">
        <v>727037.200000001</v>
      </c>
      <c r="BB149">
        <v>3763349.4</v>
      </c>
    </row>
    <row r="150" spans="1:54" x14ac:dyDescent="0.35">
      <c r="A150">
        <v>110402</v>
      </c>
      <c r="B150">
        <v>769</v>
      </c>
      <c r="C150" t="s">
        <v>135</v>
      </c>
      <c r="D150" s="15">
        <v>701012160922284</v>
      </c>
      <c r="F150">
        <v>70</v>
      </c>
      <c r="G150" t="s">
        <v>136</v>
      </c>
      <c r="H150">
        <v>7010</v>
      </c>
      <c r="I150" t="s">
        <v>137</v>
      </c>
      <c r="K150" t="s">
        <v>138</v>
      </c>
      <c r="M150">
        <v>12160922284</v>
      </c>
      <c r="N150" t="s">
        <v>139</v>
      </c>
      <c r="O150">
        <v>12160922284</v>
      </c>
      <c r="P150" t="s">
        <v>140</v>
      </c>
      <c r="Q150" t="s">
        <v>141</v>
      </c>
      <c r="R150">
        <v>0</v>
      </c>
      <c r="T150" t="s">
        <v>146</v>
      </c>
      <c r="U150" t="s">
        <v>188</v>
      </c>
      <c r="V150" t="s">
        <v>188</v>
      </c>
      <c r="W150" t="s">
        <v>188</v>
      </c>
      <c r="X150" t="s">
        <v>188</v>
      </c>
      <c r="AA150" t="s">
        <v>144</v>
      </c>
      <c r="AB150" t="s">
        <v>184</v>
      </c>
      <c r="AC150">
        <v>0</v>
      </c>
      <c r="AD150">
        <v>0</v>
      </c>
      <c r="AO150">
        <v>0</v>
      </c>
      <c r="AP150">
        <v>8</v>
      </c>
      <c r="AQ150">
        <v>5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A150">
        <v>727037.200000001</v>
      </c>
      <c r="BB150">
        <v>3763349.4</v>
      </c>
    </row>
    <row r="151" spans="1:54" x14ac:dyDescent="0.35">
      <c r="A151">
        <v>110401</v>
      </c>
      <c r="B151">
        <v>768</v>
      </c>
      <c r="C151" t="s">
        <v>135</v>
      </c>
      <c r="D151" s="15">
        <v>701012160922284</v>
      </c>
      <c r="F151">
        <v>70</v>
      </c>
      <c r="G151" t="s">
        <v>136</v>
      </c>
      <c r="H151">
        <v>7010</v>
      </c>
      <c r="I151" t="s">
        <v>137</v>
      </c>
      <c r="K151" t="s">
        <v>79</v>
      </c>
      <c r="M151">
        <v>12160922284</v>
      </c>
      <c r="N151" t="s">
        <v>139</v>
      </c>
      <c r="O151">
        <v>12160922284</v>
      </c>
      <c r="Q151" t="s">
        <v>141</v>
      </c>
      <c r="R151">
        <v>0</v>
      </c>
      <c r="T151" t="s">
        <v>146</v>
      </c>
      <c r="AA151" t="s">
        <v>144</v>
      </c>
      <c r="AB151" t="s">
        <v>184</v>
      </c>
      <c r="AC151">
        <v>0</v>
      </c>
      <c r="AD151">
        <v>0</v>
      </c>
      <c r="AE151" t="s">
        <v>147</v>
      </c>
      <c r="AF151" t="s">
        <v>148</v>
      </c>
      <c r="AG151" t="s">
        <v>149</v>
      </c>
      <c r="AH151" t="s">
        <v>171</v>
      </c>
      <c r="AJ151" t="s">
        <v>185</v>
      </c>
      <c r="AK151" t="s">
        <v>186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Z151" t="s">
        <v>187</v>
      </c>
      <c r="BA151">
        <v>727037.200000001</v>
      </c>
      <c r="BB151">
        <v>3763349.4</v>
      </c>
    </row>
    <row r="152" spans="1:54" x14ac:dyDescent="0.35">
      <c r="A152">
        <v>110400</v>
      </c>
      <c r="B152">
        <v>767</v>
      </c>
      <c r="C152" t="s">
        <v>135</v>
      </c>
      <c r="D152" s="15">
        <v>701012160922278</v>
      </c>
      <c r="F152">
        <v>70</v>
      </c>
      <c r="G152" t="s">
        <v>136</v>
      </c>
      <c r="H152">
        <v>7010</v>
      </c>
      <c r="I152" t="s">
        <v>137</v>
      </c>
      <c r="K152" t="s">
        <v>138</v>
      </c>
      <c r="M152">
        <v>12160922278</v>
      </c>
      <c r="N152" t="s">
        <v>139</v>
      </c>
      <c r="O152">
        <v>12160922278</v>
      </c>
      <c r="P152" t="s">
        <v>140</v>
      </c>
      <c r="Q152" t="s">
        <v>141</v>
      </c>
      <c r="R152">
        <v>0</v>
      </c>
      <c r="S152">
        <v>30</v>
      </c>
      <c r="T152" t="s">
        <v>142</v>
      </c>
      <c r="U152" t="s">
        <v>154</v>
      </c>
      <c r="V152" t="s">
        <v>154</v>
      </c>
      <c r="W152" t="s">
        <v>154</v>
      </c>
      <c r="X152" t="s">
        <v>154</v>
      </c>
      <c r="AA152" t="s">
        <v>144</v>
      </c>
      <c r="AB152" t="s">
        <v>189</v>
      </c>
      <c r="AC152">
        <v>0</v>
      </c>
      <c r="AD152">
        <v>0</v>
      </c>
      <c r="AO152">
        <v>0</v>
      </c>
      <c r="AP152">
        <v>9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A152">
        <v>727024</v>
      </c>
      <c r="BB152">
        <v>3763103</v>
      </c>
    </row>
    <row r="153" spans="1:54" x14ac:dyDescent="0.35">
      <c r="A153">
        <v>110399</v>
      </c>
      <c r="B153">
        <v>766</v>
      </c>
      <c r="C153" t="s">
        <v>135</v>
      </c>
      <c r="D153" s="15">
        <v>701012160922278</v>
      </c>
      <c r="F153">
        <v>70</v>
      </c>
      <c r="G153" t="s">
        <v>136</v>
      </c>
      <c r="H153">
        <v>7010</v>
      </c>
      <c r="I153" t="s">
        <v>137</v>
      </c>
      <c r="K153" t="s">
        <v>79</v>
      </c>
      <c r="M153">
        <v>12160922275</v>
      </c>
      <c r="N153" t="s">
        <v>139</v>
      </c>
      <c r="O153">
        <v>12160922275</v>
      </c>
      <c r="Q153" t="s">
        <v>141</v>
      </c>
      <c r="R153">
        <v>0</v>
      </c>
      <c r="T153" t="s">
        <v>146</v>
      </c>
      <c r="AA153" t="s">
        <v>144</v>
      </c>
      <c r="AB153" t="s">
        <v>189</v>
      </c>
      <c r="AC153">
        <v>0</v>
      </c>
      <c r="AD153">
        <v>0</v>
      </c>
      <c r="AE153" t="s">
        <v>147</v>
      </c>
      <c r="AF153" t="s">
        <v>148</v>
      </c>
      <c r="AG153" t="s">
        <v>149</v>
      </c>
      <c r="AH153" t="s">
        <v>171</v>
      </c>
      <c r="AJ153" t="s">
        <v>190</v>
      </c>
      <c r="AK153" t="s">
        <v>152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Z153" t="s">
        <v>191</v>
      </c>
      <c r="BA153">
        <v>727041.00000000105</v>
      </c>
      <c r="BB153">
        <v>3763142</v>
      </c>
    </row>
    <row r="154" spans="1:54" x14ac:dyDescent="0.35">
      <c r="A154">
        <v>110398</v>
      </c>
      <c r="B154">
        <v>765</v>
      </c>
      <c r="C154" t="s">
        <v>135</v>
      </c>
      <c r="D154" s="15">
        <v>701012160922277</v>
      </c>
      <c r="F154">
        <v>70</v>
      </c>
      <c r="G154" t="s">
        <v>136</v>
      </c>
      <c r="H154">
        <v>7010</v>
      </c>
      <c r="I154" t="s">
        <v>137</v>
      </c>
      <c r="K154" t="s">
        <v>138</v>
      </c>
      <c r="M154">
        <v>12160922277</v>
      </c>
      <c r="N154" t="s">
        <v>139</v>
      </c>
      <c r="O154">
        <v>12160922277</v>
      </c>
      <c r="P154" t="s">
        <v>140</v>
      </c>
      <c r="Q154" t="s">
        <v>141</v>
      </c>
      <c r="R154">
        <v>0</v>
      </c>
      <c r="S154">
        <v>30</v>
      </c>
      <c r="T154" t="s">
        <v>142</v>
      </c>
      <c r="U154" t="s">
        <v>154</v>
      </c>
      <c r="V154" t="s">
        <v>154</v>
      </c>
      <c r="W154" t="s">
        <v>154</v>
      </c>
      <c r="X154" t="s">
        <v>154</v>
      </c>
      <c r="AA154" t="s">
        <v>144</v>
      </c>
      <c r="AB154" t="s">
        <v>189</v>
      </c>
      <c r="AC154">
        <v>0</v>
      </c>
      <c r="AD154">
        <v>0</v>
      </c>
      <c r="AO154">
        <v>0</v>
      </c>
      <c r="AP154">
        <v>17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A154">
        <v>726991</v>
      </c>
      <c r="BB154">
        <v>3763128</v>
      </c>
    </row>
    <row r="155" spans="1:54" x14ac:dyDescent="0.35">
      <c r="A155">
        <v>110397</v>
      </c>
      <c r="B155">
        <v>764</v>
      </c>
      <c r="C155" t="s">
        <v>135</v>
      </c>
      <c r="D155" s="15">
        <v>701012160922277</v>
      </c>
      <c r="F155">
        <v>70</v>
      </c>
      <c r="G155" t="s">
        <v>136</v>
      </c>
      <c r="H155">
        <v>7010</v>
      </c>
      <c r="I155" t="s">
        <v>137</v>
      </c>
      <c r="K155" t="s">
        <v>79</v>
      </c>
      <c r="M155">
        <v>12160922276</v>
      </c>
      <c r="N155" t="s">
        <v>139</v>
      </c>
      <c r="O155">
        <v>12160922276</v>
      </c>
      <c r="Q155" t="s">
        <v>141</v>
      </c>
      <c r="R155">
        <v>0</v>
      </c>
      <c r="S155">
        <v>30</v>
      </c>
      <c r="T155" t="s">
        <v>142</v>
      </c>
      <c r="AA155" t="s">
        <v>144</v>
      </c>
      <c r="AB155" t="s">
        <v>189</v>
      </c>
      <c r="AC155">
        <v>0</v>
      </c>
      <c r="AD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A155">
        <v>727008.00000000105</v>
      </c>
      <c r="BB155">
        <v>3763158</v>
      </c>
    </row>
    <row r="156" spans="1:54" x14ac:dyDescent="0.35">
      <c r="A156">
        <v>110396</v>
      </c>
      <c r="B156">
        <v>763</v>
      </c>
      <c r="C156" t="s">
        <v>135</v>
      </c>
      <c r="D156" s="15">
        <v>701012160922276</v>
      </c>
      <c r="F156">
        <v>70</v>
      </c>
      <c r="G156" t="s">
        <v>136</v>
      </c>
      <c r="H156">
        <v>7010</v>
      </c>
      <c r="I156" t="s">
        <v>137</v>
      </c>
      <c r="K156" t="s">
        <v>138</v>
      </c>
      <c r="M156">
        <v>12160922276</v>
      </c>
      <c r="N156" t="s">
        <v>139</v>
      </c>
      <c r="O156">
        <v>12160922276</v>
      </c>
      <c r="P156" t="s">
        <v>140</v>
      </c>
      <c r="Q156" t="s">
        <v>141</v>
      </c>
      <c r="R156">
        <v>0</v>
      </c>
      <c r="S156">
        <v>30</v>
      </c>
      <c r="T156" t="s">
        <v>142</v>
      </c>
      <c r="U156" t="s">
        <v>154</v>
      </c>
      <c r="V156" t="s">
        <v>154</v>
      </c>
      <c r="W156" t="s">
        <v>154</v>
      </c>
      <c r="X156" t="s">
        <v>154</v>
      </c>
      <c r="AA156" t="s">
        <v>144</v>
      </c>
      <c r="AB156" t="s">
        <v>189</v>
      </c>
      <c r="AC156">
        <v>0</v>
      </c>
      <c r="AD156">
        <v>0</v>
      </c>
      <c r="AO156">
        <v>0</v>
      </c>
      <c r="AP156">
        <v>5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A156">
        <v>727008.00000000105</v>
      </c>
      <c r="BB156">
        <v>3763158</v>
      </c>
    </row>
    <row r="157" spans="1:54" x14ac:dyDescent="0.35">
      <c r="A157">
        <v>110395</v>
      </c>
      <c r="B157">
        <v>762</v>
      </c>
      <c r="C157" t="s">
        <v>135</v>
      </c>
      <c r="D157" s="15">
        <v>701012160922276</v>
      </c>
      <c r="F157">
        <v>70</v>
      </c>
      <c r="G157" t="s">
        <v>136</v>
      </c>
      <c r="H157">
        <v>7010</v>
      </c>
      <c r="I157" t="s">
        <v>137</v>
      </c>
      <c r="K157" t="s">
        <v>79</v>
      </c>
      <c r="M157">
        <v>12160922275</v>
      </c>
      <c r="N157" t="s">
        <v>139</v>
      </c>
      <c r="O157">
        <v>12160922275</v>
      </c>
      <c r="Q157" t="s">
        <v>141</v>
      </c>
      <c r="R157">
        <v>0</v>
      </c>
      <c r="T157" t="s">
        <v>146</v>
      </c>
      <c r="AA157" t="s">
        <v>144</v>
      </c>
      <c r="AB157" t="s">
        <v>189</v>
      </c>
      <c r="AC157">
        <v>0</v>
      </c>
      <c r="AD157">
        <v>0</v>
      </c>
      <c r="AE157" t="s">
        <v>147</v>
      </c>
      <c r="AF157" t="s">
        <v>148</v>
      </c>
      <c r="AG157" t="s">
        <v>149</v>
      </c>
      <c r="AH157" t="s">
        <v>171</v>
      </c>
      <c r="AJ157" t="s">
        <v>190</v>
      </c>
      <c r="AK157" t="s">
        <v>152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Z157" t="s">
        <v>191</v>
      </c>
      <c r="BA157">
        <v>727041.00000000105</v>
      </c>
      <c r="BB157">
        <v>3763142</v>
      </c>
    </row>
    <row r="158" spans="1:54" x14ac:dyDescent="0.35">
      <c r="A158">
        <v>110394</v>
      </c>
      <c r="B158">
        <v>761</v>
      </c>
      <c r="C158" t="s">
        <v>135</v>
      </c>
      <c r="D158" s="15">
        <v>701012160922270</v>
      </c>
      <c r="F158">
        <v>70</v>
      </c>
      <c r="G158" t="s">
        <v>136</v>
      </c>
      <c r="H158">
        <v>7010</v>
      </c>
      <c r="I158" t="s">
        <v>137</v>
      </c>
      <c r="K158" t="s">
        <v>138</v>
      </c>
      <c r="M158">
        <v>12160922270</v>
      </c>
      <c r="N158" t="s">
        <v>139</v>
      </c>
      <c r="O158">
        <v>12160922270</v>
      </c>
      <c r="P158" t="s">
        <v>140</v>
      </c>
      <c r="Q158" t="s">
        <v>141</v>
      </c>
      <c r="R158">
        <v>0</v>
      </c>
      <c r="S158">
        <v>36</v>
      </c>
      <c r="T158" t="s">
        <v>142</v>
      </c>
      <c r="U158" t="s">
        <v>154</v>
      </c>
      <c r="V158" t="s">
        <v>154</v>
      </c>
      <c r="W158" t="s">
        <v>154</v>
      </c>
      <c r="X158" t="s">
        <v>154</v>
      </c>
      <c r="AA158" t="s">
        <v>144</v>
      </c>
      <c r="AB158" t="s">
        <v>189</v>
      </c>
      <c r="AC158">
        <v>0</v>
      </c>
      <c r="AD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A158">
        <v>727058.1</v>
      </c>
      <c r="BB158">
        <v>3763176.3</v>
      </c>
    </row>
    <row r="159" spans="1:54" x14ac:dyDescent="0.35">
      <c r="A159">
        <v>110393</v>
      </c>
      <c r="B159">
        <v>760</v>
      </c>
      <c r="C159" t="s">
        <v>135</v>
      </c>
      <c r="D159" s="15">
        <v>701012160922270</v>
      </c>
      <c r="F159">
        <v>70</v>
      </c>
      <c r="G159" t="s">
        <v>136</v>
      </c>
      <c r="H159">
        <v>7010</v>
      </c>
      <c r="I159" t="s">
        <v>137</v>
      </c>
      <c r="K159" t="s">
        <v>79</v>
      </c>
      <c r="M159">
        <v>12160922275</v>
      </c>
      <c r="N159" t="s">
        <v>139</v>
      </c>
      <c r="O159">
        <v>12160922275</v>
      </c>
      <c r="Q159" t="s">
        <v>141</v>
      </c>
      <c r="R159">
        <v>0</v>
      </c>
      <c r="T159" t="s">
        <v>146</v>
      </c>
      <c r="AA159" t="s">
        <v>144</v>
      </c>
      <c r="AB159" t="s">
        <v>189</v>
      </c>
      <c r="AC159">
        <v>0</v>
      </c>
      <c r="AD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A159">
        <v>727041.00000000105</v>
      </c>
      <c r="BB159">
        <v>3763142</v>
      </c>
    </row>
    <row r="160" spans="1:54" x14ac:dyDescent="0.35">
      <c r="A160">
        <v>110392</v>
      </c>
      <c r="B160">
        <v>759</v>
      </c>
      <c r="C160" t="s">
        <v>135</v>
      </c>
      <c r="D160" s="15">
        <v>701012160922275</v>
      </c>
      <c r="F160">
        <v>70</v>
      </c>
      <c r="G160" t="s">
        <v>136</v>
      </c>
      <c r="H160">
        <v>7010</v>
      </c>
      <c r="I160" t="s">
        <v>137</v>
      </c>
      <c r="K160" t="s">
        <v>138</v>
      </c>
      <c r="M160">
        <v>12160922275</v>
      </c>
      <c r="N160" t="s">
        <v>139</v>
      </c>
      <c r="O160">
        <v>12160922275</v>
      </c>
      <c r="P160" t="s">
        <v>140</v>
      </c>
      <c r="Q160" t="s">
        <v>141</v>
      </c>
      <c r="R160">
        <v>0</v>
      </c>
      <c r="T160" t="s">
        <v>146</v>
      </c>
      <c r="U160" t="s">
        <v>154</v>
      </c>
      <c r="V160" t="s">
        <v>154</v>
      </c>
      <c r="W160" t="s">
        <v>154</v>
      </c>
      <c r="X160" t="s">
        <v>154</v>
      </c>
      <c r="AA160" t="s">
        <v>144</v>
      </c>
      <c r="AB160" t="s">
        <v>189</v>
      </c>
      <c r="AC160">
        <v>0</v>
      </c>
      <c r="AD160">
        <v>0</v>
      </c>
      <c r="AO160">
        <v>0</v>
      </c>
      <c r="AP160">
        <v>11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A160">
        <v>727041.00000000105</v>
      </c>
      <c r="BB160">
        <v>3763142</v>
      </c>
    </row>
    <row r="161" spans="1:54" x14ac:dyDescent="0.35">
      <c r="A161">
        <v>110391</v>
      </c>
      <c r="B161">
        <v>758</v>
      </c>
      <c r="C161" t="s">
        <v>135</v>
      </c>
      <c r="D161" s="15">
        <v>701012160922275</v>
      </c>
      <c r="F161">
        <v>70</v>
      </c>
      <c r="G161" t="s">
        <v>136</v>
      </c>
      <c r="H161">
        <v>7010</v>
      </c>
      <c r="I161" t="s">
        <v>137</v>
      </c>
      <c r="K161" t="s">
        <v>79</v>
      </c>
      <c r="M161">
        <v>12160922275</v>
      </c>
      <c r="N161" t="s">
        <v>139</v>
      </c>
      <c r="O161">
        <v>12160922275</v>
      </c>
      <c r="Q161" t="s">
        <v>141</v>
      </c>
      <c r="R161">
        <v>0</v>
      </c>
      <c r="T161" t="s">
        <v>146</v>
      </c>
      <c r="AA161" t="s">
        <v>144</v>
      </c>
      <c r="AB161" t="s">
        <v>189</v>
      </c>
      <c r="AC161">
        <v>0</v>
      </c>
      <c r="AD161">
        <v>0</v>
      </c>
      <c r="AE161" t="s">
        <v>147</v>
      </c>
      <c r="AF161" t="s">
        <v>148</v>
      </c>
      <c r="AG161" t="s">
        <v>149</v>
      </c>
      <c r="AH161" t="s">
        <v>171</v>
      </c>
      <c r="AJ161" t="s">
        <v>190</v>
      </c>
      <c r="AK161" t="s">
        <v>152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Z161" t="s">
        <v>191</v>
      </c>
      <c r="BA161">
        <v>727041.00000000105</v>
      </c>
      <c r="BB161">
        <v>3763142</v>
      </c>
    </row>
    <row r="162" spans="1:54" x14ac:dyDescent="0.35">
      <c r="A162">
        <v>110390</v>
      </c>
      <c r="B162">
        <v>757</v>
      </c>
      <c r="C162" t="s">
        <v>135</v>
      </c>
      <c r="D162" s="15">
        <v>701012160922272</v>
      </c>
      <c r="F162">
        <v>70</v>
      </c>
      <c r="G162" t="s">
        <v>136</v>
      </c>
      <c r="H162">
        <v>7010</v>
      </c>
      <c r="I162" t="s">
        <v>137</v>
      </c>
      <c r="K162" t="s">
        <v>138</v>
      </c>
      <c r="M162">
        <v>12160922272</v>
      </c>
      <c r="N162" t="s">
        <v>139</v>
      </c>
      <c r="O162">
        <v>12160922272</v>
      </c>
      <c r="P162" t="s">
        <v>140</v>
      </c>
      <c r="Q162" t="s">
        <v>141</v>
      </c>
      <c r="R162">
        <v>0</v>
      </c>
      <c r="S162">
        <v>36</v>
      </c>
      <c r="T162" t="s">
        <v>142</v>
      </c>
      <c r="U162" t="s">
        <v>154</v>
      </c>
      <c r="V162" t="s">
        <v>154</v>
      </c>
      <c r="W162" t="s">
        <v>154</v>
      </c>
      <c r="X162" t="s">
        <v>154</v>
      </c>
      <c r="AA162" t="s">
        <v>144</v>
      </c>
      <c r="AB162" t="s">
        <v>192</v>
      </c>
      <c r="AC162">
        <v>0</v>
      </c>
      <c r="AD162">
        <v>0</v>
      </c>
      <c r="AO162">
        <v>0</v>
      </c>
      <c r="AP162">
        <v>16</v>
      </c>
      <c r="AQ162">
        <v>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A162">
        <v>727089.00000000198</v>
      </c>
      <c r="BB162">
        <v>3763158</v>
      </c>
    </row>
    <row r="163" spans="1:54" x14ac:dyDescent="0.35">
      <c r="A163">
        <v>110389</v>
      </c>
      <c r="B163">
        <v>756</v>
      </c>
      <c r="C163" t="s">
        <v>135</v>
      </c>
      <c r="D163" s="15">
        <v>701012160922272</v>
      </c>
      <c r="F163">
        <v>70</v>
      </c>
      <c r="G163" t="s">
        <v>136</v>
      </c>
      <c r="H163">
        <v>7010</v>
      </c>
      <c r="I163" t="s">
        <v>137</v>
      </c>
      <c r="K163" t="s">
        <v>79</v>
      </c>
      <c r="M163">
        <v>12160922269</v>
      </c>
      <c r="N163" t="s">
        <v>139</v>
      </c>
      <c r="O163">
        <v>12160922269</v>
      </c>
      <c r="Q163" t="s">
        <v>141</v>
      </c>
      <c r="R163">
        <v>0</v>
      </c>
      <c r="S163">
        <v>36</v>
      </c>
      <c r="T163" t="s">
        <v>142</v>
      </c>
      <c r="AA163" t="s">
        <v>144</v>
      </c>
      <c r="AB163" t="s">
        <v>192</v>
      </c>
      <c r="AC163">
        <v>0</v>
      </c>
      <c r="AD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A163">
        <v>727057.99999999895</v>
      </c>
      <c r="BB163">
        <v>3763176</v>
      </c>
    </row>
    <row r="164" spans="1:54" x14ac:dyDescent="0.35">
      <c r="A164">
        <v>110388</v>
      </c>
      <c r="B164">
        <v>755</v>
      </c>
      <c r="C164" t="s">
        <v>135</v>
      </c>
      <c r="D164" s="15">
        <v>701012160922269</v>
      </c>
      <c r="F164">
        <v>70</v>
      </c>
      <c r="G164" t="s">
        <v>136</v>
      </c>
      <c r="H164">
        <v>7010</v>
      </c>
      <c r="I164" t="s">
        <v>137</v>
      </c>
      <c r="K164" t="s">
        <v>138</v>
      </c>
      <c r="M164">
        <v>12160922269</v>
      </c>
      <c r="N164" t="s">
        <v>139</v>
      </c>
      <c r="O164">
        <v>12160922269</v>
      </c>
      <c r="P164" t="s">
        <v>140</v>
      </c>
      <c r="Q164" t="s">
        <v>141</v>
      </c>
      <c r="R164">
        <v>0</v>
      </c>
      <c r="S164">
        <v>36</v>
      </c>
      <c r="T164" t="s">
        <v>142</v>
      </c>
      <c r="U164" t="s">
        <v>154</v>
      </c>
      <c r="V164" t="s">
        <v>154</v>
      </c>
      <c r="W164" t="s">
        <v>154</v>
      </c>
      <c r="X164" t="s">
        <v>154</v>
      </c>
      <c r="AA164" t="s">
        <v>144</v>
      </c>
      <c r="AB164" t="s">
        <v>192</v>
      </c>
      <c r="AC164">
        <v>0</v>
      </c>
      <c r="AD164">
        <v>0</v>
      </c>
      <c r="AO164">
        <v>0</v>
      </c>
      <c r="AP164">
        <v>4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A164">
        <v>727057.99999999895</v>
      </c>
      <c r="BB164">
        <v>3763176</v>
      </c>
    </row>
    <row r="165" spans="1:54" x14ac:dyDescent="0.35">
      <c r="A165">
        <v>110387</v>
      </c>
      <c r="B165">
        <v>754</v>
      </c>
      <c r="C165" t="s">
        <v>135</v>
      </c>
      <c r="D165" s="15">
        <v>701012160922269</v>
      </c>
      <c r="F165">
        <v>70</v>
      </c>
      <c r="G165" t="s">
        <v>136</v>
      </c>
      <c r="H165">
        <v>7010</v>
      </c>
      <c r="I165" t="s">
        <v>137</v>
      </c>
      <c r="K165" t="s">
        <v>79</v>
      </c>
      <c r="M165">
        <v>12160922266</v>
      </c>
      <c r="N165" t="s">
        <v>139</v>
      </c>
      <c r="O165">
        <v>12160922266</v>
      </c>
      <c r="Q165" t="s">
        <v>141</v>
      </c>
      <c r="R165">
        <v>0</v>
      </c>
      <c r="T165" t="s">
        <v>146</v>
      </c>
      <c r="AA165" t="s">
        <v>144</v>
      </c>
      <c r="AB165" t="s">
        <v>192</v>
      </c>
      <c r="AC165">
        <v>0</v>
      </c>
      <c r="AD165">
        <v>0</v>
      </c>
      <c r="AE165" t="s">
        <v>147</v>
      </c>
      <c r="AF165" t="s">
        <v>148</v>
      </c>
      <c r="AG165" t="s">
        <v>149</v>
      </c>
      <c r="AH165" t="s">
        <v>161</v>
      </c>
      <c r="AJ165" t="s">
        <v>193</v>
      </c>
      <c r="AK165" t="s">
        <v>152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Z165" t="s">
        <v>194</v>
      </c>
      <c r="BA165">
        <v>727073</v>
      </c>
      <c r="BB165">
        <v>3763216</v>
      </c>
    </row>
    <row r="166" spans="1:54" x14ac:dyDescent="0.35">
      <c r="A166">
        <v>110386</v>
      </c>
      <c r="B166">
        <v>753</v>
      </c>
      <c r="C166" t="s">
        <v>135</v>
      </c>
      <c r="D166" s="15">
        <v>701012160922268</v>
      </c>
      <c r="F166">
        <v>70</v>
      </c>
      <c r="G166" t="s">
        <v>136</v>
      </c>
      <c r="H166">
        <v>7010</v>
      </c>
      <c r="I166" t="s">
        <v>137</v>
      </c>
      <c r="K166" t="s">
        <v>138</v>
      </c>
      <c r="M166">
        <v>12160922268</v>
      </c>
      <c r="N166" t="s">
        <v>139</v>
      </c>
      <c r="O166">
        <v>12160922268</v>
      </c>
      <c r="P166" t="s">
        <v>140</v>
      </c>
      <c r="Q166" t="s">
        <v>141</v>
      </c>
      <c r="R166">
        <v>0</v>
      </c>
      <c r="S166">
        <v>30</v>
      </c>
      <c r="T166" t="s">
        <v>142</v>
      </c>
      <c r="U166" t="s">
        <v>154</v>
      </c>
      <c r="V166" t="s">
        <v>154</v>
      </c>
      <c r="W166" t="s">
        <v>154</v>
      </c>
      <c r="X166" t="s">
        <v>154</v>
      </c>
      <c r="AA166" t="s">
        <v>144</v>
      </c>
      <c r="AB166" t="s">
        <v>192</v>
      </c>
      <c r="AC166">
        <v>0</v>
      </c>
      <c r="AD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A166">
        <v>727089.00000000198</v>
      </c>
      <c r="BB166">
        <v>3763240</v>
      </c>
    </row>
    <row r="167" spans="1:54" x14ac:dyDescent="0.35">
      <c r="A167">
        <v>110385</v>
      </c>
      <c r="B167">
        <v>752</v>
      </c>
      <c r="C167" t="s">
        <v>135</v>
      </c>
      <c r="D167" s="15">
        <v>701012160922268</v>
      </c>
      <c r="F167">
        <v>70</v>
      </c>
      <c r="G167" t="s">
        <v>136</v>
      </c>
      <c r="H167">
        <v>7010</v>
      </c>
      <c r="I167" t="s">
        <v>137</v>
      </c>
      <c r="K167" t="s">
        <v>79</v>
      </c>
      <c r="M167">
        <v>12160922266</v>
      </c>
      <c r="N167" t="s">
        <v>139</v>
      </c>
      <c r="O167">
        <v>12160922266</v>
      </c>
      <c r="Q167" t="s">
        <v>141</v>
      </c>
      <c r="R167">
        <v>0</v>
      </c>
      <c r="T167" t="s">
        <v>146</v>
      </c>
      <c r="AA167" t="s">
        <v>144</v>
      </c>
      <c r="AB167" t="s">
        <v>192</v>
      </c>
      <c r="AC167">
        <v>0</v>
      </c>
      <c r="AD167">
        <v>0</v>
      </c>
      <c r="AE167" t="s">
        <v>147</v>
      </c>
      <c r="AF167" t="s">
        <v>148</v>
      </c>
      <c r="AG167" t="s">
        <v>149</v>
      </c>
      <c r="AH167" t="s">
        <v>161</v>
      </c>
      <c r="AJ167" t="s">
        <v>193</v>
      </c>
      <c r="AK167" t="s">
        <v>152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Z167" t="s">
        <v>194</v>
      </c>
      <c r="BA167">
        <v>727073</v>
      </c>
      <c r="BB167">
        <v>3763216</v>
      </c>
    </row>
    <row r="168" spans="1:54" x14ac:dyDescent="0.35">
      <c r="A168">
        <v>110384</v>
      </c>
      <c r="B168">
        <v>751</v>
      </c>
      <c r="C168" t="s">
        <v>135</v>
      </c>
      <c r="D168" s="15">
        <v>701012160922263</v>
      </c>
      <c r="F168">
        <v>70</v>
      </c>
      <c r="G168" t="s">
        <v>136</v>
      </c>
      <c r="H168">
        <v>7010</v>
      </c>
      <c r="I168" t="s">
        <v>137</v>
      </c>
      <c r="K168" t="s">
        <v>138</v>
      </c>
      <c r="M168">
        <v>12160922263</v>
      </c>
      <c r="N168" t="s">
        <v>139</v>
      </c>
      <c r="O168">
        <v>12160922263</v>
      </c>
      <c r="P168" t="s">
        <v>140</v>
      </c>
      <c r="Q168" t="s">
        <v>141</v>
      </c>
      <c r="R168">
        <v>0</v>
      </c>
      <c r="S168">
        <v>36</v>
      </c>
      <c r="T168" t="s">
        <v>142</v>
      </c>
      <c r="U168" t="s">
        <v>154</v>
      </c>
      <c r="V168" t="s">
        <v>154</v>
      </c>
      <c r="W168" t="s">
        <v>154</v>
      </c>
      <c r="X168" t="s">
        <v>154</v>
      </c>
      <c r="AA168" t="s">
        <v>144</v>
      </c>
      <c r="AB168" t="s">
        <v>192</v>
      </c>
      <c r="AC168">
        <v>0</v>
      </c>
      <c r="AD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A168">
        <v>727035.200000001</v>
      </c>
      <c r="BB168">
        <v>3763233.4</v>
      </c>
    </row>
    <row r="169" spans="1:54" x14ac:dyDescent="0.35">
      <c r="A169">
        <v>110383</v>
      </c>
      <c r="B169">
        <v>750</v>
      </c>
      <c r="C169" t="s">
        <v>135</v>
      </c>
      <c r="D169" s="15">
        <v>701012160922263</v>
      </c>
      <c r="F169">
        <v>70</v>
      </c>
      <c r="G169" t="s">
        <v>136</v>
      </c>
      <c r="H169">
        <v>7010</v>
      </c>
      <c r="I169" t="s">
        <v>137</v>
      </c>
      <c r="K169" t="s">
        <v>79</v>
      </c>
      <c r="M169">
        <v>12160922266</v>
      </c>
      <c r="N169" t="s">
        <v>139</v>
      </c>
      <c r="O169">
        <v>12160922266</v>
      </c>
      <c r="Q169" t="s">
        <v>141</v>
      </c>
      <c r="R169">
        <v>0</v>
      </c>
      <c r="T169" t="s">
        <v>146</v>
      </c>
      <c r="AA169" t="s">
        <v>144</v>
      </c>
      <c r="AB169" t="s">
        <v>192</v>
      </c>
      <c r="AC169">
        <v>0</v>
      </c>
      <c r="AD169">
        <v>0</v>
      </c>
      <c r="AE169" t="s">
        <v>147</v>
      </c>
      <c r="AF169" t="s">
        <v>148</v>
      </c>
      <c r="AG169" t="s">
        <v>149</v>
      </c>
      <c r="AH169" t="s">
        <v>161</v>
      </c>
      <c r="AJ169" t="s">
        <v>193</v>
      </c>
      <c r="AK169" t="s">
        <v>152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Z169" t="s">
        <v>194</v>
      </c>
      <c r="BA169">
        <v>727073</v>
      </c>
      <c r="BB169">
        <v>3763216</v>
      </c>
    </row>
    <row r="170" spans="1:54" x14ac:dyDescent="0.35">
      <c r="A170">
        <v>110382</v>
      </c>
      <c r="B170">
        <v>749</v>
      </c>
      <c r="C170" t="s">
        <v>135</v>
      </c>
      <c r="D170" s="15">
        <v>701012160922267</v>
      </c>
      <c r="F170">
        <v>70</v>
      </c>
      <c r="G170" t="s">
        <v>136</v>
      </c>
      <c r="H170">
        <v>7010</v>
      </c>
      <c r="I170" t="s">
        <v>137</v>
      </c>
      <c r="K170" t="s">
        <v>138</v>
      </c>
      <c r="M170">
        <v>12160922267</v>
      </c>
      <c r="N170" t="s">
        <v>139</v>
      </c>
      <c r="O170">
        <v>12160922267</v>
      </c>
      <c r="P170" t="s">
        <v>140</v>
      </c>
      <c r="Q170" t="s">
        <v>141</v>
      </c>
      <c r="R170">
        <v>0</v>
      </c>
      <c r="S170">
        <v>36</v>
      </c>
      <c r="T170" t="s">
        <v>142</v>
      </c>
      <c r="U170" t="s">
        <v>154</v>
      </c>
      <c r="V170" t="s">
        <v>154</v>
      </c>
      <c r="W170" t="s">
        <v>154</v>
      </c>
      <c r="X170" t="s">
        <v>154</v>
      </c>
      <c r="AA170" t="s">
        <v>144</v>
      </c>
      <c r="AB170" t="s">
        <v>192</v>
      </c>
      <c r="AC170">
        <v>0</v>
      </c>
      <c r="AD170">
        <v>0</v>
      </c>
      <c r="AO170">
        <v>0</v>
      </c>
      <c r="AP170">
        <v>17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A170">
        <v>727123.00000000105</v>
      </c>
      <c r="BB170">
        <v>3763192</v>
      </c>
    </row>
    <row r="171" spans="1:54" x14ac:dyDescent="0.35">
      <c r="A171">
        <v>110381</v>
      </c>
      <c r="B171">
        <v>748</v>
      </c>
      <c r="C171" t="s">
        <v>135</v>
      </c>
      <c r="D171" s="15">
        <v>701012160922267</v>
      </c>
      <c r="F171">
        <v>70</v>
      </c>
      <c r="G171" t="s">
        <v>136</v>
      </c>
      <c r="H171">
        <v>7010</v>
      </c>
      <c r="I171" t="s">
        <v>137</v>
      </c>
      <c r="K171" t="s">
        <v>79</v>
      </c>
      <c r="M171">
        <v>12160922266</v>
      </c>
      <c r="N171" t="s">
        <v>139</v>
      </c>
      <c r="O171">
        <v>12160922266</v>
      </c>
      <c r="Q171" t="s">
        <v>141</v>
      </c>
      <c r="R171">
        <v>0</v>
      </c>
      <c r="T171" t="s">
        <v>146</v>
      </c>
      <c r="AA171" t="s">
        <v>144</v>
      </c>
      <c r="AB171" t="s">
        <v>192</v>
      </c>
      <c r="AC171">
        <v>0</v>
      </c>
      <c r="AD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A171">
        <v>727073</v>
      </c>
      <c r="BB171">
        <v>3763216</v>
      </c>
    </row>
    <row r="172" spans="1:54" x14ac:dyDescent="0.35">
      <c r="A172">
        <v>110380</v>
      </c>
      <c r="B172">
        <v>747</v>
      </c>
      <c r="C172" t="s">
        <v>135</v>
      </c>
      <c r="D172" s="15">
        <v>701012160922266</v>
      </c>
      <c r="F172">
        <v>70</v>
      </c>
      <c r="G172" t="s">
        <v>136</v>
      </c>
      <c r="H172">
        <v>7010</v>
      </c>
      <c r="I172" t="s">
        <v>137</v>
      </c>
      <c r="K172" t="s">
        <v>138</v>
      </c>
      <c r="M172">
        <v>12160922266</v>
      </c>
      <c r="N172" t="s">
        <v>139</v>
      </c>
      <c r="O172">
        <v>12160922266</v>
      </c>
      <c r="P172" t="s">
        <v>140</v>
      </c>
      <c r="Q172" t="s">
        <v>141</v>
      </c>
      <c r="R172">
        <v>0</v>
      </c>
      <c r="T172" t="s">
        <v>146</v>
      </c>
      <c r="U172" t="s">
        <v>143</v>
      </c>
      <c r="V172" t="s">
        <v>143</v>
      </c>
      <c r="W172" t="s">
        <v>143</v>
      </c>
      <c r="X172" t="s">
        <v>143</v>
      </c>
      <c r="AA172" t="s">
        <v>144</v>
      </c>
      <c r="AB172" t="s">
        <v>192</v>
      </c>
      <c r="AC172">
        <v>0</v>
      </c>
      <c r="AD172">
        <v>0</v>
      </c>
      <c r="AO172">
        <v>0</v>
      </c>
      <c r="AP172">
        <v>9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A172">
        <v>727073</v>
      </c>
      <c r="BB172">
        <v>3763216</v>
      </c>
    </row>
    <row r="173" spans="1:54" x14ac:dyDescent="0.35">
      <c r="A173">
        <v>110379</v>
      </c>
      <c r="B173">
        <v>746</v>
      </c>
      <c r="C173" t="s">
        <v>135</v>
      </c>
      <c r="D173" s="15">
        <v>701012160922266</v>
      </c>
      <c r="F173">
        <v>70</v>
      </c>
      <c r="G173" t="s">
        <v>136</v>
      </c>
      <c r="H173">
        <v>7010</v>
      </c>
      <c r="I173" t="s">
        <v>137</v>
      </c>
      <c r="K173" t="s">
        <v>79</v>
      </c>
      <c r="M173">
        <v>12160922266</v>
      </c>
      <c r="N173" t="s">
        <v>139</v>
      </c>
      <c r="O173">
        <v>12160922266</v>
      </c>
      <c r="Q173" t="s">
        <v>141</v>
      </c>
      <c r="R173">
        <v>0</v>
      </c>
      <c r="T173" t="s">
        <v>146</v>
      </c>
      <c r="AA173" t="s">
        <v>144</v>
      </c>
      <c r="AB173" t="s">
        <v>192</v>
      </c>
      <c r="AC173">
        <v>0</v>
      </c>
      <c r="AD173">
        <v>0</v>
      </c>
      <c r="AE173" t="s">
        <v>147</v>
      </c>
      <c r="AF173" t="s">
        <v>148</v>
      </c>
      <c r="AG173" t="s">
        <v>149</v>
      </c>
      <c r="AH173" t="s">
        <v>161</v>
      </c>
      <c r="AJ173" t="s">
        <v>193</v>
      </c>
      <c r="AK173" t="s">
        <v>152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Z173" t="s">
        <v>194</v>
      </c>
      <c r="BA173">
        <v>727073</v>
      </c>
      <c r="BB173">
        <v>3763216</v>
      </c>
    </row>
    <row r="174" spans="1:54" x14ac:dyDescent="0.35">
      <c r="A174">
        <v>110378</v>
      </c>
      <c r="B174">
        <v>745</v>
      </c>
      <c r="C174" t="s">
        <v>135</v>
      </c>
      <c r="D174" s="15">
        <v>701012160922258</v>
      </c>
      <c r="F174">
        <v>70</v>
      </c>
      <c r="G174" t="s">
        <v>136</v>
      </c>
      <c r="H174">
        <v>7010</v>
      </c>
      <c r="I174" t="s">
        <v>137</v>
      </c>
      <c r="K174" t="s">
        <v>138</v>
      </c>
      <c r="M174">
        <v>12160922258</v>
      </c>
      <c r="N174" t="s">
        <v>139</v>
      </c>
      <c r="O174">
        <v>12160922258</v>
      </c>
      <c r="P174" t="s">
        <v>140</v>
      </c>
      <c r="Q174" t="s">
        <v>141</v>
      </c>
      <c r="R174">
        <v>0</v>
      </c>
      <c r="S174">
        <v>36</v>
      </c>
      <c r="T174" t="s">
        <v>142</v>
      </c>
      <c r="U174" t="s">
        <v>154</v>
      </c>
      <c r="V174" t="s">
        <v>154</v>
      </c>
      <c r="W174" t="s">
        <v>154</v>
      </c>
      <c r="X174" t="s">
        <v>154</v>
      </c>
      <c r="AA174" t="s">
        <v>144</v>
      </c>
      <c r="AB174" t="s">
        <v>195</v>
      </c>
      <c r="AC174">
        <v>0</v>
      </c>
      <c r="AD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A174">
        <v>726994</v>
      </c>
      <c r="BB174">
        <v>3763250</v>
      </c>
    </row>
    <row r="175" spans="1:54" x14ac:dyDescent="0.35">
      <c r="A175">
        <v>110377</v>
      </c>
      <c r="B175">
        <v>744</v>
      </c>
      <c r="C175" t="s">
        <v>135</v>
      </c>
      <c r="D175" s="15">
        <v>701012160922258</v>
      </c>
      <c r="F175">
        <v>70</v>
      </c>
      <c r="G175" t="s">
        <v>136</v>
      </c>
      <c r="H175">
        <v>7010</v>
      </c>
      <c r="I175" t="s">
        <v>137</v>
      </c>
      <c r="K175" t="s">
        <v>79</v>
      </c>
      <c r="M175">
        <v>12160922263</v>
      </c>
      <c r="N175" t="s">
        <v>139</v>
      </c>
      <c r="O175">
        <v>12160922263</v>
      </c>
      <c r="Q175" t="s">
        <v>141</v>
      </c>
      <c r="R175">
        <v>0</v>
      </c>
      <c r="S175">
        <v>36</v>
      </c>
      <c r="T175" t="s">
        <v>142</v>
      </c>
      <c r="AA175" t="s">
        <v>144</v>
      </c>
      <c r="AB175" t="s">
        <v>195</v>
      </c>
      <c r="AC175">
        <v>0</v>
      </c>
      <c r="AD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A175">
        <v>727035.200000001</v>
      </c>
      <c r="BB175">
        <v>3763233.4</v>
      </c>
    </row>
    <row r="176" spans="1:54" x14ac:dyDescent="0.35">
      <c r="A176">
        <v>110376</v>
      </c>
      <c r="B176">
        <v>743</v>
      </c>
      <c r="C176" t="s">
        <v>135</v>
      </c>
      <c r="D176" s="15">
        <v>701012160922263</v>
      </c>
      <c r="F176">
        <v>70</v>
      </c>
      <c r="G176" t="s">
        <v>136</v>
      </c>
      <c r="H176">
        <v>7010</v>
      </c>
      <c r="I176" t="s">
        <v>137</v>
      </c>
      <c r="K176" t="s">
        <v>138</v>
      </c>
      <c r="M176">
        <v>12160922263</v>
      </c>
      <c r="N176" t="s">
        <v>139</v>
      </c>
      <c r="O176">
        <v>12160922263</v>
      </c>
      <c r="P176" t="s">
        <v>140</v>
      </c>
      <c r="Q176" t="s">
        <v>141</v>
      </c>
      <c r="R176">
        <v>0</v>
      </c>
      <c r="S176">
        <v>36</v>
      </c>
      <c r="T176" t="s">
        <v>142</v>
      </c>
      <c r="U176" t="s">
        <v>196</v>
      </c>
      <c r="V176" t="s">
        <v>196</v>
      </c>
      <c r="W176" t="s">
        <v>196</v>
      </c>
      <c r="X176" t="s">
        <v>196</v>
      </c>
      <c r="AA176" t="s">
        <v>144</v>
      </c>
      <c r="AB176" t="s">
        <v>195</v>
      </c>
      <c r="AC176">
        <v>0</v>
      </c>
      <c r="AD176">
        <v>0</v>
      </c>
      <c r="AO176">
        <v>0</v>
      </c>
      <c r="AP176">
        <v>7</v>
      </c>
      <c r="AQ176">
        <v>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A176">
        <v>727035.200000001</v>
      </c>
      <c r="BB176">
        <v>3763233.4</v>
      </c>
    </row>
    <row r="177" spans="1:54" x14ac:dyDescent="0.35">
      <c r="A177">
        <v>110375</v>
      </c>
      <c r="B177">
        <v>742</v>
      </c>
      <c r="C177" t="s">
        <v>135</v>
      </c>
      <c r="D177" s="15">
        <v>701012160922263</v>
      </c>
      <c r="F177">
        <v>70</v>
      </c>
      <c r="G177" t="s">
        <v>136</v>
      </c>
      <c r="H177">
        <v>7010</v>
      </c>
      <c r="I177" t="s">
        <v>137</v>
      </c>
      <c r="K177" t="s">
        <v>79</v>
      </c>
      <c r="M177">
        <v>12160922263</v>
      </c>
      <c r="N177" t="s">
        <v>139</v>
      </c>
      <c r="O177">
        <v>12160922263</v>
      </c>
      <c r="Q177" t="s">
        <v>141</v>
      </c>
      <c r="R177">
        <v>0</v>
      </c>
      <c r="S177">
        <v>36</v>
      </c>
      <c r="T177" t="s">
        <v>142</v>
      </c>
      <c r="AA177" t="s">
        <v>144</v>
      </c>
      <c r="AB177" t="s">
        <v>195</v>
      </c>
      <c r="AC177">
        <v>0</v>
      </c>
      <c r="AD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 t="s">
        <v>197</v>
      </c>
      <c r="BA177">
        <v>727035.200000001</v>
      </c>
      <c r="BB177">
        <v>3763233.4</v>
      </c>
    </row>
    <row r="178" spans="1:54" x14ac:dyDescent="0.35">
      <c r="A178">
        <v>110374</v>
      </c>
      <c r="B178">
        <v>741</v>
      </c>
      <c r="C178" t="s">
        <v>135</v>
      </c>
      <c r="D178" s="15">
        <v>701012160922260</v>
      </c>
      <c r="F178">
        <v>70</v>
      </c>
      <c r="G178" t="s">
        <v>136</v>
      </c>
      <c r="H178">
        <v>7010</v>
      </c>
      <c r="I178" t="s">
        <v>137</v>
      </c>
      <c r="K178" t="s">
        <v>138</v>
      </c>
      <c r="M178">
        <v>12160922260</v>
      </c>
      <c r="N178" t="s">
        <v>139</v>
      </c>
      <c r="O178">
        <v>12160922260</v>
      </c>
      <c r="P178" t="s">
        <v>140</v>
      </c>
      <c r="Q178" t="s">
        <v>141</v>
      </c>
      <c r="R178">
        <v>0</v>
      </c>
      <c r="S178">
        <v>30</v>
      </c>
      <c r="T178" t="s">
        <v>142</v>
      </c>
      <c r="U178" t="s">
        <v>154</v>
      </c>
      <c r="V178" t="s">
        <v>154</v>
      </c>
      <c r="W178" t="s">
        <v>154</v>
      </c>
      <c r="X178" t="s">
        <v>154</v>
      </c>
      <c r="AA178" t="s">
        <v>144</v>
      </c>
      <c r="AB178" t="s">
        <v>195</v>
      </c>
      <c r="AC178">
        <v>0</v>
      </c>
      <c r="AD178">
        <v>0</v>
      </c>
      <c r="AO178">
        <v>0</v>
      </c>
      <c r="AP178">
        <v>8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A178">
        <v>726930</v>
      </c>
      <c r="BB178">
        <v>3763223</v>
      </c>
    </row>
    <row r="179" spans="1:54" x14ac:dyDescent="0.35">
      <c r="A179">
        <v>110373</v>
      </c>
      <c r="B179">
        <v>740</v>
      </c>
      <c r="C179" t="s">
        <v>135</v>
      </c>
      <c r="D179" s="15">
        <v>701012160922260</v>
      </c>
      <c r="F179">
        <v>70</v>
      </c>
      <c r="G179" t="s">
        <v>136</v>
      </c>
      <c r="H179">
        <v>7010</v>
      </c>
      <c r="I179" t="s">
        <v>137</v>
      </c>
      <c r="K179" t="s">
        <v>79</v>
      </c>
      <c r="M179">
        <v>12160922259</v>
      </c>
      <c r="N179" t="s">
        <v>139</v>
      </c>
      <c r="O179">
        <v>12160922259</v>
      </c>
      <c r="Q179" t="s">
        <v>141</v>
      </c>
      <c r="R179">
        <v>0</v>
      </c>
      <c r="S179">
        <v>30</v>
      </c>
      <c r="T179" t="s">
        <v>142</v>
      </c>
      <c r="AA179" t="s">
        <v>144</v>
      </c>
      <c r="AB179" t="s">
        <v>195</v>
      </c>
      <c r="AC179">
        <v>0</v>
      </c>
      <c r="AD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A179">
        <v>726973</v>
      </c>
      <c r="BB179">
        <v>3763206</v>
      </c>
    </row>
    <row r="180" spans="1:54" x14ac:dyDescent="0.35">
      <c r="A180">
        <v>110372</v>
      </c>
      <c r="B180">
        <v>739</v>
      </c>
      <c r="C180" t="s">
        <v>135</v>
      </c>
      <c r="D180" s="15">
        <v>701012160922259</v>
      </c>
      <c r="F180">
        <v>70</v>
      </c>
      <c r="G180" t="s">
        <v>136</v>
      </c>
      <c r="H180">
        <v>7010</v>
      </c>
      <c r="I180" t="s">
        <v>137</v>
      </c>
      <c r="K180" t="s">
        <v>138</v>
      </c>
      <c r="M180">
        <v>12160922259</v>
      </c>
      <c r="N180" t="s">
        <v>139</v>
      </c>
      <c r="O180">
        <v>12160922259</v>
      </c>
      <c r="P180" t="s">
        <v>140</v>
      </c>
      <c r="Q180" t="s">
        <v>141</v>
      </c>
      <c r="R180">
        <v>0</v>
      </c>
      <c r="S180">
        <v>30</v>
      </c>
      <c r="T180" t="s">
        <v>142</v>
      </c>
      <c r="U180" t="s">
        <v>154</v>
      </c>
      <c r="V180" t="s">
        <v>154</v>
      </c>
      <c r="W180" t="s">
        <v>154</v>
      </c>
      <c r="X180" t="s">
        <v>154</v>
      </c>
      <c r="AA180" t="s">
        <v>144</v>
      </c>
      <c r="AB180" t="s">
        <v>195</v>
      </c>
      <c r="AC180">
        <v>0</v>
      </c>
      <c r="AD180">
        <v>0</v>
      </c>
      <c r="AO180">
        <v>0</v>
      </c>
      <c r="AP180">
        <v>7</v>
      </c>
      <c r="AQ180">
        <v>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A180">
        <v>726973</v>
      </c>
      <c r="BB180">
        <v>3763206</v>
      </c>
    </row>
    <row r="181" spans="1:54" x14ac:dyDescent="0.35">
      <c r="A181">
        <v>110371</v>
      </c>
      <c r="B181">
        <v>738</v>
      </c>
      <c r="C181" t="s">
        <v>135</v>
      </c>
      <c r="D181" s="15">
        <v>701012160922259</v>
      </c>
      <c r="F181">
        <v>70</v>
      </c>
      <c r="G181" t="s">
        <v>136</v>
      </c>
      <c r="H181">
        <v>7010</v>
      </c>
      <c r="I181" t="s">
        <v>137</v>
      </c>
      <c r="K181" t="s">
        <v>79</v>
      </c>
      <c r="M181">
        <v>12160922258</v>
      </c>
      <c r="N181" t="s">
        <v>139</v>
      </c>
      <c r="O181">
        <v>12160922258</v>
      </c>
      <c r="Q181" t="s">
        <v>141</v>
      </c>
      <c r="R181">
        <v>0</v>
      </c>
      <c r="S181">
        <v>36</v>
      </c>
      <c r="T181" t="s">
        <v>142</v>
      </c>
      <c r="AA181" t="s">
        <v>144</v>
      </c>
      <c r="AB181" t="s">
        <v>195</v>
      </c>
      <c r="AC181">
        <v>0</v>
      </c>
      <c r="AD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A181">
        <v>726994</v>
      </c>
      <c r="BB181">
        <v>3763250</v>
      </c>
    </row>
    <row r="182" spans="1:54" x14ac:dyDescent="0.35">
      <c r="A182">
        <v>110370</v>
      </c>
      <c r="B182">
        <v>737</v>
      </c>
      <c r="C182" t="s">
        <v>135</v>
      </c>
      <c r="D182" s="15">
        <v>701012160922258</v>
      </c>
      <c r="F182">
        <v>70</v>
      </c>
      <c r="G182" t="s">
        <v>136</v>
      </c>
      <c r="H182">
        <v>7010</v>
      </c>
      <c r="I182" t="s">
        <v>137</v>
      </c>
      <c r="K182" t="s">
        <v>138</v>
      </c>
      <c r="M182">
        <v>12160922258</v>
      </c>
      <c r="N182" t="s">
        <v>139</v>
      </c>
      <c r="O182">
        <v>12160922258</v>
      </c>
      <c r="P182" t="s">
        <v>140</v>
      </c>
      <c r="Q182" t="s">
        <v>141</v>
      </c>
      <c r="R182">
        <v>0</v>
      </c>
      <c r="S182">
        <v>36</v>
      </c>
      <c r="T182" t="s">
        <v>142</v>
      </c>
      <c r="U182" t="s">
        <v>154</v>
      </c>
      <c r="V182" t="s">
        <v>154</v>
      </c>
      <c r="W182" t="s">
        <v>154</v>
      </c>
      <c r="X182" t="s">
        <v>154</v>
      </c>
      <c r="AA182" t="s">
        <v>144</v>
      </c>
      <c r="AB182" t="s">
        <v>195</v>
      </c>
      <c r="AC182">
        <v>0</v>
      </c>
      <c r="AD182">
        <v>0</v>
      </c>
      <c r="AO182">
        <v>0</v>
      </c>
      <c r="AP182">
        <v>4</v>
      </c>
      <c r="AQ182">
        <v>7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A182">
        <v>726994</v>
      </c>
      <c r="BB182">
        <v>3763250</v>
      </c>
    </row>
    <row r="183" spans="1:54" x14ac:dyDescent="0.35">
      <c r="A183">
        <v>110369</v>
      </c>
      <c r="B183">
        <v>736</v>
      </c>
      <c r="C183" t="s">
        <v>135</v>
      </c>
      <c r="D183" s="15">
        <v>701012160922258</v>
      </c>
      <c r="F183">
        <v>70</v>
      </c>
      <c r="G183" t="s">
        <v>136</v>
      </c>
      <c r="H183">
        <v>7010</v>
      </c>
      <c r="I183" t="s">
        <v>137</v>
      </c>
      <c r="K183" t="s">
        <v>79</v>
      </c>
      <c r="M183">
        <v>12160922257</v>
      </c>
      <c r="N183" t="s">
        <v>139</v>
      </c>
      <c r="O183">
        <v>12160922257</v>
      </c>
      <c r="Q183" t="s">
        <v>141</v>
      </c>
      <c r="R183">
        <v>0</v>
      </c>
      <c r="T183" t="s">
        <v>146</v>
      </c>
      <c r="AA183" t="s">
        <v>144</v>
      </c>
      <c r="AB183" t="s">
        <v>195</v>
      </c>
      <c r="AC183">
        <v>0</v>
      </c>
      <c r="AD183">
        <v>0</v>
      </c>
      <c r="AE183" t="s">
        <v>147</v>
      </c>
      <c r="AF183" t="s">
        <v>148</v>
      </c>
      <c r="AG183" t="s">
        <v>149</v>
      </c>
      <c r="AH183" t="s">
        <v>182</v>
      </c>
      <c r="AJ183" t="s">
        <v>198</v>
      </c>
      <c r="AK183" t="s">
        <v>186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Z183" t="s">
        <v>199</v>
      </c>
      <c r="BA183">
        <v>726941.2</v>
      </c>
      <c r="BB183">
        <v>3763279.4</v>
      </c>
    </row>
    <row r="184" spans="1:54" x14ac:dyDescent="0.35">
      <c r="A184">
        <v>110368</v>
      </c>
      <c r="B184">
        <v>735</v>
      </c>
      <c r="C184" t="s">
        <v>135</v>
      </c>
      <c r="D184" s="15">
        <v>701012160922254</v>
      </c>
      <c r="F184">
        <v>70</v>
      </c>
      <c r="G184" t="s">
        <v>136</v>
      </c>
      <c r="H184">
        <v>7010</v>
      </c>
      <c r="I184" t="s">
        <v>137</v>
      </c>
      <c r="K184" t="s">
        <v>138</v>
      </c>
      <c r="M184">
        <v>12160922254</v>
      </c>
      <c r="N184" t="s">
        <v>139</v>
      </c>
      <c r="O184">
        <v>12160922254</v>
      </c>
      <c r="P184" t="s">
        <v>140</v>
      </c>
      <c r="Q184" t="s">
        <v>141</v>
      </c>
      <c r="R184">
        <v>0</v>
      </c>
      <c r="S184">
        <v>36</v>
      </c>
      <c r="T184" t="s">
        <v>142</v>
      </c>
      <c r="U184" t="s">
        <v>143</v>
      </c>
      <c r="V184" t="s">
        <v>143</v>
      </c>
      <c r="W184" t="s">
        <v>143</v>
      </c>
      <c r="X184" t="s">
        <v>143</v>
      </c>
      <c r="AA184" t="s">
        <v>144</v>
      </c>
      <c r="AB184" t="s">
        <v>195</v>
      </c>
      <c r="AC184">
        <v>0</v>
      </c>
      <c r="AD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A184">
        <v>726907</v>
      </c>
      <c r="BB184">
        <v>3763294</v>
      </c>
    </row>
    <row r="185" spans="1:54" x14ac:dyDescent="0.35">
      <c r="A185">
        <v>110367</v>
      </c>
      <c r="B185">
        <v>734</v>
      </c>
      <c r="C185" t="s">
        <v>135</v>
      </c>
      <c r="D185" s="15">
        <v>701012160922254</v>
      </c>
      <c r="F185">
        <v>70</v>
      </c>
      <c r="G185" t="s">
        <v>136</v>
      </c>
      <c r="H185">
        <v>7010</v>
      </c>
      <c r="I185" t="s">
        <v>137</v>
      </c>
      <c r="K185" t="s">
        <v>79</v>
      </c>
      <c r="M185">
        <v>12160922257</v>
      </c>
      <c r="N185" t="s">
        <v>139</v>
      </c>
      <c r="O185">
        <v>12160922257</v>
      </c>
      <c r="Q185" t="s">
        <v>141</v>
      </c>
      <c r="R185">
        <v>0</v>
      </c>
      <c r="T185" t="s">
        <v>146</v>
      </c>
      <c r="AA185" t="s">
        <v>144</v>
      </c>
      <c r="AB185" t="s">
        <v>195</v>
      </c>
      <c r="AC185">
        <v>0</v>
      </c>
      <c r="AD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A185">
        <v>726941.2</v>
      </c>
      <c r="BB185">
        <v>3763279.4</v>
      </c>
    </row>
    <row r="186" spans="1:54" x14ac:dyDescent="0.35">
      <c r="A186">
        <v>110366</v>
      </c>
      <c r="B186">
        <v>733</v>
      </c>
      <c r="C186" t="s">
        <v>135</v>
      </c>
      <c r="D186" s="15">
        <v>701012160922257</v>
      </c>
      <c r="F186">
        <v>70</v>
      </c>
      <c r="G186" t="s">
        <v>136</v>
      </c>
      <c r="H186">
        <v>7010</v>
      </c>
      <c r="I186" t="s">
        <v>137</v>
      </c>
      <c r="K186" t="s">
        <v>138</v>
      </c>
      <c r="M186">
        <v>12160922257</v>
      </c>
      <c r="N186" t="s">
        <v>139</v>
      </c>
      <c r="O186">
        <v>12160922257</v>
      </c>
      <c r="P186" t="s">
        <v>140</v>
      </c>
      <c r="Q186" t="s">
        <v>141</v>
      </c>
      <c r="R186">
        <v>0</v>
      </c>
      <c r="T186" t="s">
        <v>146</v>
      </c>
      <c r="U186" t="s">
        <v>154</v>
      </c>
      <c r="V186" t="s">
        <v>154</v>
      </c>
      <c r="W186" t="s">
        <v>154</v>
      </c>
      <c r="X186" t="s">
        <v>154</v>
      </c>
      <c r="AA186" t="s">
        <v>144</v>
      </c>
      <c r="AB186" t="s">
        <v>195</v>
      </c>
      <c r="AC186">
        <v>0</v>
      </c>
      <c r="AD186">
        <v>0</v>
      </c>
      <c r="AO186">
        <v>0</v>
      </c>
      <c r="AP186">
        <v>4</v>
      </c>
      <c r="AQ186">
        <v>7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A186">
        <v>726941.2</v>
      </c>
      <c r="BB186">
        <v>3763279.4</v>
      </c>
    </row>
    <row r="187" spans="1:54" x14ac:dyDescent="0.35">
      <c r="A187">
        <v>110365</v>
      </c>
      <c r="B187">
        <v>732</v>
      </c>
      <c r="C187" t="s">
        <v>135</v>
      </c>
      <c r="D187" s="15">
        <v>701012160922257</v>
      </c>
      <c r="F187">
        <v>70</v>
      </c>
      <c r="G187" t="s">
        <v>136</v>
      </c>
      <c r="H187">
        <v>7010</v>
      </c>
      <c r="I187" t="s">
        <v>137</v>
      </c>
      <c r="K187" t="s">
        <v>79</v>
      </c>
      <c r="M187">
        <v>12160922257</v>
      </c>
      <c r="N187" t="s">
        <v>139</v>
      </c>
      <c r="O187">
        <v>12160922257</v>
      </c>
      <c r="Q187" t="s">
        <v>141</v>
      </c>
      <c r="R187">
        <v>0</v>
      </c>
      <c r="T187" t="s">
        <v>146</v>
      </c>
      <c r="AA187" t="s">
        <v>144</v>
      </c>
      <c r="AB187" t="s">
        <v>195</v>
      </c>
      <c r="AC187">
        <v>0</v>
      </c>
      <c r="AD187">
        <v>0</v>
      </c>
      <c r="AE187" t="s">
        <v>147</v>
      </c>
      <c r="AF187" t="s">
        <v>148</v>
      </c>
      <c r="AG187" t="s">
        <v>149</v>
      </c>
      <c r="AH187" t="s">
        <v>182</v>
      </c>
      <c r="AJ187" t="s">
        <v>198</v>
      </c>
      <c r="AK187" t="s">
        <v>186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Z187" t="s">
        <v>199</v>
      </c>
      <c r="BA187">
        <v>726941.2</v>
      </c>
      <c r="BB187">
        <v>3763279.4</v>
      </c>
    </row>
    <row r="188" spans="1:54" x14ac:dyDescent="0.35">
      <c r="A188">
        <v>110364</v>
      </c>
      <c r="B188">
        <v>731</v>
      </c>
      <c r="C188" t="s">
        <v>135</v>
      </c>
      <c r="D188" s="15">
        <v>701012160922254</v>
      </c>
      <c r="F188">
        <v>70</v>
      </c>
      <c r="G188" t="s">
        <v>136</v>
      </c>
      <c r="H188">
        <v>7010</v>
      </c>
      <c r="I188" t="s">
        <v>137</v>
      </c>
      <c r="K188" t="s">
        <v>138</v>
      </c>
      <c r="M188">
        <v>12160922254</v>
      </c>
      <c r="N188" t="s">
        <v>139</v>
      </c>
      <c r="O188">
        <v>12160922254</v>
      </c>
      <c r="P188" t="s">
        <v>140</v>
      </c>
      <c r="Q188" t="s">
        <v>141</v>
      </c>
      <c r="R188">
        <v>0</v>
      </c>
      <c r="S188">
        <v>30</v>
      </c>
      <c r="T188" t="s">
        <v>142</v>
      </c>
      <c r="U188" t="s">
        <v>143</v>
      </c>
      <c r="V188" t="s">
        <v>143</v>
      </c>
      <c r="W188" t="s">
        <v>143</v>
      </c>
      <c r="X188" t="s">
        <v>143</v>
      </c>
      <c r="AA188" t="s">
        <v>144</v>
      </c>
      <c r="AB188" t="s">
        <v>200</v>
      </c>
      <c r="AC188">
        <v>0</v>
      </c>
      <c r="AD188">
        <v>0</v>
      </c>
      <c r="AO188">
        <v>0</v>
      </c>
      <c r="AP188">
        <v>3</v>
      </c>
      <c r="AQ188">
        <v>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A188">
        <v>726907</v>
      </c>
      <c r="BB188">
        <v>3763294</v>
      </c>
    </row>
    <row r="189" spans="1:54" x14ac:dyDescent="0.35">
      <c r="A189">
        <v>110363</v>
      </c>
      <c r="B189">
        <v>730</v>
      </c>
      <c r="C189" t="s">
        <v>135</v>
      </c>
      <c r="D189" s="15">
        <v>701012160922254</v>
      </c>
      <c r="F189">
        <v>70</v>
      </c>
      <c r="G189" t="s">
        <v>136</v>
      </c>
      <c r="H189">
        <v>7010</v>
      </c>
      <c r="I189" t="s">
        <v>137</v>
      </c>
      <c r="K189" t="s">
        <v>79</v>
      </c>
      <c r="M189">
        <v>12160922253</v>
      </c>
      <c r="N189" t="s">
        <v>139</v>
      </c>
      <c r="O189">
        <v>12160922253</v>
      </c>
      <c r="Q189" t="s">
        <v>141</v>
      </c>
      <c r="R189">
        <v>0</v>
      </c>
      <c r="S189">
        <v>30</v>
      </c>
      <c r="T189" t="s">
        <v>142</v>
      </c>
      <c r="AA189" t="s">
        <v>144</v>
      </c>
      <c r="AB189" t="s">
        <v>200</v>
      </c>
      <c r="AC189">
        <v>0</v>
      </c>
      <c r="AD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A189">
        <v>726878.99999999895</v>
      </c>
      <c r="BB189">
        <v>3763307</v>
      </c>
    </row>
    <row r="190" spans="1:54" x14ac:dyDescent="0.35">
      <c r="A190">
        <v>110362</v>
      </c>
      <c r="B190">
        <v>729</v>
      </c>
      <c r="C190" t="s">
        <v>135</v>
      </c>
      <c r="D190" s="15">
        <v>701012160922253</v>
      </c>
      <c r="F190">
        <v>70</v>
      </c>
      <c r="G190" t="s">
        <v>136</v>
      </c>
      <c r="H190">
        <v>7010</v>
      </c>
      <c r="I190" t="s">
        <v>137</v>
      </c>
      <c r="K190" t="s">
        <v>138</v>
      </c>
      <c r="M190">
        <v>12160922253</v>
      </c>
      <c r="N190" t="s">
        <v>139</v>
      </c>
      <c r="O190">
        <v>12160922253</v>
      </c>
      <c r="P190" t="s">
        <v>140</v>
      </c>
      <c r="Q190" t="s">
        <v>141</v>
      </c>
      <c r="R190">
        <v>0</v>
      </c>
      <c r="S190">
        <v>30</v>
      </c>
      <c r="T190" t="s">
        <v>142</v>
      </c>
      <c r="U190" t="s">
        <v>143</v>
      </c>
      <c r="V190" t="s">
        <v>143</v>
      </c>
      <c r="W190" t="s">
        <v>143</v>
      </c>
      <c r="X190" t="s">
        <v>143</v>
      </c>
      <c r="AA190" t="s">
        <v>144</v>
      </c>
      <c r="AB190" t="s">
        <v>200</v>
      </c>
      <c r="AC190">
        <v>0</v>
      </c>
      <c r="AD190">
        <v>0</v>
      </c>
      <c r="AO190">
        <v>0</v>
      </c>
      <c r="AP190">
        <v>3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A190">
        <v>726878.99999999895</v>
      </c>
      <c r="BB190">
        <v>3763307</v>
      </c>
    </row>
    <row r="191" spans="1:54" x14ac:dyDescent="0.35">
      <c r="A191">
        <v>110361</v>
      </c>
      <c r="B191">
        <v>728</v>
      </c>
      <c r="C191" t="s">
        <v>135</v>
      </c>
      <c r="D191" s="15">
        <v>701012160922253</v>
      </c>
      <c r="F191">
        <v>70</v>
      </c>
      <c r="G191" t="s">
        <v>136</v>
      </c>
      <c r="H191">
        <v>7010</v>
      </c>
      <c r="I191" t="s">
        <v>137</v>
      </c>
      <c r="K191" t="s">
        <v>79</v>
      </c>
      <c r="M191">
        <v>12160922249</v>
      </c>
      <c r="N191" t="s">
        <v>139</v>
      </c>
      <c r="O191">
        <v>12160922249</v>
      </c>
      <c r="Q191" t="s">
        <v>141</v>
      </c>
      <c r="R191">
        <v>0</v>
      </c>
      <c r="T191" t="s">
        <v>146</v>
      </c>
      <c r="AA191" t="s">
        <v>144</v>
      </c>
      <c r="AB191" t="s">
        <v>200</v>
      </c>
      <c r="AC191">
        <v>0</v>
      </c>
      <c r="AD191">
        <v>0</v>
      </c>
      <c r="AE191" t="s">
        <v>147</v>
      </c>
      <c r="AF191" t="s">
        <v>148</v>
      </c>
      <c r="AG191" t="s">
        <v>149</v>
      </c>
      <c r="AH191" t="s">
        <v>161</v>
      </c>
      <c r="AJ191" t="s">
        <v>201</v>
      </c>
      <c r="AK191" t="s">
        <v>152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Z191" t="s">
        <v>202</v>
      </c>
      <c r="BA191">
        <v>726860</v>
      </c>
      <c r="BB191">
        <v>3763314</v>
      </c>
    </row>
    <row r="192" spans="1:54" x14ac:dyDescent="0.35">
      <c r="A192">
        <v>110360</v>
      </c>
      <c r="B192">
        <v>727</v>
      </c>
      <c r="C192" t="s">
        <v>135</v>
      </c>
      <c r="D192" s="15">
        <v>701012160922253</v>
      </c>
      <c r="F192">
        <v>70</v>
      </c>
      <c r="G192" t="s">
        <v>136</v>
      </c>
      <c r="H192">
        <v>7010</v>
      </c>
      <c r="I192" t="s">
        <v>137</v>
      </c>
      <c r="K192" t="s">
        <v>138</v>
      </c>
      <c r="M192">
        <v>12160922253</v>
      </c>
      <c r="N192" t="s">
        <v>139</v>
      </c>
      <c r="O192">
        <v>12160922253</v>
      </c>
      <c r="P192" t="s">
        <v>140</v>
      </c>
      <c r="Q192" t="s">
        <v>141</v>
      </c>
      <c r="R192">
        <v>0</v>
      </c>
      <c r="S192">
        <v>30</v>
      </c>
      <c r="T192" t="s">
        <v>142</v>
      </c>
      <c r="U192" t="s">
        <v>143</v>
      </c>
      <c r="V192" t="s">
        <v>143</v>
      </c>
      <c r="W192" t="s">
        <v>143</v>
      </c>
      <c r="X192" t="s">
        <v>143</v>
      </c>
      <c r="AA192" t="s">
        <v>144</v>
      </c>
      <c r="AB192" t="s">
        <v>200</v>
      </c>
      <c r="AC192">
        <v>0</v>
      </c>
      <c r="AD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A192">
        <v>726878.99999999895</v>
      </c>
      <c r="BB192">
        <v>3763307</v>
      </c>
    </row>
    <row r="193" spans="1:54" x14ac:dyDescent="0.35">
      <c r="A193">
        <v>110359</v>
      </c>
      <c r="B193">
        <v>726</v>
      </c>
      <c r="C193" t="s">
        <v>135</v>
      </c>
      <c r="D193" s="15">
        <v>701012160922253</v>
      </c>
      <c r="F193">
        <v>70</v>
      </c>
      <c r="G193" t="s">
        <v>136</v>
      </c>
      <c r="H193">
        <v>7010</v>
      </c>
      <c r="I193" t="s">
        <v>137</v>
      </c>
      <c r="K193" t="s">
        <v>79</v>
      </c>
      <c r="M193">
        <v>12160922252</v>
      </c>
      <c r="N193" t="s">
        <v>139</v>
      </c>
      <c r="O193">
        <v>12160922252</v>
      </c>
      <c r="Q193" t="s">
        <v>141</v>
      </c>
      <c r="R193">
        <v>0</v>
      </c>
      <c r="S193">
        <v>30</v>
      </c>
      <c r="T193" t="s">
        <v>142</v>
      </c>
      <c r="AA193" t="s">
        <v>144</v>
      </c>
      <c r="AB193" t="s">
        <v>200</v>
      </c>
      <c r="AC193">
        <v>0</v>
      </c>
      <c r="AD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A193">
        <v>726828.00000000198</v>
      </c>
      <c r="BB193">
        <v>3763238</v>
      </c>
    </row>
    <row r="194" spans="1:54" x14ac:dyDescent="0.35">
      <c r="A194">
        <v>110358</v>
      </c>
      <c r="B194">
        <v>725</v>
      </c>
      <c r="C194" t="s">
        <v>135</v>
      </c>
      <c r="D194" s="15">
        <v>701012160922252</v>
      </c>
      <c r="F194">
        <v>70</v>
      </c>
      <c r="G194" t="s">
        <v>136</v>
      </c>
      <c r="H194">
        <v>7010</v>
      </c>
      <c r="I194" t="s">
        <v>137</v>
      </c>
      <c r="K194" t="s">
        <v>138</v>
      </c>
      <c r="M194">
        <v>12160922252</v>
      </c>
      <c r="N194" t="s">
        <v>139</v>
      </c>
      <c r="O194">
        <v>12160922252</v>
      </c>
      <c r="P194" t="s">
        <v>140</v>
      </c>
      <c r="Q194" t="s">
        <v>141</v>
      </c>
      <c r="R194">
        <v>0</v>
      </c>
      <c r="S194">
        <v>30</v>
      </c>
      <c r="T194" t="s">
        <v>142</v>
      </c>
      <c r="U194" t="s">
        <v>143</v>
      </c>
      <c r="V194" t="s">
        <v>143</v>
      </c>
      <c r="W194" t="s">
        <v>143</v>
      </c>
      <c r="X194" t="s">
        <v>143</v>
      </c>
      <c r="AA194" t="s">
        <v>144</v>
      </c>
      <c r="AB194" t="s">
        <v>200</v>
      </c>
      <c r="AC194">
        <v>0</v>
      </c>
      <c r="AD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A194">
        <v>726828.00000000198</v>
      </c>
      <c r="BB194">
        <v>3763238</v>
      </c>
    </row>
    <row r="195" spans="1:54" x14ac:dyDescent="0.35">
      <c r="A195">
        <v>110357</v>
      </c>
      <c r="B195">
        <v>724</v>
      </c>
      <c r="C195" t="s">
        <v>135</v>
      </c>
      <c r="D195" s="15">
        <v>701012160922252</v>
      </c>
      <c r="F195">
        <v>70</v>
      </c>
      <c r="G195" t="s">
        <v>136</v>
      </c>
      <c r="H195">
        <v>7010</v>
      </c>
      <c r="I195" t="s">
        <v>137</v>
      </c>
      <c r="K195" t="s">
        <v>79</v>
      </c>
      <c r="M195">
        <v>12160922251</v>
      </c>
      <c r="N195" t="s">
        <v>139</v>
      </c>
      <c r="O195">
        <v>12160922251</v>
      </c>
      <c r="Q195" t="s">
        <v>141</v>
      </c>
      <c r="R195">
        <v>0</v>
      </c>
      <c r="S195">
        <v>30</v>
      </c>
      <c r="T195" t="s">
        <v>142</v>
      </c>
      <c r="AA195" t="s">
        <v>144</v>
      </c>
      <c r="AB195" t="s">
        <v>200</v>
      </c>
      <c r="AC195">
        <v>0</v>
      </c>
      <c r="AD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A195">
        <v>726840</v>
      </c>
      <c r="BB195">
        <v>3763265</v>
      </c>
    </row>
    <row r="196" spans="1:54" x14ac:dyDescent="0.35">
      <c r="A196">
        <v>110356</v>
      </c>
      <c r="B196">
        <v>723</v>
      </c>
      <c r="C196" t="s">
        <v>135</v>
      </c>
      <c r="D196" s="15">
        <v>701012160922251</v>
      </c>
      <c r="F196">
        <v>70</v>
      </c>
      <c r="G196" t="s">
        <v>136</v>
      </c>
      <c r="H196">
        <v>7010</v>
      </c>
      <c r="I196" t="s">
        <v>137</v>
      </c>
      <c r="K196" t="s">
        <v>138</v>
      </c>
      <c r="M196">
        <v>12160922251</v>
      </c>
      <c r="N196" t="s">
        <v>139</v>
      </c>
      <c r="O196">
        <v>12160922251</v>
      </c>
      <c r="P196" t="s">
        <v>140</v>
      </c>
      <c r="Q196" t="s">
        <v>141</v>
      </c>
      <c r="R196">
        <v>0</v>
      </c>
      <c r="S196">
        <v>30</v>
      </c>
      <c r="T196" t="s">
        <v>142</v>
      </c>
      <c r="U196" t="s">
        <v>143</v>
      </c>
      <c r="V196" t="s">
        <v>143</v>
      </c>
      <c r="W196" t="s">
        <v>143</v>
      </c>
      <c r="X196" t="s">
        <v>143</v>
      </c>
      <c r="AA196" t="s">
        <v>144</v>
      </c>
      <c r="AB196" t="s">
        <v>200</v>
      </c>
      <c r="AC196">
        <v>0</v>
      </c>
      <c r="AD196">
        <v>0</v>
      </c>
      <c r="AO196">
        <v>0</v>
      </c>
      <c r="AP196">
        <v>5</v>
      </c>
      <c r="AQ196">
        <v>8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A196">
        <v>726840</v>
      </c>
      <c r="BB196">
        <v>3763265</v>
      </c>
    </row>
    <row r="197" spans="1:54" x14ac:dyDescent="0.35">
      <c r="A197">
        <v>110355</v>
      </c>
      <c r="B197">
        <v>722</v>
      </c>
      <c r="C197" t="s">
        <v>135</v>
      </c>
      <c r="D197" s="15">
        <v>701012160922251</v>
      </c>
      <c r="F197">
        <v>70</v>
      </c>
      <c r="G197" t="s">
        <v>136</v>
      </c>
      <c r="H197">
        <v>7010</v>
      </c>
      <c r="I197" t="s">
        <v>137</v>
      </c>
      <c r="K197" t="s">
        <v>79</v>
      </c>
      <c r="M197">
        <v>12160922249</v>
      </c>
      <c r="N197" t="s">
        <v>139</v>
      </c>
      <c r="O197">
        <v>12160922249</v>
      </c>
      <c r="Q197" t="s">
        <v>141</v>
      </c>
      <c r="R197">
        <v>0</v>
      </c>
      <c r="T197" t="s">
        <v>146</v>
      </c>
      <c r="AA197" t="s">
        <v>144</v>
      </c>
      <c r="AB197" t="s">
        <v>200</v>
      </c>
      <c r="AC197">
        <v>0</v>
      </c>
      <c r="AD197">
        <v>0</v>
      </c>
      <c r="AE197" t="s">
        <v>147</v>
      </c>
      <c r="AF197" t="s">
        <v>148</v>
      </c>
      <c r="AG197" t="s">
        <v>149</v>
      </c>
      <c r="AH197" t="s">
        <v>161</v>
      </c>
      <c r="AJ197" t="s">
        <v>201</v>
      </c>
      <c r="AK197" t="s">
        <v>152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Z197" t="s">
        <v>202</v>
      </c>
      <c r="BA197">
        <v>726860</v>
      </c>
      <c r="BB197">
        <v>3763314</v>
      </c>
    </row>
    <row r="198" spans="1:54" x14ac:dyDescent="0.35">
      <c r="A198">
        <v>110354</v>
      </c>
      <c r="B198">
        <v>721</v>
      </c>
      <c r="C198" t="s">
        <v>135</v>
      </c>
      <c r="D198" s="15">
        <v>701012160922250</v>
      </c>
      <c r="F198">
        <v>70</v>
      </c>
      <c r="G198" t="s">
        <v>136</v>
      </c>
      <c r="H198">
        <v>7010</v>
      </c>
      <c r="I198" t="s">
        <v>137</v>
      </c>
      <c r="K198" t="s">
        <v>138</v>
      </c>
      <c r="M198">
        <v>12160922250</v>
      </c>
      <c r="N198" t="s">
        <v>139</v>
      </c>
      <c r="O198">
        <v>12160922250</v>
      </c>
      <c r="P198" t="s">
        <v>140</v>
      </c>
      <c r="Q198" t="s">
        <v>141</v>
      </c>
      <c r="R198">
        <v>0</v>
      </c>
      <c r="S198">
        <v>36</v>
      </c>
      <c r="T198" t="s">
        <v>142</v>
      </c>
      <c r="U198" t="s">
        <v>154</v>
      </c>
      <c r="V198" t="s">
        <v>154</v>
      </c>
      <c r="W198" t="s">
        <v>154</v>
      </c>
      <c r="X198" t="s">
        <v>154</v>
      </c>
      <c r="AA198" t="s">
        <v>144</v>
      </c>
      <c r="AB198" t="s">
        <v>200</v>
      </c>
      <c r="AC198">
        <v>0</v>
      </c>
      <c r="AD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A198">
        <v>726798.00000000105</v>
      </c>
      <c r="BB198">
        <v>3763313</v>
      </c>
    </row>
    <row r="199" spans="1:54" x14ac:dyDescent="0.35">
      <c r="A199">
        <v>110353</v>
      </c>
      <c r="B199">
        <v>720</v>
      </c>
      <c r="C199" t="s">
        <v>135</v>
      </c>
      <c r="D199" s="15">
        <v>701012160922250</v>
      </c>
      <c r="F199">
        <v>70</v>
      </c>
      <c r="G199" t="s">
        <v>136</v>
      </c>
      <c r="H199">
        <v>7010</v>
      </c>
      <c r="I199" t="s">
        <v>137</v>
      </c>
      <c r="K199" t="s">
        <v>79</v>
      </c>
      <c r="M199">
        <v>12150922239</v>
      </c>
      <c r="N199" t="s">
        <v>139</v>
      </c>
      <c r="O199">
        <v>12150922239</v>
      </c>
      <c r="Q199" t="s">
        <v>141</v>
      </c>
      <c r="R199">
        <v>0</v>
      </c>
      <c r="S199">
        <v>36</v>
      </c>
      <c r="T199" t="s">
        <v>142</v>
      </c>
      <c r="AA199" t="s">
        <v>144</v>
      </c>
      <c r="AB199" t="s">
        <v>200</v>
      </c>
      <c r="AC199">
        <v>0</v>
      </c>
      <c r="AD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A199">
        <v>726811.00000000105</v>
      </c>
      <c r="BB199">
        <v>3763338</v>
      </c>
    </row>
    <row r="200" spans="1:54" x14ac:dyDescent="0.35">
      <c r="A200">
        <v>110352</v>
      </c>
      <c r="B200">
        <v>719</v>
      </c>
      <c r="C200" t="s">
        <v>135</v>
      </c>
      <c r="D200" s="15">
        <v>701012150922239</v>
      </c>
      <c r="F200">
        <v>70</v>
      </c>
      <c r="G200" t="s">
        <v>136</v>
      </c>
      <c r="H200">
        <v>7010</v>
      </c>
      <c r="I200" t="s">
        <v>137</v>
      </c>
      <c r="K200" t="s">
        <v>138</v>
      </c>
      <c r="M200">
        <v>12150922239</v>
      </c>
      <c r="N200" t="s">
        <v>139</v>
      </c>
      <c r="O200">
        <v>12150922239</v>
      </c>
      <c r="P200" t="s">
        <v>140</v>
      </c>
      <c r="Q200" t="s">
        <v>141</v>
      </c>
      <c r="R200">
        <v>0</v>
      </c>
      <c r="S200">
        <v>36</v>
      </c>
      <c r="T200" t="s">
        <v>142</v>
      </c>
      <c r="U200" t="s">
        <v>143</v>
      </c>
      <c r="V200" t="s">
        <v>143</v>
      </c>
      <c r="W200" t="s">
        <v>143</v>
      </c>
      <c r="X200" t="s">
        <v>143</v>
      </c>
      <c r="AA200" t="s">
        <v>144</v>
      </c>
      <c r="AB200" t="s">
        <v>200</v>
      </c>
      <c r="AC200">
        <v>0</v>
      </c>
      <c r="AD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A200">
        <v>726811.00000000105</v>
      </c>
      <c r="BB200">
        <v>3763338</v>
      </c>
    </row>
    <row r="201" spans="1:54" x14ac:dyDescent="0.35">
      <c r="A201">
        <v>110351</v>
      </c>
      <c r="B201">
        <v>718</v>
      </c>
      <c r="C201" t="s">
        <v>135</v>
      </c>
      <c r="D201" s="15">
        <v>701012150922239</v>
      </c>
      <c r="F201">
        <v>70</v>
      </c>
      <c r="G201" t="s">
        <v>136</v>
      </c>
      <c r="H201">
        <v>7010</v>
      </c>
      <c r="I201" t="s">
        <v>137</v>
      </c>
      <c r="K201" t="s">
        <v>79</v>
      </c>
      <c r="M201">
        <v>12160922249</v>
      </c>
      <c r="N201" t="s">
        <v>139</v>
      </c>
      <c r="O201">
        <v>12160922249</v>
      </c>
      <c r="Q201" t="s">
        <v>141</v>
      </c>
      <c r="R201">
        <v>0</v>
      </c>
      <c r="T201" t="s">
        <v>146</v>
      </c>
      <c r="AA201" t="s">
        <v>144</v>
      </c>
      <c r="AB201" t="s">
        <v>200</v>
      </c>
      <c r="AC201">
        <v>0</v>
      </c>
      <c r="AD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A201">
        <v>726860</v>
      </c>
      <c r="BB201">
        <v>3763314</v>
      </c>
    </row>
    <row r="202" spans="1:54" x14ac:dyDescent="0.35">
      <c r="A202">
        <v>110350</v>
      </c>
      <c r="B202">
        <v>717</v>
      </c>
      <c r="C202" t="s">
        <v>135</v>
      </c>
      <c r="D202" s="15">
        <v>701012160922249</v>
      </c>
      <c r="F202">
        <v>70</v>
      </c>
      <c r="G202" t="s">
        <v>136</v>
      </c>
      <c r="H202">
        <v>7010</v>
      </c>
      <c r="I202" t="s">
        <v>137</v>
      </c>
      <c r="K202" t="s">
        <v>138</v>
      </c>
      <c r="M202">
        <v>12160922249</v>
      </c>
      <c r="N202" t="s">
        <v>139</v>
      </c>
      <c r="O202">
        <v>12160922249</v>
      </c>
      <c r="P202" t="s">
        <v>140</v>
      </c>
      <c r="Q202" t="s">
        <v>141</v>
      </c>
      <c r="R202">
        <v>0</v>
      </c>
      <c r="T202" t="s">
        <v>146</v>
      </c>
      <c r="U202" t="s">
        <v>143</v>
      </c>
      <c r="V202" t="s">
        <v>143</v>
      </c>
      <c r="W202" t="s">
        <v>143</v>
      </c>
      <c r="X202" t="s">
        <v>143</v>
      </c>
      <c r="AA202" t="s">
        <v>144</v>
      </c>
      <c r="AB202" t="s">
        <v>200</v>
      </c>
      <c r="AC202">
        <v>0</v>
      </c>
      <c r="AD202">
        <v>0</v>
      </c>
      <c r="AO202">
        <v>0</v>
      </c>
      <c r="AP202">
        <v>6</v>
      </c>
      <c r="AQ202">
        <v>5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A202">
        <v>726860</v>
      </c>
      <c r="BB202">
        <v>3763314</v>
      </c>
    </row>
    <row r="203" spans="1:54" x14ac:dyDescent="0.35">
      <c r="A203">
        <v>110349</v>
      </c>
      <c r="B203">
        <v>716</v>
      </c>
      <c r="C203" t="s">
        <v>135</v>
      </c>
      <c r="D203" s="15">
        <v>701012160922249</v>
      </c>
      <c r="F203">
        <v>70</v>
      </c>
      <c r="G203" t="s">
        <v>136</v>
      </c>
      <c r="H203">
        <v>7010</v>
      </c>
      <c r="I203" t="s">
        <v>137</v>
      </c>
      <c r="K203" t="s">
        <v>79</v>
      </c>
      <c r="M203">
        <v>12160922249</v>
      </c>
      <c r="N203" t="s">
        <v>139</v>
      </c>
      <c r="O203">
        <v>12160922249</v>
      </c>
      <c r="Q203" t="s">
        <v>141</v>
      </c>
      <c r="R203">
        <v>0</v>
      </c>
      <c r="T203" t="s">
        <v>146</v>
      </c>
      <c r="AA203" t="s">
        <v>144</v>
      </c>
      <c r="AB203" t="s">
        <v>200</v>
      </c>
      <c r="AC203">
        <v>0</v>
      </c>
      <c r="AD203">
        <v>0</v>
      </c>
      <c r="AE203" t="s">
        <v>147</v>
      </c>
      <c r="AF203" t="s">
        <v>148</v>
      </c>
      <c r="AG203" t="s">
        <v>149</v>
      </c>
      <c r="AH203" t="s">
        <v>161</v>
      </c>
      <c r="AJ203" t="s">
        <v>201</v>
      </c>
      <c r="AK203" t="s">
        <v>152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Z203" t="s">
        <v>202</v>
      </c>
      <c r="BA203">
        <v>726860</v>
      </c>
      <c r="BB203">
        <v>3763314</v>
      </c>
    </row>
    <row r="204" spans="1:54" x14ac:dyDescent="0.35">
      <c r="A204">
        <v>110348</v>
      </c>
      <c r="B204">
        <v>715</v>
      </c>
      <c r="C204" t="s">
        <v>135</v>
      </c>
      <c r="D204" s="15">
        <v>701012150922246</v>
      </c>
      <c r="F204">
        <v>70</v>
      </c>
      <c r="G204" t="s">
        <v>136</v>
      </c>
      <c r="H204">
        <v>7010</v>
      </c>
      <c r="I204" t="s">
        <v>137</v>
      </c>
      <c r="K204" t="s">
        <v>138</v>
      </c>
      <c r="M204">
        <v>12150922246</v>
      </c>
      <c r="N204" t="s">
        <v>139</v>
      </c>
      <c r="O204">
        <v>12150922246</v>
      </c>
      <c r="P204" t="s">
        <v>140</v>
      </c>
      <c r="Q204" t="s">
        <v>141</v>
      </c>
      <c r="R204">
        <v>0</v>
      </c>
      <c r="S204">
        <v>30</v>
      </c>
      <c r="T204" t="s">
        <v>142</v>
      </c>
      <c r="U204" t="s">
        <v>143</v>
      </c>
      <c r="V204" t="s">
        <v>143</v>
      </c>
      <c r="W204" t="s">
        <v>143</v>
      </c>
      <c r="X204" t="s">
        <v>143</v>
      </c>
      <c r="AA204" t="s">
        <v>144</v>
      </c>
      <c r="AB204" t="s">
        <v>203</v>
      </c>
      <c r="AC204">
        <v>0</v>
      </c>
      <c r="AD204">
        <v>0</v>
      </c>
      <c r="AO204">
        <v>0</v>
      </c>
      <c r="AP204">
        <v>0</v>
      </c>
      <c r="AQ204">
        <v>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A204">
        <v>726514.00000000105</v>
      </c>
      <c r="BB204">
        <v>3763450</v>
      </c>
    </row>
    <row r="205" spans="1:54" x14ac:dyDescent="0.35">
      <c r="A205">
        <v>110347</v>
      </c>
      <c r="B205">
        <v>714</v>
      </c>
      <c r="C205" t="s">
        <v>135</v>
      </c>
      <c r="D205" s="15">
        <v>701012150922246</v>
      </c>
      <c r="F205">
        <v>70</v>
      </c>
      <c r="G205" t="s">
        <v>136</v>
      </c>
      <c r="H205">
        <v>7010</v>
      </c>
      <c r="I205" t="s">
        <v>137</v>
      </c>
      <c r="K205" t="s">
        <v>79</v>
      </c>
      <c r="M205">
        <v>12150922245</v>
      </c>
      <c r="N205" t="s">
        <v>139</v>
      </c>
      <c r="O205">
        <v>12150922245</v>
      </c>
      <c r="Q205" t="s">
        <v>141</v>
      </c>
      <c r="R205">
        <v>0</v>
      </c>
      <c r="S205">
        <v>30</v>
      </c>
      <c r="T205" t="s">
        <v>142</v>
      </c>
      <c r="AA205" t="s">
        <v>144</v>
      </c>
      <c r="AB205" t="s">
        <v>203</v>
      </c>
      <c r="AC205">
        <v>0</v>
      </c>
      <c r="AD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A205">
        <v>726534.00000000198</v>
      </c>
      <c r="BB205">
        <v>3763467</v>
      </c>
    </row>
    <row r="206" spans="1:54" x14ac:dyDescent="0.35">
      <c r="A206">
        <v>110346</v>
      </c>
      <c r="B206">
        <v>713</v>
      </c>
      <c r="C206" t="s">
        <v>135</v>
      </c>
      <c r="D206" s="15">
        <v>701012150922245</v>
      </c>
      <c r="F206">
        <v>70</v>
      </c>
      <c r="G206" t="s">
        <v>136</v>
      </c>
      <c r="H206">
        <v>7010</v>
      </c>
      <c r="I206" t="s">
        <v>137</v>
      </c>
      <c r="K206" t="s">
        <v>138</v>
      </c>
      <c r="M206">
        <v>12150922245</v>
      </c>
      <c r="N206" t="s">
        <v>139</v>
      </c>
      <c r="O206">
        <v>12150922245</v>
      </c>
      <c r="P206" t="s">
        <v>140</v>
      </c>
      <c r="Q206" t="s">
        <v>141</v>
      </c>
      <c r="R206">
        <v>0</v>
      </c>
      <c r="S206">
        <v>30</v>
      </c>
      <c r="T206" t="s">
        <v>142</v>
      </c>
      <c r="U206" t="s">
        <v>143</v>
      </c>
      <c r="V206" t="s">
        <v>143</v>
      </c>
      <c r="W206" t="s">
        <v>143</v>
      </c>
      <c r="X206" t="s">
        <v>143</v>
      </c>
      <c r="AA206" t="s">
        <v>144</v>
      </c>
      <c r="AB206" t="s">
        <v>203</v>
      </c>
      <c r="AC206">
        <v>0</v>
      </c>
      <c r="AD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A206">
        <v>726534.00000000198</v>
      </c>
      <c r="BB206">
        <v>3763467</v>
      </c>
    </row>
    <row r="207" spans="1:54" x14ac:dyDescent="0.35">
      <c r="A207">
        <v>110345</v>
      </c>
      <c r="B207">
        <v>712</v>
      </c>
      <c r="C207" t="s">
        <v>135</v>
      </c>
      <c r="D207" s="15">
        <v>701012150922245</v>
      </c>
      <c r="F207">
        <v>70</v>
      </c>
      <c r="G207" t="s">
        <v>136</v>
      </c>
      <c r="H207">
        <v>7010</v>
      </c>
      <c r="I207" t="s">
        <v>137</v>
      </c>
      <c r="K207" t="s">
        <v>79</v>
      </c>
      <c r="M207">
        <v>12150922244</v>
      </c>
      <c r="N207" t="s">
        <v>139</v>
      </c>
      <c r="O207">
        <v>12150922244</v>
      </c>
      <c r="Q207" t="s">
        <v>141</v>
      </c>
      <c r="R207">
        <v>0</v>
      </c>
      <c r="S207">
        <v>30</v>
      </c>
      <c r="T207" t="s">
        <v>142</v>
      </c>
      <c r="AA207" t="s">
        <v>144</v>
      </c>
      <c r="AB207" t="s">
        <v>203</v>
      </c>
      <c r="AC207">
        <v>0</v>
      </c>
      <c r="AD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A207">
        <v>726566</v>
      </c>
      <c r="BB207">
        <v>3763453</v>
      </c>
    </row>
    <row r="208" spans="1:54" x14ac:dyDescent="0.35">
      <c r="A208">
        <v>110344</v>
      </c>
      <c r="B208">
        <v>711</v>
      </c>
      <c r="C208" t="s">
        <v>135</v>
      </c>
      <c r="D208" s="15">
        <v>701012150922244</v>
      </c>
      <c r="F208">
        <v>70</v>
      </c>
      <c r="G208" t="s">
        <v>136</v>
      </c>
      <c r="H208">
        <v>7010</v>
      </c>
      <c r="I208" t="s">
        <v>137</v>
      </c>
      <c r="K208" t="s">
        <v>138</v>
      </c>
      <c r="M208">
        <v>12150922244</v>
      </c>
      <c r="N208" t="s">
        <v>139</v>
      </c>
      <c r="O208">
        <v>12150922244</v>
      </c>
      <c r="P208" t="s">
        <v>140</v>
      </c>
      <c r="Q208" t="s">
        <v>141</v>
      </c>
      <c r="R208">
        <v>0</v>
      </c>
      <c r="S208">
        <v>30</v>
      </c>
      <c r="T208" t="s">
        <v>142</v>
      </c>
      <c r="U208" t="s">
        <v>143</v>
      </c>
      <c r="V208" t="s">
        <v>143</v>
      </c>
      <c r="W208" t="s">
        <v>143</v>
      </c>
      <c r="X208" t="s">
        <v>143</v>
      </c>
      <c r="AA208" t="s">
        <v>144</v>
      </c>
      <c r="AB208" t="s">
        <v>203</v>
      </c>
      <c r="AC208">
        <v>0</v>
      </c>
      <c r="AD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A208">
        <v>726566</v>
      </c>
      <c r="BB208">
        <v>3763453</v>
      </c>
    </row>
    <row r="209" spans="1:54" x14ac:dyDescent="0.35">
      <c r="A209">
        <v>110343</v>
      </c>
      <c r="B209">
        <v>710</v>
      </c>
      <c r="C209" t="s">
        <v>135</v>
      </c>
      <c r="D209" s="15">
        <v>701012150922244</v>
      </c>
      <c r="F209">
        <v>70</v>
      </c>
      <c r="G209" t="s">
        <v>136</v>
      </c>
      <c r="H209">
        <v>7010</v>
      </c>
      <c r="I209" t="s">
        <v>137</v>
      </c>
      <c r="K209" t="s">
        <v>79</v>
      </c>
      <c r="M209">
        <v>12150922243</v>
      </c>
      <c r="N209" t="s">
        <v>139</v>
      </c>
      <c r="O209">
        <v>12150922243</v>
      </c>
      <c r="Q209" t="s">
        <v>141</v>
      </c>
      <c r="R209">
        <v>0</v>
      </c>
      <c r="S209">
        <v>36</v>
      </c>
      <c r="T209" t="s">
        <v>142</v>
      </c>
      <c r="AA209" t="s">
        <v>144</v>
      </c>
      <c r="AB209" t="s">
        <v>203</v>
      </c>
      <c r="AC209">
        <v>0</v>
      </c>
      <c r="AD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A209">
        <v>726597</v>
      </c>
      <c r="BB209">
        <v>3763437</v>
      </c>
    </row>
    <row r="210" spans="1:54" x14ac:dyDescent="0.35">
      <c r="A210">
        <v>110342</v>
      </c>
      <c r="B210">
        <v>709</v>
      </c>
      <c r="C210" t="s">
        <v>135</v>
      </c>
      <c r="D210" s="15">
        <v>701012150922243</v>
      </c>
      <c r="F210">
        <v>70</v>
      </c>
      <c r="G210" t="s">
        <v>136</v>
      </c>
      <c r="H210">
        <v>7010</v>
      </c>
      <c r="I210" t="s">
        <v>137</v>
      </c>
      <c r="K210" t="s">
        <v>138</v>
      </c>
      <c r="M210">
        <v>12150922243</v>
      </c>
      <c r="N210" t="s">
        <v>139</v>
      </c>
      <c r="O210">
        <v>12150922243</v>
      </c>
      <c r="P210" t="s">
        <v>140</v>
      </c>
      <c r="Q210" t="s">
        <v>141</v>
      </c>
      <c r="R210">
        <v>0</v>
      </c>
      <c r="S210">
        <v>36</v>
      </c>
      <c r="T210" t="s">
        <v>142</v>
      </c>
      <c r="U210" t="s">
        <v>154</v>
      </c>
      <c r="V210" t="s">
        <v>154</v>
      </c>
      <c r="W210" t="s">
        <v>154</v>
      </c>
      <c r="X210" t="s">
        <v>154</v>
      </c>
      <c r="AA210" t="s">
        <v>144</v>
      </c>
      <c r="AB210" t="s">
        <v>203</v>
      </c>
      <c r="AC210">
        <v>0</v>
      </c>
      <c r="AD210">
        <v>0</v>
      </c>
      <c r="AO210">
        <v>0</v>
      </c>
      <c r="AP210">
        <v>2</v>
      </c>
      <c r="AQ210">
        <v>4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A210">
        <v>726597</v>
      </c>
      <c r="BB210">
        <v>3763437</v>
      </c>
    </row>
    <row r="211" spans="1:54" x14ac:dyDescent="0.35">
      <c r="A211">
        <v>110341</v>
      </c>
      <c r="B211">
        <v>708</v>
      </c>
      <c r="C211" t="s">
        <v>135</v>
      </c>
      <c r="D211" s="15">
        <v>701012150922243</v>
      </c>
      <c r="F211">
        <v>70</v>
      </c>
      <c r="G211" t="s">
        <v>136</v>
      </c>
      <c r="H211">
        <v>7010</v>
      </c>
      <c r="I211" t="s">
        <v>137</v>
      </c>
      <c r="K211" t="s">
        <v>79</v>
      </c>
      <c r="M211">
        <v>12150922242</v>
      </c>
      <c r="N211" t="s">
        <v>139</v>
      </c>
      <c r="O211">
        <v>12150922242</v>
      </c>
      <c r="Q211" t="s">
        <v>141</v>
      </c>
      <c r="R211">
        <v>0</v>
      </c>
      <c r="S211">
        <v>36</v>
      </c>
      <c r="T211" t="s">
        <v>142</v>
      </c>
      <c r="AA211" t="s">
        <v>144</v>
      </c>
      <c r="AB211" t="s">
        <v>203</v>
      </c>
      <c r="AC211">
        <v>0</v>
      </c>
      <c r="AD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A211">
        <v>726629.00000000105</v>
      </c>
      <c r="BB211">
        <v>3763428</v>
      </c>
    </row>
    <row r="212" spans="1:54" x14ac:dyDescent="0.35">
      <c r="A212">
        <v>110340</v>
      </c>
      <c r="B212">
        <v>707</v>
      </c>
      <c r="C212" t="s">
        <v>135</v>
      </c>
      <c r="D212" s="15">
        <v>701012150922238</v>
      </c>
      <c r="F212">
        <v>70</v>
      </c>
      <c r="G212" t="s">
        <v>136</v>
      </c>
      <c r="H212">
        <v>7010</v>
      </c>
      <c r="I212" t="s">
        <v>137</v>
      </c>
      <c r="K212" t="s">
        <v>138</v>
      </c>
      <c r="M212">
        <v>12150922238</v>
      </c>
      <c r="N212" t="s">
        <v>139</v>
      </c>
      <c r="O212">
        <v>12150922238</v>
      </c>
      <c r="P212" t="s">
        <v>140</v>
      </c>
      <c r="Q212" t="s">
        <v>141</v>
      </c>
      <c r="R212">
        <v>0</v>
      </c>
      <c r="S212">
        <v>36</v>
      </c>
      <c r="T212" t="s">
        <v>142</v>
      </c>
      <c r="U212" t="s">
        <v>143</v>
      </c>
      <c r="V212" t="s">
        <v>143</v>
      </c>
      <c r="W212" t="s">
        <v>143</v>
      </c>
      <c r="X212" t="s">
        <v>143</v>
      </c>
      <c r="AA212" t="s">
        <v>144</v>
      </c>
      <c r="AB212" t="s">
        <v>203</v>
      </c>
      <c r="AC212">
        <v>0</v>
      </c>
      <c r="AD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A212">
        <v>726682</v>
      </c>
      <c r="BB212">
        <v>3763397</v>
      </c>
    </row>
    <row r="213" spans="1:54" x14ac:dyDescent="0.35">
      <c r="A213">
        <v>110339</v>
      </c>
      <c r="B213">
        <v>706</v>
      </c>
      <c r="C213" t="s">
        <v>135</v>
      </c>
      <c r="D213" s="15">
        <v>701012150922238</v>
      </c>
      <c r="F213">
        <v>70</v>
      </c>
      <c r="G213" t="s">
        <v>136</v>
      </c>
      <c r="H213">
        <v>7010</v>
      </c>
      <c r="I213" t="s">
        <v>137</v>
      </c>
      <c r="K213" t="s">
        <v>79</v>
      </c>
      <c r="M213">
        <v>12150922242</v>
      </c>
      <c r="N213" t="s">
        <v>139</v>
      </c>
      <c r="O213">
        <v>12150922242</v>
      </c>
      <c r="Q213" t="s">
        <v>141</v>
      </c>
      <c r="R213">
        <v>0</v>
      </c>
      <c r="S213">
        <v>36</v>
      </c>
      <c r="T213" t="s">
        <v>142</v>
      </c>
      <c r="AA213" t="s">
        <v>144</v>
      </c>
      <c r="AB213" t="s">
        <v>203</v>
      </c>
      <c r="AC213">
        <v>0</v>
      </c>
      <c r="AD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A213">
        <v>726629.00000000105</v>
      </c>
      <c r="BB213">
        <v>3763428</v>
      </c>
    </row>
    <row r="214" spans="1:54" x14ac:dyDescent="0.35">
      <c r="A214">
        <v>110338</v>
      </c>
      <c r="B214">
        <v>705</v>
      </c>
      <c r="C214" t="s">
        <v>135</v>
      </c>
      <c r="D214" s="15">
        <v>701012150922242</v>
      </c>
      <c r="F214">
        <v>70</v>
      </c>
      <c r="G214" t="s">
        <v>136</v>
      </c>
      <c r="H214">
        <v>7010</v>
      </c>
      <c r="I214" t="s">
        <v>137</v>
      </c>
      <c r="K214" t="s">
        <v>138</v>
      </c>
      <c r="M214">
        <v>12150922242</v>
      </c>
      <c r="N214" t="s">
        <v>139</v>
      </c>
      <c r="O214">
        <v>12150922242</v>
      </c>
      <c r="P214" t="s">
        <v>140</v>
      </c>
      <c r="Q214" t="s">
        <v>141</v>
      </c>
      <c r="R214">
        <v>0</v>
      </c>
      <c r="S214">
        <v>36</v>
      </c>
      <c r="T214" t="s">
        <v>142</v>
      </c>
      <c r="U214" t="s">
        <v>154</v>
      </c>
      <c r="V214" t="s">
        <v>154</v>
      </c>
      <c r="W214" t="s">
        <v>154</v>
      </c>
      <c r="X214" t="s">
        <v>154</v>
      </c>
      <c r="AA214" t="s">
        <v>144</v>
      </c>
      <c r="AB214" t="s">
        <v>203</v>
      </c>
      <c r="AC214">
        <v>0</v>
      </c>
      <c r="AD214">
        <v>0</v>
      </c>
      <c r="AO214">
        <v>0</v>
      </c>
      <c r="AP214">
        <v>2</v>
      </c>
      <c r="AQ214">
        <v>6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A214">
        <v>726629.00000000105</v>
      </c>
      <c r="BB214">
        <v>3763428</v>
      </c>
    </row>
    <row r="215" spans="1:54" x14ac:dyDescent="0.35">
      <c r="A215">
        <v>110337</v>
      </c>
      <c r="B215">
        <v>704</v>
      </c>
      <c r="C215" t="s">
        <v>135</v>
      </c>
      <c r="D215" s="15">
        <v>701012150922242</v>
      </c>
      <c r="F215">
        <v>70</v>
      </c>
      <c r="G215" t="s">
        <v>136</v>
      </c>
      <c r="H215">
        <v>7010</v>
      </c>
      <c r="I215" t="s">
        <v>137</v>
      </c>
      <c r="K215" t="s">
        <v>79</v>
      </c>
      <c r="M215">
        <v>12150922242</v>
      </c>
      <c r="N215" t="s">
        <v>139</v>
      </c>
      <c r="O215">
        <v>12150922242</v>
      </c>
      <c r="Q215" t="s">
        <v>141</v>
      </c>
      <c r="R215">
        <v>0</v>
      </c>
      <c r="S215">
        <v>36</v>
      </c>
      <c r="T215" t="s">
        <v>142</v>
      </c>
      <c r="AA215" t="s">
        <v>144</v>
      </c>
      <c r="AB215" t="s">
        <v>203</v>
      </c>
      <c r="AC215">
        <v>0</v>
      </c>
      <c r="AD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204</v>
      </c>
      <c r="BA215">
        <v>726629.00000000105</v>
      </c>
      <c r="BB215">
        <v>3763428</v>
      </c>
    </row>
    <row r="216" spans="1:54" x14ac:dyDescent="0.35">
      <c r="A216">
        <v>110336</v>
      </c>
      <c r="B216">
        <v>703</v>
      </c>
      <c r="C216" t="s">
        <v>135</v>
      </c>
      <c r="D216" s="15">
        <v>701012150922239</v>
      </c>
      <c r="F216">
        <v>70</v>
      </c>
      <c r="G216" t="s">
        <v>136</v>
      </c>
      <c r="H216">
        <v>7010</v>
      </c>
      <c r="I216" t="s">
        <v>137</v>
      </c>
      <c r="K216" t="s">
        <v>138</v>
      </c>
      <c r="M216">
        <v>12150922239</v>
      </c>
      <c r="N216" t="s">
        <v>139</v>
      </c>
      <c r="O216">
        <v>12150922239</v>
      </c>
      <c r="P216" t="s">
        <v>140</v>
      </c>
      <c r="Q216" t="s">
        <v>141</v>
      </c>
      <c r="R216">
        <v>0</v>
      </c>
      <c r="S216">
        <v>36</v>
      </c>
      <c r="T216" t="s">
        <v>142</v>
      </c>
      <c r="U216" t="s">
        <v>143</v>
      </c>
      <c r="V216" t="s">
        <v>143</v>
      </c>
      <c r="W216" t="s">
        <v>143</v>
      </c>
      <c r="X216" t="s">
        <v>143</v>
      </c>
      <c r="AA216" t="s">
        <v>144</v>
      </c>
      <c r="AB216" t="s">
        <v>203</v>
      </c>
      <c r="AC216">
        <v>0</v>
      </c>
      <c r="AD216">
        <v>0</v>
      </c>
      <c r="AO216">
        <v>0</v>
      </c>
      <c r="AP216">
        <v>2</v>
      </c>
      <c r="AQ216">
        <v>6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A216">
        <v>726811.00000000105</v>
      </c>
      <c r="BB216">
        <v>3763338</v>
      </c>
    </row>
    <row r="217" spans="1:54" x14ac:dyDescent="0.35">
      <c r="A217">
        <v>110335</v>
      </c>
      <c r="B217">
        <v>702</v>
      </c>
      <c r="C217" t="s">
        <v>135</v>
      </c>
      <c r="D217" s="15">
        <v>701012150922239</v>
      </c>
      <c r="F217">
        <v>70</v>
      </c>
      <c r="G217" t="s">
        <v>136</v>
      </c>
      <c r="H217">
        <v>7010</v>
      </c>
      <c r="I217" t="s">
        <v>137</v>
      </c>
      <c r="K217" t="s">
        <v>79</v>
      </c>
      <c r="M217">
        <v>12150922234</v>
      </c>
      <c r="N217" t="s">
        <v>139</v>
      </c>
      <c r="O217">
        <v>12150922234</v>
      </c>
      <c r="Q217" t="s">
        <v>141</v>
      </c>
      <c r="R217">
        <v>0</v>
      </c>
      <c r="S217">
        <v>36</v>
      </c>
      <c r="T217" t="s">
        <v>142</v>
      </c>
      <c r="AA217" t="s">
        <v>144</v>
      </c>
      <c r="AB217" t="s">
        <v>203</v>
      </c>
      <c r="AC217">
        <v>0</v>
      </c>
      <c r="AD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A217">
        <v>726765.00000000105</v>
      </c>
      <c r="BB217">
        <v>3763361</v>
      </c>
    </row>
    <row r="218" spans="1:54" x14ac:dyDescent="0.35">
      <c r="A218">
        <v>110334</v>
      </c>
      <c r="B218">
        <v>701</v>
      </c>
      <c r="C218" t="s">
        <v>135</v>
      </c>
      <c r="D218" s="15">
        <v>701012150922238</v>
      </c>
      <c r="F218">
        <v>70</v>
      </c>
      <c r="G218" t="s">
        <v>136</v>
      </c>
      <c r="H218">
        <v>7010</v>
      </c>
      <c r="I218" t="s">
        <v>137</v>
      </c>
      <c r="K218" t="s">
        <v>138</v>
      </c>
      <c r="M218">
        <v>12150922238</v>
      </c>
      <c r="N218" t="s">
        <v>139</v>
      </c>
      <c r="O218">
        <v>12150922238</v>
      </c>
      <c r="P218" t="s">
        <v>140</v>
      </c>
      <c r="Q218" t="s">
        <v>141</v>
      </c>
      <c r="R218">
        <v>0</v>
      </c>
      <c r="S218">
        <v>36</v>
      </c>
      <c r="T218" t="s">
        <v>142</v>
      </c>
      <c r="U218" t="s">
        <v>143</v>
      </c>
      <c r="V218" t="s">
        <v>143</v>
      </c>
      <c r="W218" t="s">
        <v>143</v>
      </c>
      <c r="X218" t="s">
        <v>143</v>
      </c>
      <c r="AA218" t="s">
        <v>144</v>
      </c>
      <c r="AB218" t="s">
        <v>203</v>
      </c>
      <c r="AC218">
        <v>0</v>
      </c>
      <c r="AD218">
        <v>0</v>
      </c>
      <c r="AO218">
        <v>0</v>
      </c>
      <c r="AP218">
        <v>5</v>
      </c>
      <c r="AQ218">
        <v>8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A218">
        <v>726682</v>
      </c>
      <c r="BB218">
        <v>3763397</v>
      </c>
    </row>
    <row r="219" spans="1:54" x14ac:dyDescent="0.35">
      <c r="A219">
        <v>110333</v>
      </c>
      <c r="B219">
        <v>700</v>
      </c>
      <c r="C219" t="s">
        <v>135</v>
      </c>
      <c r="D219" s="15">
        <v>701012150922238</v>
      </c>
      <c r="F219">
        <v>70</v>
      </c>
      <c r="G219" t="s">
        <v>136</v>
      </c>
      <c r="H219">
        <v>7010</v>
      </c>
      <c r="I219" t="s">
        <v>137</v>
      </c>
      <c r="K219" t="s">
        <v>79</v>
      </c>
      <c r="M219">
        <v>12150922237</v>
      </c>
      <c r="N219" t="s">
        <v>139</v>
      </c>
      <c r="O219">
        <v>12150922237</v>
      </c>
      <c r="Q219" t="s">
        <v>141</v>
      </c>
      <c r="R219">
        <v>0</v>
      </c>
      <c r="T219" t="s">
        <v>146</v>
      </c>
      <c r="AA219" t="s">
        <v>144</v>
      </c>
      <c r="AB219" t="s">
        <v>203</v>
      </c>
      <c r="AC219">
        <v>0</v>
      </c>
      <c r="AD219">
        <v>0</v>
      </c>
      <c r="AE219" t="s">
        <v>147</v>
      </c>
      <c r="AF219" t="s">
        <v>148</v>
      </c>
      <c r="AG219" t="s">
        <v>149</v>
      </c>
      <c r="AH219" t="s">
        <v>182</v>
      </c>
      <c r="AJ219" t="s">
        <v>205</v>
      </c>
      <c r="AK219" t="s">
        <v>186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Z219" t="s">
        <v>206</v>
      </c>
      <c r="BA219">
        <v>726727.4</v>
      </c>
      <c r="BB219">
        <v>3763377.8</v>
      </c>
    </row>
    <row r="220" spans="1:54" x14ac:dyDescent="0.35">
      <c r="A220">
        <v>110332</v>
      </c>
      <c r="B220">
        <v>699</v>
      </c>
      <c r="C220" t="s">
        <v>135</v>
      </c>
      <c r="D220" s="15">
        <v>701012150922221</v>
      </c>
      <c r="F220">
        <v>70</v>
      </c>
      <c r="G220" t="s">
        <v>136</v>
      </c>
      <c r="H220">
        <v>7010</v>
      </c>
      <c r="I220" t="s">
        <v>137</v>
      </c>
      <c r="K220" t="s">
        <v>138</v>
      </c>
      <c r="M220">
        <v>12150922221</v>
      </c>
      <c r="N220" t="s">
        <v>139</v>
      </c>
      <c r="O220">
        <v>12150922221</v>
      </c>
      <c r="P220" t="s">
        <v>140</v>
      </c>
      <c r="Q220" t="s">
        <v>141</v>
      </c>
      <c r="R220">
        <v>0</v>
      </c>
      <c r="S220">
        <v>36</v>
      </c>
      <c r="T220" t="s">
        <v>142</v>
      </c>
      <c r="U220" t="s">
        <v>143</v>
      </c>
      <c r="V220" t="s">
        <v>143</v>
      </c>
      <c r="W220" t="s">
        <v>143</v>
      </c>
      <c r="X220" t="s">
        <v>143</v>
      </c>
      <c r="AA220" t="s">
        <v>144</v>
      </c>
      <c r="AB220" t="s">
        <v>203</v>
      </c>
      <c r="AC220">
        <v>0</v>
      </c>
      <c r="AD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A220">
        <v>726792</v>
      </c>
      <c r="BB220">
        <v>3763415</v>
      </c>
    </row>
    <row r="221" spans="1:54" x14ac:dyDescent="0.35">
      <c r="A221">
        <v>110331</v>
      </c>
      <c r="B221">
        <v>698</v>
      </c>
      <c r="C221" t="s">
        <v>135</v>
      </c>
      <c r="D221" s="15">
        <v>701012150922221</v>
      </c>
      <c r="F221">
        <v>70</v>
      </c>
      <c r="G221" t="s">
        <v>136</v>
      </c>
      <c r="H221">
        <v>7010</v>
      </c>
      <c r="I221" t="s">
        <v>137</v>
      </c>
      <c r="K221" t="s">
        <v>79</v>
      </c>
      <c r="M221">
        <v>12150922233</v>
      </c>
      <c r="N221" t="s">
        <v>139</v>
      </c>
      <c r="O221">
        <v>12150922233</v>
      </c>
      <c r="Q221" t="s">
        <v>141</v>
      </c>
      <c r="R221">
        <v>0</v>
      </c>
      <c r="S221">
        <v>36</v>
      </c>
      <c r="T221" t="s">
        <v>142</v>
      </c>
      <c r="AA221" t="s">
        <v>144</v>
      </c>
      <c r="AB221" t="s">
        <v>203</v>
      </c>
      <c r="AC221">
        <v>0</v>
      </c>
      <c r="AD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A221">
        <v>726767.00000000105</v>
      </c>
      <c r="BB221">
        <v>3763377</v>
      </c>
    </row>
    <row r="222" spans="1:54" x14ac:dyDescent="0.35">
      <c r="A222">
        <v>110330</v>
      </c>
      <c r="B222">
        <v>697</v>
      </c>
      <c r="C222" t="s">
        <v>135</v>
      </c>
      <c r="D222" s="15">
        <v>701012150922233</v>
      </c>
      <c r="F222">
        <v>70</v>
      </c>
      <c r="G222" t="s">
        <v>136</v>
      </c>
      <c r="H222">
        <v>7010</v>
      </c>
      <c r="I222" t="s">
        <v>137</v>
      </c>
      <c r="K222" t="s">
        <v>138</v>
      </c>
      <c r="M222">
        <v>12150922233</v>
      </c>
      <c r="N222" t="s">
        <v>139</v>
      </c>
      <c r="O222">
        <v>12150922233</v>
      </c>
      <c r="P222" t="s">
        <v>140</v>
      </c>
      <c r="Q222" t="s">
        <v>141</v>
      </c>
      <c r="R222">
        <v>0</v>
      </c>
      <c r="S222">
        <v>36</v>
      </c>
      <c r="T222" t="s">
        <v>142</v>
      </c>
      <c r="U222" t="s">
        <v>143</v>
      </c>
      <c r="V222" t="s">
        <v>143</v>
      </c>
      <c r="W222" t="s">
        <v>143</v>
      </c>
      <c r="X222" t="s">
        <v>143</v>
      </c>
      <c r="AA222" t="s">
        <v>144</v>
      </c>
      <c r="AB222" t="s">
        <v>203</v>
      </c>
      <c r="AC222">
        <v>0</v>
      </c>
      <c r="AD222">
        <v>0</v>
      </c>
      <c r="AO222">
        <v>0</v>
      </c>
      <c r="AP222">
        <v>2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A222">
        <v>726767.00000000105</v>
      </c>
      <c r="BB222">
        <v>3763377</v>
      </c>
    </row>
    <row r="223" spans="1:54" x14ac:dyDescent="0.35">
      <c r="A223">
        <v>110329</v>
      </c>
      <c r="B223">
        <v>696</v>
      </c>
      <c r="C223" t="s">
        <v>135</v>
      </c>
      <c r="D223" s="15">
        <v>701012150922233</v>
      </c>
      <c r="F223">
        <v>70</v>
      </c>
      <c r="G223" t="s">
        <v>136</v>
      </c>
      <c r="H223">
        <v>7010</v>
      </c>
      <c r="I223" t="s">
        <v>137</v>
      </c>
      <c r="K223" t="s">
        <v>79</v>
      </c>
      <c r="M223">
        <v>12150922234</v>
      </c>
      <c r="N223" t="s">
        <v>139</v>
      </c>
      <c r="O223">
        <v>12150922234</v>
      </c>
      <c r="Q223" t="s">
        <v>141</v>
      </c>
      <c r="R223">
        <v>0</v>
      </c>
      <c r="S223">
        <v>36</v>
      </c>
      <c r="T223" t="s">
        <v>142</v>
      </c>
      <c r="AA223" t="s">
        <v>144</v>
      </c>
      <c r="AB223" t="s">
        <v>203</v>
      </c>
      <c r="AC223">
        <v>0</v>
      </c>
      <c r="AD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A223">
        <v>726765.00000000105</v>
      </c>
      <c r="BB223">
        <v>3763361</v>
      </c>
    </row>
    <row r="224" spans="1:54" x14ac:dyDescent="0.35">
      <c r="A224">
        <v>110328</v>
      </c>
      <c r="B224">
        <v>695</v>
      </c>
      <c r="C224" t="s">
        <v>135</v>
      </c>
      <c r="D224" s="15">
        <v>701012150922234</v>
      </c>
      <c r="F224">
        <v>70</v>
      </c>
      <c r="G224" t="s">
        <v>136</v>
      </c>
      <c r="H224">
        <v>7010</v>
      </c>
      <c r="I224" t="s">
        <v>137</v>
      </c>
      <c r="K224" t="s">
        <v>138</v>
      </c>
      <c r="M224">
        <v>12150922234</v>
      </c>
      <c r="N224" t="s">
        <v>139</v>
      </c>
      <c r="O224">
        <v>12150922234</v>
      </c>
      <c r="P224" t="s">
        <v>140</v>
      </c>
      <c r="Q224" t="s">
        <v>141</v>
      </c>
      <c r="R224">
        <v>0</v>
      </c>
      <c r="S224">
        <v>36</v>
      </c>
      <c r="T224" t="s">
        <v>142</v>
      </c>
      <c r="U224" t="s">
        <v>143</v>
      </c>
      <c r="V224" t="s">
        <v>143</v>
      </c>
      <c r="W224" t="s">
        <v>143</v>
      </c>
      <c r="X224" t="s">
        <v>143</v>
      </c>
      <c r="AA224" t="s">
        <v>144</v>
      </c>
      <c r="AB224" t="s">
        <v>203</v>
      </c>
      <c r="AC224">
        <v>0</v>
      </c>
      <c r="AD224">
        <v>0</v>
      </c>
      <c r="AO224">
        <v>0</v>
      </c>
      <c r="AP224">
        <v>2</v>
      </c>
      <c r="AQ224">
        <v>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A224">
        <v>726765.00000000105</v>
      </c>
      <c r="BB224">
        <v>3763361</v>
      </c>
    </row>
    <row r="225" spans="1:54" x14ac:dyDescent="0.35">
      <c r="A225">
        <v>110327</v>
      </c>
      <c r="B225">
        <v>694</v>
      </c>
      <c r="C225" t="s">
        <v>135</v>
      </c>
      <c r="D225" s="15">
        <v>701012150922234</v>
      </c>
      <c r="F225">
        <v>70</v>
      </c>
      <c r="G225" t="s">
        <v>136</v>
      </c>
      <c r="H225">
        <v>7010</v>
      </c>
      <c r="I225" t="s">
        <v>137</v>
      </c>
      <c r="K225" t="s">
        <v>79</v>
      </c>
      <c r="M225">
        <v>12150922237</v>
      </c>
      <c r="N225" t="s">
        <v>139</v>
      </c>
      <c r="O225">
        <v>12150922237</v>
      </c>
      <c r="Q225" t="s">
        <v>141</v>
      </c>
      <c r="R225">
        <v>0</v>
      </c>
      <c r="T225" t="s">
        <v>146</v>
      </c>
      <c r="AA225" t="s">
        <v>144</v>
      </c>
      <c r="AB225" t="s">
        <v>203</v>
      </c>
      <c r="AC225">
        <v>0</v>
      </c>
      <c r="AD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A225">
        <v>726727.4</v>
      </c>
      <c r="BB225">
        <v>3763377.8</v>
      </c>
    </row>
    <row r="226" spans="1:54" x14ac:dyDescent="0.35">
      <c r="A226">
        <v>110326</v>
      </c>
      <c r="B226">
        <v>693</v>
      </c>
      <c r="C226" t="s">
        <v>135</v>
      </c>
      <c r="D226" s="15">
        <v>701012150922237</v>
      </c>
      <c r="F226">
        <v>70</v>
      </c>
      <c r="G226" t="s">
        <v>136</v>
      </c>
      <c r="H226">
        <v>7010</v>
      </c>
      <c r="I226" t="s">
        <v>137</v>
      </c>
      <c r="K226" t="s">
        <v>138</v>
      </c>
      <c r="M226">
        <v>12150922237</v>
      </c>
      <c r="N226" t="s">
        <v>139</v>
      </c>
      <c r="O226">
        <v>12150922237</v>
      </c>
      <c r="P226" t="s">
        <v>140</v>
      </c>
      <c r="Q226" t="s">
        <v>141</v>
      </c>
      <c r="R226">
        <v>0</v>
      </c>
      <c r="T226" t="s">
        <v>146</v>
      </c>
      <c r="U226" t="s">
        <v>154</v>
      </c>
      <c r="V226" t="s">
        <v>154</v>
      </c>
      <c r="W226" t="s">
        <v>154</v>
      </c>
      <c r="X226" t="s">
        <v>154</v>
      </c>
      <c r="AA226" t="s">
        <v>144</v>
      </c>
      <c r="AB226" t="s">
        <v>203</v>
      </c>
      <c r="AC226">
        <v>0</v>
      </c>
      <c r="AD226">
        <v>0</v>
      </c>
      <c r="AO226">
        <v>0</v>
      </c>
      <c r="AP226">
        <v>4</v>
      </c>
      <c r="AQ226">
        <v>5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A226">
        <v>726727.4</v>
      </c>
      <c r="BB226">
        <v>3763377.8</v>
      </c>
    </row>
    <row r="227" spans="1:54" x14ac:dyDescent="0.35">
      <c r="A227">
        <v>110325</v>
      </c>
      <c r="B227">
        <v>692</v>
      </c>
      <c r="C227" t="s">
        <v>135</v>
      </c>
      <c r="D227" s="15">
        <v>701012150922237</v>
      </c>
      <c r="F227">
        <v>70</v>
      </c>
      <c r="G227" t="s">
        <v>136</v>
      </c>
      <c r="H227">
        <v>7010</v>
      </c>
      <c r="I227" t="s">
        <v>137</v>
      </c>
      <c r="K227" t="s">
        <v>79</v>
      </c>
      <c r="M227">
        <v>12150922237</v>
      </c>
      <c r="N227" t="s">
        <v>139</v>
      </c>
      <c r="O227">
        <v>12150922237</v>
      </c>
      <c r="Q227" t="s">
        <v>141</v>
      </c>
      <c r="R227">
        <v>0</v>
      </c>
      <c r="T227" t="s">
        <v>146</v>
      </c>
      <c r="AA227" t="s">
        <v>144</v>
      </c>
      <c r="AB227" t="s">
        <v>203</v>
      </c>
      <c r="AC227">
        <v>0</v>
      </c>
      <c r="AD227">
        <v>0</v>
      </c>
      <c r="AE227" t="s">
        <v>147</v>
      </c>
      <c r="AF227" t="s">
        <v>148</v>
      </c>
      <c r="AG227" t="s">
        <v>149</v>
      </c>
      <c r="AH227" t="s">
        <v>182</v>
      </c>
      <c r="AJ227" t="s">
        <v>205</v>
      </c>
      <c r="AK227" t="s">
        <v>186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Z227" t="s">
        <v>206</v>
      </c>
      <c r="BA227">
        <v>726727.4</v>
      </c>
      <c r="BB227">
        <v>3763377.8</v>
      </c>
    </row>
    <row r="228" spans="1:54" x14ac:dyDescent="0.35">
      <c r="A228">
        <v>110324</v>
      </c>
      <c r="B228">
        <v>691</v>
      </c>
      <c r="C228" t="s">
        <v>135</v>
      </c>
      <c r="D228" s="15">
        <v>701012150922231</v>
      </c>
      <c r="F228">
        <v>70</v>
      </c>
      <c r="G228" t="s">
        <v>136</v>
      </c>
      <c r="H228">
        <v>7010</v>
      </c>
      <c r="I228" t="s">
        <v>137</v>
      </c>
      <c r="K228" t="s">
        <v>138</v>
      </c>
      <c r="M228">
        <v>12150922231</v>
      </c>
      <c r="N228" t="s">
        <v>139</v>
      </c>
      <c r="O228">
        <v>12150922231</v>
      </c>
      <c r="P228" t="s">
        <v>140</v>
      </c>
      <c r="Q228" t="s">
        <v>141</v>
      </c>
      <c r="R228">
        <v>0</v>
      </c>
      <c r="S228">
        <v>30</v>
      </c>
      <c r="T228" t="s">
        <v>142</v>
      </c>
      <c r="U228" t="s">
        <v>143</v>
      </c>
      <c r="V228" t="s">
        <v>143</v>
      </c>
      <c r="W228" t="s">
        <v>143</v>
      </c>
      <c r="X228" t="s">
        <v>143</v>
      </c>
      <c r="AA228" t="s">
        <v>144</v>
      </c>
      <c r="AB228" t="s">
        <v>207</v>
      </c>
      <c r="AC228">
        <v>0</v>
      </c>
      <c r="AD228">
        <v>0</v>
      </c>
      <c r="AO228">
        <v>0</v>
      </c>
      <c r="AP228">
        <v>3</v>
      </c>
      <c r="AQ228">
        <v>7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A228">
        <v>726668.00000000105</v>
      </c>
      <c r="BB228">
        <v>3763484</v>
      </c>
    </row>
    <row r="229" spans="1:54" x14ac:dyDescent="0.35">
      <c r="A229">
        <v>110323</v>
      </c>
      <c r="B229">
        <v>690</v>
      </c>
      <c r="C229" t="s">
        <v>135</v>
      </c>
      <c r="D229" s="15">
        <v>701012150922231</v>
      </c>
      <c r="F229">
        <v>70</v>
      </c>
      <c r="G229" t="s">
        <v>136</v>
      </c>
      <c r="H229">
        <v>7010</v>
      </c>
      <c r="I229" t="s">
        <v>137</v>
      </c>
      <c r="K229" t="s">
        <v>79</v>
      </c>
      <c r="M229">
        <v>12150922230</v>
      </c>
      <c r="N229" t="s">
        <v>139</v>
      </c>
      <c r="O229">
        <v>12150922230</v>
      </c>
      <c r="Q229" t="s">
        <v>141</v>
      </c>
      <c r="R229">
        <v>0</v>
      </c>
      <c r="S229">
        <v>30</v>
      </c>
      <c r="T229" t="s">
        <v>142</v>
      </c>
      <c r="AA229" t="s">
        <v>144</v>
      </c>
      <c r="AB229" t="s">
        <v>207</v>
      </c>
      <c r="AC229">
        <v>0</v>
      </c>
      <c r="AD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A229">
        <v>726704.00000000105</v>
      </c>
      <c r="BB229">
        <v>3763461</v>
      </c>
    </row>
    <row r="230" spans="1:54" x14ac:dyDescent="0.35">
      <c r="A230">
        <v>110322</v>
      </c>
      <c r="B230">
        <v>689</v>
      </c>
      <c r="C230" t="s">
        <v>135</v>
      </c>
      <c r="D230" s="15">
        <v>701012150922230</v>
      </c>
      <c r="F230">
        <v>70</v>
      </c>
      <c r="G230" t="s">
        <v>136</v>
      </c>
      <c r="H230">
        <v>7010</v>
      </c>
      <c r="I230" t="s">
        <v>137</v>
      </c>
      <c r="K230" t="s">
        <v>138</v>
      </c>
      <c r="M230">
        <v>12150922230</v>
      </c>
      <c r="N230" t="s">
        <v>139</v>
      </c>
      <c r="O230">
        <v>12150922230</v>
      </c>
      <c r="P230" t="s">
        <v>140</v>
      </c>
      <c r="Q230" t="s">
        <v>141</v>
      </c>
      <c r="R230">
        <v>0</v>
      </c>
      <c r="S230">
        <v>30</v>
      </c>
      <c r="T230" t="s">
        <v>142</v>
      </c>
      <c r="U230" t="s">
        <v>143</v>
      </c>
      <c r="V230" t="s">
        <v>143</v>
      </c>
      <c r="W230" t="s">
        <v>143</v>
      </c>
      <c r="X230" t="s">
        <v>143</v>
      </c>
      <c r="AA230" t="s">
        <v>144</v>
      </c>
      <c r="AB230" t="s">
        <v>207</v>
      </c>
      <c r="AC230">
        <v>0</v>
      </c>
      <c r="AD230">
        <v>0</v>
      </c>
      <c r="AO230">
        <v>0</v>
      </c>
      <c r="AP230">
        <v>7</v>
      </c>
      <c r="AQ230">
        <v>7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A230">
        <v>726704.00000000105</v>
      </c>
      <c r="BB230">
        <v>3763461</v>
      </c>
    </row>
    <row r="231" spans="1:54" x14ac:dyDescent="0.35">
      <c r="A231">
        <v>110321</v>
      </c>
      <c r="B231">
        <v>688</v>
      </c>
      <c r="C231" t="s">
        <v>135</v>
      </c>
      <c r="D231" s="15">
        <v>701012150922230</v>
      </c>
      <c r="F231">
        <v>70</v>
      </c>
      <c r="G231" t="s">
        <v>136</v>
      </c>
      <c r="H231">
        <v>7010</v>
      </c>
      <c r="I231" t="s">
        <v>137</v>
      </c>
      <c r="K231" t="s">
        <v>79</v>
      </c>
      <c r="M231">
        <v>12150922229</v>
      </c>
      <c r="N231" t="s">
        <v>139</v>
      </c>
      <c r="O231">
        <v>12150922229</v>
      </c>
      <c r="Q231" t="s">
        <v>141</v>
      </c>
      <c r="R231">
        <v>0</v>
      </c>
      <c r="S231">
        <v>36</v>
      </c>
      <c r="T231" t="s">
        <v>142</v>
      </c>
      <c r="AA231" t="s">
        <v>144</v>
      </c>
      <c r="AB231" t="s">
        <v>207</v>
      </c>
      <c r="AC231">
        <v>0</v>
      </c>
      <c r="AD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A231">
        <v>726754.00000000198</v>
      </c>
      <c r="BB231">
        <v>3763436</v>
      </c>
    </row>
    <row r="232" spans="1:54" x14ac:dyDescent="0.35">
      <c r="A232">
        <v>110320</v>
      </c>
      <c r="B232">
        <v>687</v>
      </c>
      <c r="C232" t="s">
        <v>135</v>
      </c>
      <c r="D232" s="15">
        <v>701012150922223</v>
      </c>
      <c r="F232">
        <v>70</v>
      </c>
      <c r="G232" t="s">
        <v>136</v>
      </c>
      <c r="H232">
        <v>7010</v>
      </c>
      <c r="I232" t="s">
        <v>137</v>
      </c>
      <c r="K232" t="s">
        <v>138</v>
      </c>
      <c r="M232">
        <v>12150922223</v>
      </c>
      <c r="N232" t="s">
        <v>139</v>
      </c>
      <c r="O232">
        <v>12150922223</v>
      </c>
      <c r="P232" t="s">
        <v>140</v>
      </c>
      <c r="Q232" t="s">
        <v>141</v>
      </c>
      <c r="R232">
        <v>0</v>
      </c>
      <c r="S232">
        <v>36</v>
      </c>
      <c r="T232" t="s">
        <v>142</v>
      </c>
      <c r="U232" t="s">
        <v>143</v>
      </c>
      <c r="V232" t="s">
        <v>143</v>
      </c>
      <c r="W232" t="s">
        <v>143</v>
      </c>
      <c r="X232" t="s">
        <v>143</v>
      </c>
      <c r="AA232" t="s">
        <v>144</v>
      </c>
      <c r="AB232" t="s">
        <v>207</v>
      </c>
      <c r="AC232">
        <v>0</v>
      </c>
      <c r="AD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A232">
        <v>726789</v>
      </c>
      <c r="BB232">
        <v>3763413</v>
      </c>
    </row>
    <row r="233" spans="1:54" x14ac:dyDescent="0.35">
      <c r="A233">
        <v>110319</v>
      </c>
      <c r="B233">
        <v>686</v>
      </c>
      <c r="C233" t="s">
        <v>135</v>
      </c>
      <c r="D233" s="15">
        <v>701012150922223</v>
      </c>
      <c r="F233">
        <v>70</v>
      </c>
      <c r="G233" t="s">
        <v>136</v>
      </c>
      <c r="H233">
        <v>7010</v>
      </c>
      <c r="I233" t="s">
        <v>137</v>
      </c>
      <c r="K233" t="s">
        <v>79</v>
      </c>
      <c r="M233">
        <v>12150922229</v>
      </c>
      <c r="N233" t="s">
        <v>139</v>
      </c>
      <c r="O233">
        <v>12150922229</v>
      </c>
      <c r="Q233" t="s">
        <v>141</v>
      </c>
      <c r="R233">
        <v>0</v>
      </c>
      <c r="S233">
        <v>36</v>
      </c>
      <c r="T233" t="s">
        <v>142</v>
      </c>
      <c r="AA233" t="s">
        <v>144</v>
      </c>
      <c r="AB233" t="s">
        <v>207</v>
      </c>
      <c r="AC233">
        <v>0</v>
      </c>
      <c r="AD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A233">
        <v>726754.00000000198</v>
      </c>
      <c r="BB233">
        <v>3763436</v>
      </c>
    </row>
    <row r="234" spans="1:54" x14ac:dyDescent="0.35">
      <c r="A234">
        <v>110318</v>
      </c>
      <c r="B234">
        <v>685</v>
      </c>
      <c r="C234" t="s">
        <v>135</v>
      </c>
      <c r="D234" s="15">
        <v>701012150922229</v>
      </c>
      <c r="F234">
        <v>70</v>
      </c>
      <c r="G234" t="s">
        <v>136</v>
      </c>
      <c r="H234">
        <v>7010</v>
      </c>
      <c r="I234" t="s">
        <v>137</v>
      </c>
      <c r="K234" t="s">
        <v>138</v>
      </c>
      <c r="M234">
        <v>12150922229</v>
      </c>
      <c r="N234" t="s">
        <v>139</v>
      </c>
      <c r="O234">
        <v>12150922229</v>
      </c>
      <c r="P234" t="s">
        <v>140</v>
      </c>
      <c r="Q234" t="s">
        <v>141</v>
      </c>
      <c r="R234">
        <v>0</v>
      </c>
      <c r="S234">
        <v>36</v>
      </c>
      <c r="T234" t="s">
        <v>142</v>
      </c>
      <c r="U234" t="s">
        <v>143</v>
      </c>
      <c r="V234" t="s">
        <v>143</v>
      </c>
      <c r="W234" t="s">
        <v>143</v>
      </c>
      <c r="X234" t="s">
        <v>143</v>
      </c>
      <c r="AA234" t="s">
        <v>144</v>
      </c>
      <c r="AB234" t="s">
        <v>207</v>
      </c>
      <c r="AC234">
        <v>0</v>
      </c>
      <c r="AD234">
        <v>0</v>
      </c>
      <c r="AO234">
        <v>0</v>
      </c>
      <c r="AP234">
        <v>7</v>
      </c>
      <c r="AQ234">
        <v>4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208</v>
      </c>
      <c r="BA234">
        <v>726754.00000000198</v>
      </c>
      <c r="BB234">
        <v>3763436</v>
      </c>
    </row>
    <row r="235" spans="1:54" x14ac:dyDescent="0.35">
      <c r="A235">
        <v>110317</v>
      </c>
      <c r="B235">
        <v>684</v>
      </c>
      <c r="C235" t="s">
        <v>135</v>
      </c>
      <c r="D235" s="15">
        <v>701012150922229</v>
      </c>
      <c r="F235">
        <v>70</v>
      </c>
      <c r="G235" t="s">
        <v>136</v>
      </c>
      <c r="H235">
        <v>7010</v>
      </c>
      <c r="I235" t="s">
        <v>137</v>
      </c>
      <c r="K235" t="s">
        <v>79</v>
      </c>
      <c r="M235">
        <v>12150922229</v>
      </c>
      <c r="N235" t="s">
        <v>139</v>
      </c>
      <c r="O235">
        <v>12150922229</v>
      </c>
      <c r="Q235" t="s">
        <v>141</v>
      </c>
      <c r="R235">
        <v>0</v>
      </c>
      <c r="S235">
        <v>36</v>
      </c>
      <c r="T235" t="s">
        <v>142</v>
      </c>
      <c r="AA235" t="s">
        <v>144</v>
      </c>
      <c r="AB235" t="s">
        <v>207</v>
      </c>
      <c r="AC235">
        <v>0</v>
      </c>
      <c r="AD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A235">
        <v>726754.00000000198</v>
      </c>
      <c r="BB235">
        <v>3763436</v>
      </c>
    </row>
    <row r="236" spans="1:54" x14ac:dyDescent="0.35">
      <c r="A236">
        <v>110316</v>
      </c>
      <c r="B236">
        <v>683</v>
      </c>
      <c r="C236" t="s">
        <v>135</v>
      </c>
      <c r="D236" s="15">
        <v>701012150922226</v>
      </c>
      <c r="E236">
        <v>0</v>
      </c>
      <c r="F236">
        <v>70</v>
      </c>
      <c r="G236" t="s">
        <v>136</v>
      </c>
      <c r="H236">
        <v>7010</v>
      </c>
      <c r="I236" t="s">
        <v>137</v>
      </c>
      <c r="K236" t="s">
        <v>138</v>
      </c>
      <c r="M236">
        <v>12150922226</v>
      </c>
      <c r="N236" t="s">
        <v>139</v>
      </c>
      <c r="O236">
        <v>12150922226</v>
      </c>
      <c r="P236" t="s">
        <v>140</v>
      </c>
      <c r="Q236" t="s">
        <v>141</v>
      </c>
      <c r="R236">
        <v>0</v>
      </c>
      <c r="S236">
        <v>36</v>
      </c>
      <c r="T236" t="s">
        <v>142</v>
      </c>
      <c r="U236" t="s">
        <v>143</v>
      </c>
      <c r="V236" t="s">
        <v>143</v>
      </c>
      <c r="W236" t="s">
        <v>143</v>
      </c>
      <c r="X236" t="s">
        <v>143</v>
      </c>
      <c r="AA236" t="s">
        <v>144</v>
      </c>
      <c r="AB236" t="s">
        <v>207</v>
      </c>
      <c r="AC236">
        <v>0</v>
      </c>
      <c r="AD236">
        <v>0</v>
      </c>
      <c r="AO236">
        <v>0</v>
      </c>
      <c r="AP236">
        <v>11</v>
      </c>
      <c r="AQ236">
        <v>7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A236">
        <v>726913.00000000105</v>
      </c>
      <c r="BB236">
        <v>3763361</v>
      </c>
    </row>
    <row r="237" spans="1:54" x14ac:dyDescent="0.35">
      <c r="A237">
        <v>110315</v>
      </c>
      <c r="B237">
        <v>682</v>
      </c>
      <c r="C237" t="s">
        <v>135</v>
      </c>
      <c r="D237" s="15">
        <v>701012150922226</v>
      </c>
      <c r="E237">
        <v>1</v>
      </c>
      <c r="F237">
        <v>70</v>
      </c>
      <c r="G237" t="s">
        <v>136</v>
      </c>
      <c r="H237">
        <v>7010</v>
      </c>
      <c r="I237" t="s">
        <v>137</v>
      </c>
      <c r="K237" t="s">
        <v>79</v>
      </c>
      <c r="M237">
        <v>12150922225</v>
      </c>
      <c r="N237" t="s">
        <v>139</v>
      </c>
      <c r="O237">
        <v>12150922225</v>
      </c>
      <c r="Q237" t="s">
        <v>141</v>
      </c>
      <c r="R237">
        <v>0</v>
      </c>
      <c r="S237">
        <v>36</v>
      </c>
      <c r="T237" t="s">
        <v>142</v>
      </c>
      <c r="AA237" t="s">
        <v>144</v>
      </c>
      <c r="AB237" t="s">
        <v>207</v>
      </c>
      <c r="AC237">
        <v>0</v>
      </c>
      <c r="AD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A237">
        <v>726873</v>
      </c>
      <c r="BB237">
        <v>3763383</v>
      </c>
    </row>
    <row r="238" spans="1:54" x14ac:dyDescent="0.35">
      <c r="A238">
        <v>110314</v>
      </c>
      <c r="B238">
        <v>681</v>
      </c>
      <c r="C238" t="s">
        <v>135</v>
      </c>
      <c r="D238" s="15">
        <v>701012150922225</v>
      </c>
      <c r="E238">
        <v>1</v>
      </c>
      <c r="F238">
        <v>70</v>
      </c>
      <c r="G238" t="s">
        <v>136</v>
      </c>
      <c r="H238">
        <v>7010</v>
      </c>
      <c r="I238" t="s">
        <v>137</v>
      </c>
      <c r="K238" t="s">
        <v>138</v>
      </c>
      <c r="M238">
        <v>12150922225</v>
      </c>
      <c r="N238" t="s">
        <v>139</v>
      </c>
      <c r="O238">
        <v>12150922225</v>
      </c>
      <c r="P238" t="s">
        <v>140</v>
      </c>
      <c r="Q238" t="s">
        <v>141</v>
      </c>
      <c r="R238">
        <v>0</v>
      </c>
      <c r="S238">
        <v>36</v>
      </c>
      <c r="T238" t="s">
        <v>142</v>
      </c>
      <c r="U238" t="s">
        <v>143</v>
      </c>
      <c r="V238" t="s">
        <v>143</v>
      </c>
      <c r="W238" t="s">
        <v>143</v>
      </c>
      <c r="X238" t="s">
        <v>143</v>
      </c>
      <c r="AA238" t="s">
        <v>144</v>
      </c>
      <c r="AB238" t="s">
        <v>207</v>
      </c>
      <c r="AC238">
        <v>0</v>
      </c>
      <c r="AD238">
        <v>0</v>
      </c>
      <c r="AO238">
        <v>0</v>
      </c>
      <c r="AP238">
        <v>7</v>
      </c>
      <c r="AQ238">
        <v>8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A238">
        <v>726873</v>
      </c>
      <c r="BB238">
        <v>3763383</v>
      </c>
    </row>
    <row r="239" spans="1:54" x14ac:dyDescent="0.35">
      <c r="A239">
        <v>110313</v>
      </c>
      <c r="B239">
        <v>680</v>
      </c>
      <c r="C239" t="s">
        <v>135</v>
      </c>
      <c r="D239" s="15">
        <v>701012150922225</v>
      </c>
      <c r="F239">
        <v>70</v>
      </c>
      <c r="G239" t="s">
        <v>136</v>
      </c>
      <c r="H239">
        <v>7010</v>
      </c>
      <c r="I239" t="s">
        <v>137</v>
      </c>
      <c r="K239" t="s">
        <v>79</v>
      </c>
      <c r="M239">
        <v>12150922224</v>
      </c>
      <c r="N239" t="s">
        <v>139</v>
      </c>
      <c r="O239">
        <v>12150922224</v>
      </c>
      <c r="Q239" t="s">
        <v>141</v>
      </c>
      <c r="R239">
        <v>0</v>
      </c>
      <c r="S239">
        <v>36</v>
      </c>
      <c r="T239" t="s">
        <v>142</v>
      </c>
      <c r="AA239" t="s">
        <v>144</v>
      </c>
      <c r="AB239" t="s">
        <v>207</v>
      </c>
      <c r="AC239">
        <v>0</v>
      </c>
      <c r="AD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A239">
        <v>726831.00000000105</v>
      </c>
      <c r="BB239">
        <v>3763398</v>
      </c>
    </row>
    <row r="240" spans="1:54" x14ac:dyDescent="0.35">
      <c r="A240">
        <v>110312</v>
      </c>
      <c r="B240">
        <v>679</v>
      </c>
      <c r="C240" t="s">
        <v>135</v>
      </c>
      <c r="D240" s="15">
        <v>701012150922224</v>
      </c>
      <c r="F240">
        <v>70</v>
      </c>
      <c r="G240" t="s">
        <v>136</v>
      </c>
      <c r="H240">
        <v>7010</v>
      </c>
      <c r="I240" t="s">
        <v>137</v>
      </c>
      <c r="K240" t="s">
        <v>138</v>
      </c>
      <c r="M240">
        <v>12150922224</v>
      </c>
      <c r="N240" t="s">
        <v>139</v>
      </c>
      <c r="O240">
        <v>12150922224</v>
      </c>
      <c r="P240" t="s">
        <v>140</v>
      </c>
      <c r="Q240" t="s">
        <v>141</v>
      </c>
      <c r="R240">
        <v>0</v>
      </c>
      <c r="S240">
        <v>36</v>
      </c>
      <c r="T240" t="s">
        <v>142</v>
      </c>
      <c r="U240" t="s">
        <v>143</v>
      </c>
      <c r="V240" t="s">
        <v>143</v>
      </c>
      <c r="W240" t="s">
        <v>143</v>
      </c>
      <c r="X240" t="s">
        <v>143</v>
      </c>
      <c r="AA240" t="s">
        <v>144</v>
      </c>
      <c r="AB240" t="s">
        <v>207</v>
      </c>
      <c r="AC240">
        <v>0</v>
      </c>
      <c r="AD240">
        <v>0</v>
      </c>
      <c r="AO240">
        <v>0</v>
      </c>
      <c r="AP240">
        <v>7</v>
      </c>
      <c r="AQ240">
        <v>5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A240">
        <v>726831.00000000105</v>
      </c>
      <c r="BB240">
        <v>3763398</v>
      </c>
    </row>
    <row r="241" spans="1:54" x14ac:dyDescent="0.35">
      <c r="A241">
        <v>110311</v>
      </c>
      <c r="B241">
        <v>678</v>
      </c>
      <c r="C241" t="s">
        <v>135</v>
      </c>
      <c r="D241" s="15">
        <v>701012150922224</v>
      </c>
      <c r="F241">
        <v>70</v>
      </c>
      <c r="G241" t="s">
        <v>136</v>
      </c>
      <c r="H241">
        <v>7010</v>
      </c>
      <c r="I241" t="s">
        <v>137</v>
      </c>
      <c r="K241" t="s">
        <v>79</v>
      </c>
      <c r="M241">
        <v>12150922223</v>
      </c>
      <c r="N241" t="s">
        <v>139</v>
      </c>
      <c r="O241">
        <v>12150922223</v>
      </c>
      <c r="Q241" t="s">
        <v>141</v>
      </c>
      <c r="R241">
        <v>0</v>
      </c>
      <c r="T241" t="s">
        <v>146</v>
      </c>
      <c r="AA241" t="s">
        <v>144</v>
      </c>
      <c r="AB241" t="s">
        <v>207</v>
      </c>
      <c r="AC241">
        <v>0</v>
      </c>
      <c r="AD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A241">
        <v>726789</v>
      </c>
      <c r="BB241">
        <v>3763413</v>
      </c>
    </row>
    <row r="242" spans="1:54" x14ac:dyDescent="0.35">
      <c r="A242">
        <v>110310</v>
      </c>
      <c r="B242">
        <v>677</v>
      </c>
      <c r="C242" t="s">
        <v>135</v>
      </c>
      <c r="D242" s="15">
        <v>701012150922223</v>
      </c>
      <c r="F242">
        <v>70</v>
      </c>
      <c r="G242" t="s">
        <v>136</v>
      </c>
      <c r="H242">
        <v>7010</v>
      </c>
      <c r="I242" t="s">
        <v>137</v>
      </c>
      <c r="K242" t="s">
        <v>138</v>
      </c>
      <c r="M242">
        <v>12150922223</v>
      </c>
      <c r="N242" t="s">
        <v>139</v>
      </c>
      <c r="O242">
        <v>12150922223</v>
      </c>
      <c r="P242" t="s">
        <v>140</v>
      </c>
      <c r="Q242" t="s">
        <v>141</v>
      </c>
      <c r="R242">
        <v>0</v>
      </c>
      <c r="T242" t="s">
        <v>146</v>
      </c>
      <c r="U242" t="s">
        <v>143</v>
      </c>
      <c r="V242" t="s">
        <v>143</v>
      </c>
      <c r="W242" t="s">
        <v>143</v>
      </c>
      <c r="X242" t="s">
        <v>143</v>
      </c>
      <c r="AA242" t="s">
        <v>144</v>
      </c>
      <c r="AB242" t="s">
        <v>207</v>
      </c>
      <c r="AC242">
        <v>0</v>
      </c>
      <c r="AD242">
        <v>0</v>
      </c>
      <c r="AO242">
        <v>0</v>
      </c>
      <c r="AP242">
        <v>5</v>
      </c>
      <c r="AQ242">
        <v>4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209</v>
      </c>
      <c r="BA242">
        <v>726789</v>
      </c>
      <c r="BB242">
        <v>3763413</v>
      </c>
    </row>
    <row r="243" spans="1:54" x14ac:dyDescent="0.35">
      <c r="A243">
        <v>110309</v>
      </c>
      <c r="B243">
        <v>676</v>
      </c>
      <c r="C243" t="s">
        <v>135</v>
      </c>
      <c r="D243" s="15">
        <v>701012150922223</v>
      </c>
      <c r="F243">
        <v>70</v>
      </c>
      <c r="G243" t="s">
        <v>136</v>
      </c>
      <c r="H243">
        <v>7010</v>
      </c>
      <c r="I243" t="s">
        <v>137</v>
      </c>
      <c r="K243" t="s">
        <v>79</v>
      </c>
      <c r="M243">
        <v>12150922223</v>
      </c>
      <c r="N243" t="s">
        <v>139</v>
      </c>
      <c r="O243">
        <v>12150922223</v>
      </c>
      <c r="Q243" t="s">
        <v>141</v>
      </c>
      <c r="R243">
        <v>0</v>
      </c>
      <c r="T243" t="s">
        <v>146</v>
      </c>
      <c r="AA243" t="s">
        <v>144</v>
      </c>
      <c r="AB243" t="s">
        <v>207</v>
      </c>
      <c r="AC243">
        <v>0</v>
      </c>
      <c r="AD243">
        <v>0</v>
      </c>
      <c r="AE243" t="s">
        <v>147</v>
      </c>
      <c r="AF243" t="s">
        <v>148</v>
      </c>
      <c r="AG243" t="s">
        <v>149</v>
      </c>
      <c r="AH243" t="s">
        <v>182</v>
      </c>
      <c r="AJ243" t="s">
        <v>210</v>
      </c>
      <c r="AK243" t="s">
        <v>152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Z243" t="s">
        <v>211</v>
      </c>
      <c r="BA243">
        <v>726789</v>
      </c>
      <c r="BB243">
        <v>3763413</v>
      </c>
    </row>
    <row r="244" spans="1:54" x14ac:dyDescent="0.35">
      <c r="A244">
        <v>110308</v>
      </c>
      <c r="B244">
        <v>675</v>
      </c>
      <c r="C244" t="s">
        <v>135</v>
      </c>
      <c r="D244" s="15">
        <v>701012150922221</v>
      </c>
      <c r="F244">
        <v>70</v>
      </c>
      <c r="G244" t="s">
        <v>136</v>
      </c>
      <c r="H244">
        <v>7010</v>
      </c>
      <c r="I244" t="s">
        <v>137</v>
      </c>
      <c r="K244" t="s">
        <v>138</v>
      </c>
      <c r="M244">
        <v>12150922221</v>
      </c>
      <c r="N244" t="s">
        <v>139</v>
      </c>
      <c r="O244">
        <v>12150922221</v>
      </c>
      <c r="P244" t="s">
        <v>140</v>
      </c>
      <c r="Q244" t="s">
        <v>141</v>
      </c>
      <c r="R244">
        <v>0</v>
      </c>
      <c r="S244">
        <v>36</v>
      </c>
      <c r="T244" t="s">
        <v>142</v>
      </c>
      <c r="U244" t="s">
        <v>154</v>
      </c>
      <c r="V244" t="s">
        <v>154</v>
      </c>
      <c r="W244" t="s">
        <v>154</v>
      </c>
      <c r="X244" t="s">
        <v>154</v>
      </c>
      <c r="AA244" t="s">
        <v>144</v>
      </c>
      <c r="AB244" t="s">
        <v>212</v>
      </c>
      <c r="AC244">
        <v>0</v>
      </c>
      <c r="AD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A244">
        <v>726792</v>
      </c>
      <c r="BB244">
        <v>3763415</v>
      </c>
    </row>
    <row r="245" spans="1:54" x14ac:dyDescent="0.35">
      <c r="A245">
        <v>110307</v>
      </c>
      <c r="B245">
        <v>674</v>
      </c>
      <c r="C245" t="s">
        <v>135</v>
      </c>
      <c r="D245" s="15">
        <v>701012150922221</v>
      </c>
      <c r="F245">
        <v>70</v>
      </c>
      <c r="G245" t="s">
        <v>136</v>
      </c>
      <c r="H245">
        <v>7010</v>
      </c>
      <c r="I245" t="s">
        <v>137</v>
      </c>
      <c r="K245" t="s">
        <v>79</v>
      </c>
      <c r="M245">
        <v>12150922217</v>
      </c>
      <c r="N245" t="s">
        <v>139</v>
      </c>
      <c r="O245">
        <v>12150922217</v>
      </c>
      <c r="Q245" t="s">
        <v>141</v>
      </c>
      <c r="R245">
        <v>0</v>
      </c>
      <c r="T245" t="s">
        <v>146</v>
      </c>
      <c r="AA245" t="s">
        <v>144</v>
      </c>
      <c r="AB245" t="s">
        <v>212</v>
      </c>
      <c r="AC245">
        <v>0</v>
      </c>
      <c r="AD245">
        <v>0</v>
      </c>
      <c r="AE245" t="s">
        <v>147</v>
      </c>
      <c r="AF245" t="s">
        <v>148</v>
      </c>
      <c r="AG245" t="s">
        <v>149</v>
      </c>
      <c r="AH245" t="s">
        <v>182</v>
      </c>
      <c r="AJ245" t="s">
        <v>213</v>
      </c>
      <c r="AK245" t="s">
        <v>152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Z245" t="s">
        <v>214</v>
      </c>
      <c r="BA245">
        <v>726814</v>
      </c>
      <c r="BB245">
        <v>3763464</v>
      </c>
    </row>
    <row r="246" spans="1:54" x14ac:dyDescent="0.35">
      <c r="A246">
        <v>110306</v>
      </c>
      <c r="B246">
        <v>673</v>
      </c>
      <c r="C246" t="s">
        <v>135</v>
      </c>
      <c r="D246" s="15">
        <v>701012150922220</v>
      </c>
      <c r="F246">
        <v>70</v>
      </c>
      <c r="G246" t="s">
        <v>136</v>
      </c>
      <c r="H246">
        <v>7010</v>
      </c>
      <c r="I246" t="s">
        <v>137</v>
      </c>
      <c r="K246" t="s">
        <v>138</v>
      </c>
      <c r="M246">
        <v>12150922220</v>
      </c>
      <c r="N246" t="s">
        <v>139</v>
      </c>
      <c r="O246">
        <v>12150922220</v>
      </c>
      <c r="P246" t="s">
        <v>140</v>
      </c>
      <c r="Q246" t="s">
        <v>141</v>
      </c>
      <c r="R246">
        <v>0</v>
      </c>
      <c r="S246">
        <v>30</v>
      </c>
      <c r="T246" t="s">
        <v>142</v>
      </c>
      <c r="U246" t="s">
        <v>154</v>
      </c>
      <c r="V246" t="s">
        <v>154</v>
      </c>
      <c r="W246" t="s">
        <v>154</v>
      </c>
      <c r="X246" t="s">
        <v>154</v>
      </c>
      <c r="AA246" t="s">
        <v>144</v>
      </c>
      <c r="AB246" t="s">
        <v>212</v>
      </c>
      <c r="AC246">
        <v>0</v>
      </c>
      <c r="AD246">
        <v>0</v>
      </c>
      <c r="AO246">
        <v>0</v>
      </c>
      <c r="AP246">
        <v>3</v>
      </c>
      <c r="AQ246">
        <v>4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A246">
        <v>726941.00000000105</v>
      </c>
      <c r="BB246">
        <v>3763415</v>
      </c>
    </row>
    <row r="247" spans="1:54" x14ac:dyDescent="0.35">
      <c r="A247">
        <v>110305</v>
      </c>
      <c r="B247">
        <v>672</v>
      </c>
      <c r="C247" t="s">
        <v>135</v>
      </c>
      <c r="D247" s="15">
        <v>701012150922220</v>
      </c>
      <c r="F247">
        <v>70</v>
      </c>
      <c r="G247" t="s">
        <v>136</v>
      </c>
      <c r="H247">
        <v>7010</v>
      </c>
      <c r="I247" t="s">
        <v>137</v>
      </c>
      <c r="K247" t="s">
        <v>79</v>
      </c>
      <c r="M247">
        <v>12150922219</v>
      </c>
      <c r="N247" t="s">
        <v>139</v>
      </c>
      <c r="O247">
        <v>12150922219</v>
      </c>
      <c r="Q247" t="s">
        <v>141</v>
      </c>
      <c r="R247">
        <v>0</v>
      </c>
      <c r="S247">
        <v>30</v>
      </c>
      <c r="T247" t="s">
        <v>142</v>
      </c>
      <c r="AA247" t="s">
        <v>144</v>
      </c>
      <c r="AB247" t="s">
        <v>212</v>
      </c>
      <c r="AC247">
        <v>0</v>
      </c>
      <c r="AD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A247">
        <v>726899</v>
      </c>
      <c r="BB247">
        <v>3763441</v>
      </c>
    </row>
    <row r="248" spans="1:54" x14ac:dyDescent="0.35">
      <c r="A248">
        <v>110304</v>
      </c>
      <c r="B248">
        <v>671</v>
      </c>
      <c r="C248" t="s">
        <v>135</v>
      </c>
      <c r="D248" s="15">
        <v>701012150922219</v>
      </c>
      <c r="F248">
        <v>70</v>
      </c>
      <c r="G248" t="s">
        <v>136</v>
      </c>
      <c r="H248">
        <v>7010</v>
      </c>
      <c r="I248" t="s">
        <v>137</v>
      </c>
      <c r="K248" t="s">
        <v>138</v>
      </c>
      <c r="M248">
        <v>12150922219</v>
      </c>
      <c r="N248" t="s">
        <v>139</v>
      </c>
      <c r="O248">
        <v>12150922219</v>
      </c>
      <c r="P248" t="s">
        <v>140</v>
      </c>
      <c r="Q248" t="s">
        <v>141</v>
      </c>
      <c r="R248">
        <v>0</v>
      </c>
      <c r="S248">
        <v>30</v>
      </c>
      <c r="T248" t="s">
        <v>142</v>
      </c>
      <c r="U248" t="s">
        <v>154</v>
      </c>
      <c r="V248" t="s">
        <v>154</v>
      </c>
      <c r="W248" t="s">
        <v>154</v>
      </c>
      <c r="X248" t="s">
        <v>154</v>
      </c>
      <c r="AA248" t="s">
        <v>144</v>
      </c>
      <c r="AB248" t="s">
        <v>212</v>
      </c>
      <c r="AC248">
        <v>0</v>
      </c>
      <c r="AD248">
        <v>0</v>
      </c>
      <c r="AO248">
        <v>0</v>
      </c>
      <c r="AP248">
        <v>5</v>
      </c>
      <c r="AQ248">
        <v>8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A248">
        <v>726899</v>
      </c>
      <c r="BB248">
        <v>3763441</v>
      </c>
    </row>
    <row r="249" spans="1:54" x14ac:dyDescent="0.35">
      <c r="A249">
        <v>110303</v>
      </c>
      <c r="B249">
        <v>670</v>
      </c>
      <c r="C249" t="s">
        <v>135</v>
      </c>
      <c r="D249" s="15">
        <v>701012150922219</v>
      </c>
      <c r="F249">
        <v>70</v>
      </c>
      <c r="G249" t="s">
        <v>136</v>
      </c>
      <c r="H249">
        <v>7010</v>
      </c>
      <c r="I249" t="s">
        <v>137</v>
      </c>
      <c r="K249" t="s">
        <v>79</v>
      </c>
      <c r="M249">
        <v>12150922218</v>
      </c>
      <c r="N249" t="s">
        <v>139</v>
      </c>
      <c r="O249">
        <v>12150922218</v>
      </c>
      <c r="Q249" t="s">
        <v>141</v>
      </c>
      <c r="R249">
        <v>0</v>
      </c>
      <c r="S249">
        <v>30</v>
      </c>
      <c r="T249" t="s">
        <v>142</v>
      </c>
      <c r="AA249" t="s">
        <v>144</v>
      </c>
      <c r="AB249" t="s">
        <v>212</v>
      </c>
      <c r="AC249">
        <v>0</v>
      </c>
      <c r="AD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A249">
        <v>726858</v>
      </c>
      <c r="BB249">
        <v>3763449</v>
      </c>
    </row>
    <row r="250" spans="1:54" x14ac:dyDescent="0.35">
      <c r="A250">
        <v>110302</v>
      </c>
      <c r="B250">
        <v>669</v>
      </c>
      <c r="C250" t="s">
        <v>135</v>
      </c>
      <c r="D250" s="15">
        <v>701012150922218</v>
      </c>
      <c r="F250">
        <v>70</v>
      </c>
      <c r="G250" t="s">
        <v>136</v>
      </c>
      <c r="H250">
        <v>7010</v>
      </c>
      <c r="I250" t="s">
        <v>137</v>
      </c>
      <c r="K250" t="s">
        <v>138</v>
      </c>
      <c r="M250">
        <v>12150922218</v>
      </c>
      <c r="N250" t="s">
        <v>139</v>
      </c>
      <c r="O250">
        <v>12150922218</v>
      </c>
      <c r="P250" t="s">
        <v>140</v>
      </c>
      <c r="Q250" t="s">
        <v>141</v>
      </c>
      <c r="R250">
        <v>0</v>
      </c>
      <c r="S250">
        <v>30</v>
      </c>
      <c r="T250" t="s">
        <v>142</v>
      </c>
      <c r="U250" t="s">
        <v>154</v>
      </c>
      <c r="V250" t="s">
        <v>154</v>
      </c>
      <c r="W250" t="s">
        <v>154</v>
      </c>
      <c r="X250" t="s">
        <v>154</v>
      </c>
      <c r="AA250" t="s">
        <v>144</v>
      </c>
      <c r="AB250" t="s">
        <v>212</v>
      </c>
      <c r="AC250">
        <v>0</v>
      </c>
      <c r="AD250">
        <v>0</v>
      </c>
      <c r="AO250">
        <v>0</v>
      </c>
      <c r="AP250">
        <v>3</v>
      </c>
      <c r="AQ250">
        <v>8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A250">
        <v>726858</v>
      </c>
      <c r="BB250">
        <v>3763449</v>
      </c>
    </row>
    <row r="251" spans="1:54" x14ac:dyDescent="0.35">
      <c r="A251">
        <v>110301</v>
      </c>
      <c r="B251">
        <v>668</v>
      </c>
      <c r="C251" t="s">
        <v>135</v>
      </c>
      <c r="D251" s="15">
        <v>701012150922218</v>
      </c>
      <c r="F251">
        <v>70</v>
      </c>
      <c r="G251" t="s">
        <v>136</v>
      </c>
      <c r="H251">
        <v>7010</v>
      </c>
      <c r="I251" t="s">
        <v>137</v>
      </c>
      <c r="K251" t="s">
        <v>79</v>
      </c>
      <c r="M251">
        <v>12150922217</v>
      </c>
      <c r="N251" t="s">
        <v>139</v>
      </c>
      <c r="O251">
        <v>12150922217</v>
      </c>
      <c r="Q251" t="s">
        <v>141</v>
      </c>
      <c r="R251">
        <v>0</v>
      </c>
      <c r="T251" t="s">
        <v>146</v>
      </c>
      <c r="AA251" t="s">
        <v>144</v>
      </c>
      <c r="AB251" t="s">
        <v>212</v>
      </c>
      <c r="AC251">
        <v>0</v>
      </c>
      <c r="AD251">
        <v>0</v>
      </c>
      <c r="AE251" t="s">
        <v>147</v>
      </c>
      <c r="AF251" t="s">
        <v>148</v>
      </c>
      <c r="AG251" t="s">
        <v>149</v>
      </c>
      <c r="AH251" t="s">
        <v>182</v>
      </c>
      <c r="AJ251" t="s">
        <v>213</v>
      </c>
      <c r="AK251" t="s">
        <v>152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Z251" t="s">
        <v>214</v>
      </c>
      <c r="BA251">
        <v>726814</v>
      </c>
      <c r="BB251">
        <v>3763464</v>
      </c>
    </row>
    <row r="252" spans="1:54" x14ac:dyDescent="0.35">
      <c r="A252">
        <v>110300</v>
      </c>
      <c r="B252">
        <v>667</v>
      </c>
      <c r="C252" t="s">
        <v>135</v>
      </c>
      <c r="D252" s="15">
        <v>701012130922105</v>
      </c>
      <c r="F252">
        <v>70</v>
      </c>
      <c r="G252" t="s">
        <v>136</v>
      </c>
      <c r="H252">
        <v>7010</v>
      </c>
      <c r="I252" t="s">
        <v>137</v>
      </c>
      <c r="K252" t="s">
        <v>138</v>
      </c>
      <c r="M252">
        <v>12130922105</v>
      </c>
      <c r="N252" t="s">
        <v>139</v>
      </c>
      <c r="O252">
        <v>12130922105</v>
      </c>
      <c r="P252" t="s">
        <v>140</v>
      </c>
      <c r="Q252" t="s">
        <v>141</v>
      </c>
      <c r="R252">
        <v>0</v>
      </c>
      <c r="S252">
        <v>30</v>
      </c>
      <c r="T252" t="s">
        <v>142</v>
      </c>
      <c r="U252" t="s">
        <v>154</v>
      </c>
      <c r="V252" t="s">
        <v>154</v>
      </c>
      <c r="W252" t="s">
        <v>154</v>
      </c>
      <c r="X252" t="s">
        <v>154</v>
      </c>
      <c r="AA252" t="s">
        <v>144</v>
      </c>
      <c r="AB252" t="s">
        <v>212</v>
      </c>
      <c r="AC252">
        <v>0</v>
      </c>
      <c r="AD252">
        <v>0</v>
      </c>
      <c r="AO252">
        <v>0</v>
      </c>
      <c r="AP252">
        <v>5</v>
      </c>
      <c r="AQ252">
        <v>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A252">
        <v>726767.00000000105</v>
      </c>
      <c r="BB252">
        <v>3763487</v>
      </c>
    </row>
    <row r="253" spans="1:54" x14ac:dyDescent="0.35">
      <c r="A253">
        <v>110299</v>
      </c>
      <c r="B253">
        <v>666</v>
      </c>
      <c r="C253" t="s">
        <v>135</v>
      </c>
      <c r="D253" s="15">
        <v>701012130922105</v>
      </c>
      <c r="F253">
        <v>70</v>
      </c>
      <c r="G253" t="s">
        <v>136</v>
      </c>
      <c r="H253">
        <v>7010</v>
      </c>
      <c r="I253" t="s">
        <v>137</v>
      </c>
      <c r="K253" t="s">
        <v>79</v>
      </c>
      <c r="M253">
        <v>12150922217</v>
      </c>
      <c r="N253" t="s">
        <v>139</v>
      </c>
      <c r="O253">
        <v>12150922217</v>
      </c>
      <c r="Q253" t="s">
        <v>141</v>
      </c>
      <c r="R253">
        <v>0</v>
      </c>
      <c r="T253" t="s">
        <v>146</v>
      </c>
      <c r="AA253" t="s">
        <v>144</v>
      </c>
      <c r="AB253" t="s">
        <v>212</v>
      </c>
      <c r="AC253">
        <v>0</v>
      </c>
      <c r="AD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A253">
        <v>726814</v>
      </c>
      <c r="BB253">
        <v>3763464</v>
      </c>
    </row>
    <row r="254" spans="1:54" x14ac:dyDescent="0.35">
      <c r="A254">
        <v>110298</v>
      </c>
      <c r="B254">
        <v>665</v>
      </c>
      <c r="C254" t="s">
        <v>135</v>
      </c>
      <c r="D254" s="15">
        <v>701012150922217</v>
      </c>
      <c r="F254">
        <v>70</v>
      </c>
      <c r="G254" t="s">
        <v>136</v>
      </c>
      <c r="H254">
        <v>7010</v>
      </c>
      <c r="I254" t="s">
        <v>137</v>
      </c>
      <c r="K254" t="s">
        <v>138</v>
      </c>
      <c r="M254">
        <v>12150922217</v>
      </c>
      <c r="N254" t="s">
        <v>139</v>
      </c>
      <c r="O254">
        <v>12150922217</v>
      </c>
      <c r="P254" t="s">
        <v>140</v>
      </c>
      <c r="Q254" t="s">
        <v>141</v>
      </c>
      <c r="R254">
        <v>0</v>
      </c>
      <c r="T254" t="s">
        <v>146</v>
      </c>
      <c r="U254" t="s">
        <v>154</v>
      </c>
      <c r="V254" t="s">
        <v>154</v>
      </c>
      <c r="W254" t="s">
        <v>154</v>
      </c>
      <c r="X254" t="s">
        <v>154</v>
      </c>
      <c r="AA254" t="s">
        <v>144</v>
      </c>
      <c r="AB254" t="s">
        <v>212</v>
      </c>
      <c r="AC254">
        <v>0</v>
      </c>
      <c r="AD254">
        <v>0</v>
      </c>
      <c r="AO254">
        <v>0</v>
      </c>
      <c r="AP254">
        <v>6</v>
      </c>
      <c r="AQ254">
        <v>4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A254">
        <v>726814</v>
      </c>
      <c r="BB254">
        <v>3763464</v>
      </c>
    </row>
    <row r="255" spans="1:54" x14ac:dyDescent="0.35">
      <c r="A255">
        <v>110297</v>
      </c>
      <c r="B255">
        <v>664</v>
      </c>
      <c r="C255" t="s">
        <v>135</v>
      </c>
      <c r="D255" s="15">
        <v>701012150922217</v>
      </c>
      <c r="F255">
        <v>70</v>
      </c>
      <c r="G255" t="s">
        <v>136</v>
      </c>
      <c r="H255">
        <v>7010</v>
      </c>
      <c r="I255" t="s">
        <v>137</v>
      </c>
      <c r="K255" t="s">
        <v>79</v>
      </c>
      <c r="M255">
        <v>12150922217</v>
      </c>
      <c r="N255" t="s">
        <v>139</v>
      </c>
      <c r="O255">
        <v>12150922217</v>
      </c>
      <c r="Q255" t="s">
        <v>141</v>
      </c>
      <c r="R255">
        <v>0</v>
      </c>
      <c r="T255" t="s">
        <v>146</v>
      </c>
      <c r="AA255" t="s">
        <v>144</v>
      </c>
      <c r="AB255" t="s">
        <v>212</v>
      </c>
      <c r="AC255">
        <v>0</v>
      </c>
      <c r="AD255">
        <v>0</v>
      </c>
      <c r="AE255" t="s">
        <v>147</v>
      </c>
      <c r="AF255" t="s">
        <v>148</v>
      </c>
      <c r="AG255" t="s">
        <v>149</v>
      </c>
      <c r="AH255" t="s">
        <v>182</v>
      </c>
      <c r="AJ255" t="s">
        <v>213</v>
      </c>
      <c r="AK255" t="s">
        <v>152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Z255" t="s">
        <v>214</v>
      </c>
      <c r="BA255">
        <v>726814</v>
      </c>
      <c r="BB255">
        <v>3763464</v>
      </c>
    </row>
    <row r="256" spans="1:54" x14ac:dyDescent="0.35">
      <c r="A256">
        <v>110296</v>
      </c>
      <c r="B256">
        <v>663</v>
      </c>
      <c r="C256" t="s">
        <v>135</v>
      </c>
      <c r="D256" s="15">
        <v>701012130922090</v>
      </c>
      <c r="F256">
        <v>70</v>
      </c>
      <c r="G256" t="s">
        <v>136</v>
      </c>
      <c r="H256">
        <v>7010</v>
      </c>
      <c r="I256" t="s">
        <v>137</v>
      </c>
      <c r="K256" t="s">
        <v>138</v>
      </c>
      <c r="M256">
        <v>12130922090</v>
      </c>
      <c r="N256" t="s">
        <v>139</v>
      </c>
      <c r="O256">
        <v>12130922090</v>
      </c>
      <c r="P256" t="s">
        <v>140</v>
      </c>
      <c r="Q256" t="s">
        <v>141</v>
      </c>
      <c r="R256">
        <v>0</v>
      </c>
      <c r="S256">
        <v>36</v>
      </c>
      <c r="T256" t="s">
        <v>142</v>
      </c>
      <c r="U256" t="s">
        <v>154</v>
      </c>
      <c r="V256" t="s">
        <v>154</v>
      </c>
      <c r="W256" t="s">
        <v>154</v>
      </c>
      <c r="X256" t="s">
        <v>154</v>
      </c>
      <c r="AA256" t="s">
        <v>144</v>
      </c>
      <c r="AB256" t="s">
        <v>215</v>
      </c>
      <c r="AC256">
        <v>0</v>
      </c>
      <c r="AD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A256">
        <v>726689</v>
      </c>
      <c r="BB256">
        <v>3763674</v>
      </c>
    </row>
    <row r="257" spans="1:54" x14ac:dyDescent="0.35">
      <c r="A257">
        <v>110295</v>
      </c>
      <c r="B257">
        <v>662</v>
      </c>
      <c r="C257" t="s">
        <v>135</v>
      </c>
      <c r="D257" s="15">
        <v>701012130922090</v>
      </c>
      <c r="E257">
        <v>0</v>
      </c>
      <c r="F257">
        <v>70</v>
      </c>
      <c r="G257" t="s">
        <v>136</v>
      </c>
      <c r="H257">
        <v>7010</v>
      </c>
      <c r="I257" t="s">
        <v>137</v>
      </c>
      <c r="K257" t="s">
        <v>79</v>
      </c>
      <c r="M257">
        <v>12150922212</v>
      </c>
      <c r="N257" t="s">
        <v>139</v>
      </c>
      <c r="O257">
        <v>12150922212</v>
      </c>
      <c r="Q257" t="s">
        <v>141</v>
      </c>
      <c r="R257">
        <v>0</v>
      </c>
      <c r="S257">
        <v>36</v>
      </c>
      <c r="T257" t="s">
        <v>142</v>
      </c>
      <c r="AA257" t="s">
        <v>144</v>
      </c>
      <c r="AB257" t="s">
        <v>215</v>
      </c>
      <c r="AC257">
        <v>0</v>
      </c>
      <c r="AD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A257">
        <v>726710</v>
      </c>
      <c r="BB257">
        <v>3763663</v>
      </c>
    </row>
    <row r="258" spans="1:54" x14ac:dyDescent="0.35">
      <c r="A258">
        <v>110294</v>
      </c>
      <c r="B258">
        <v>661</v>
      </c>
      <c r="C258" t="s">
        <v>135</v>
      </c>
      <c r="D258" s="15">
        <v>701012150922212</v>
      </c>
      <c r="E258">
        <v>0</v>
      </c>
      <c r="F258">
        <v>70</v>
      </c>
      <c r="G258" t="s">
        <v>136</v>
      </c>
      <c r="H258">
        <v>7010</v>
      </c>
      <c r="I258" t="s">
        <v>137</v>
      </c>
      <c r="K258" t="s">
        <v>138</v>
      </c>
      <c r="M258">
        <v>12150922212</v>
      </c>
      <c r="N258" t="s">
        <v>139</v>
      </c>
      <c r="O258">
        <v>12150922212</v>
      </c>
      <c r="P258" t="s">
        <v>140</v>
      </c>
      <c r="Q258" t="s">
        <v>141</v>
      </c>
      <c r="R258">
        <v>0</v>
      </c>
      <c r="S258">
        <v>36</v>
      </c>
      <c r="T258" t="s">
        <v>142</v>
      </c>
      <c r="U258" t="s">
        <v>154</v>
      </c>
      <c r="V258" t="s">
        <v>154</v>
      </c>
      <c r="W258" t="s">
        <v>154</v>
      </c>
      <c r="X258" t="s">
        <v>154</v>
      </c>
      <c r="AA258" t="s">
        <v>144</v>
      </c>
      <c r="AB258" t="s">
        <v>215</v>
      </c>
      <c r="AC258">
        <v>0</v>
      </c>
      <c r="AD258">
        <v>0</v>
      </c>
      <c r="AO258">
        <v>0</v>
      </c>
      <c r="AP258">
        <v>6</v>
      </c>
      <c r="AQ258">
        <v>4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A258">
        <v>726710</v>
      </c>
      <c r="BB258">
        <v>3763663</v>
      </c>
    </row>
    <row r="259" spans="1:54" x14ac:dyDescent="0.35">
      <c r="A259">
        <v>110293</v>
      </c>
      <c r="B259">
        <v>660</v>
      </c>
      <c r="C259" t="s">
        <v>135</v>
      </c>
      <c r="D259" s="15">
        <v>701012150922212</v>
      </c>
      <c r="F259">
        <v>70</v>
      </c>
      <c r="G259" t="s">
        <v>136</v>
      </c>
      <c r="H259">
        <v>7010</v>
      </c>
      <c r="I259" t="s">
        <v>137</v>
      </c>
      <c r="K259" t="s">
        <v>79</v>
      </c>
      <c r="M259">
        <v>12150922214</v>
      </c>
      <c r="N259" t="s">
        <v>139</v>
      </c>
      <c r="O259">
        <v>12150922214</v>
      </c>
      <c r="Q259" t="s">
        <v>141</v>
      </c>
      <c r="R259">
        <v>0</v>
      </c>
      <c r="T259" t="s">
        <v>146</v>
      </c>
      <c r="AA259" t="s">
        <v>144</v>
      </c>
      <c r="AB259" t="s">
        <v>215</v>
      </c>
      <c r="AC259">
        <v>0</v>
      </c>
      <c r="AD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A259">
        <v>726710.200000001</v>
      </c>
      <c r="BB259">
        <v>3763663.5</v>
      </c>
    </row>
    <row r="260" spans="1:54" x14ac:dyDescent="0.35">
      <c r="A260">
        <v>110292</v>
      </c>
      <c r="B260">
        <v>659</v>
      </c>
      <c r="C260" t="s">
        <v>135</v>
      </c>
      <c r="D260" s="15">
        <v>701012150922214</v>
      </c>
      <c r="F260">
        <v>70</v>
      </c>
      <c r="G260" t="s">
        <v>136</v>
      </c>
      <c r="H260">
        <v>7010</v>
      </c>
      <c r="I260" t="s">
        <v>137</v>
      </c>
      <c r="K260" t="s">
        <v>138</v>
      </c>
      <c r="M260">
        <v>12150922214</v>
      </c>
      <c r="N260" t="s">
        <v>139</v>
      </c>
      <c r="O260">
        <v>12150922214</v>
      </c>
      <c r="P260" t="s">
        <v>140</v>
      </c>
      <c r="Q260" t="s">
        <v>141</v>
      </c>
      <c r="R260">
        <v>0</v>
      </c>
      <c r="T260" t="s">
        <v>146</v>
      </c>
      <c r="U260" t="s">
        <v>154</v>
      </c>
      <c r="V260" t="s">
        <v>154</v>
      </c>
      <c r="W260" t="s">
        <v>154</v>
      </c>
      <c r="X260" t="s">
        <v>154</v>
      </c>
      <c r="AA260" t="s">
        <v>144</v>
      </c>
      <c r="AB260" t="s">
        <v>215</v>
      </c>
      <c r="AC260">
        <v>0</v>
      </c>
      <c r="AD260">
        <v>0</v>
      </c>
      <c r="AO260">
        <v>0</v>
      </c>
      <c r="AP260">
        <v>5</v>
      </c>
      <c r="AQ260">
        <v>7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A260">
        <v>726710.200000001</v>
      </c>
      <c r="BB260">
        <v>3763663.5</v>
      </c>
    </row>
    <row r="261" spans="1:54" x14ac:dyDescent="0.35">
      <c r="A261">
        <v>110291</v>
      </c>
      <c r="B261">
        <v>658</v>
      </c>
      <c r="C261" t="s">
        <v>135</v>
      </c>
      <c r="D261" s="15">
        <v>701012150922214</v>
      </c>
      <c r="F261">
        <v>70</v>
      </c>
      <c r="G261" t="s">
        <v>136</v>
      </c>
      <c r="H261">
        <v>7010</v>
      </c>
      <c r="I261" t="s">
        <v>137</v>
      </c>
      <c r="K261" t="s">
        <v>79</v>
      </c>
      <c r="M261">
        <v>12150922214</v>
      </c>
      <c r="N261" t="s">
        <v>139</v>
      </c>
      <c r="O261">
        <v>12150922214</v>
      </c>
      <c r="Q261" t="s">
        <v>141</v>
      </c>
      <c r="R261">
        <v>0</v>
      </c>
      <c r="T261" t="s">
        <v>146</v>
      </c>
      <c r="AA261" t="s">
        <v>144</v>
      </c>
      <c r="AB261" t="s">
        <v>215</v>
      </c>
      <c r="AC261">
        <v>0</v>
      </c>
      <c r="AD261">
        <v>0</v>
      </c>
      <c r="AE261" t="s">
        <v>147</v>
      </c>
      <c r="AF261" t="s">
        <v>148</v>
      </c>
      <c r="AG261" t="s">
        <v>149</v>
      </c>
      <c r="AH261" t="s">
        <v>182</v>
      </c>
      <c r="AJ261" t="s">
        <v>216</v>
      </c>
      <c r="AK261" t="s">
        <v>152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Z261" t="s">
        <v>217</v>
      </c>
      <c r="BA261">
        <v>726710.200000001</v>
      </c>
      <c r="BB261">
        <v>3763663.5</v>
      </c>
    </row>
    <row r="262" spans="1:54" x14ac:dyDescent="0.35">
      <c r="A262">
        <v>110290</v>
      </c>
      <c r="B262">
        <v>657</v>
      </c>
      <c r="C262" t="s">
        <v>135</v>
      </c>
      <c r="D262" s="15">
        <v>701012150922211</v>
      </c>
      <c r="F262">
        <v>70</v>
      </c>
      <c r="G262" t="s">
        <v>136</v>
      </c>
      <c r="H262">
        <v>7010</v>
      </c>
      <c r="I262" t="s">
        <v>137</v>
      </c>
      <c r="K262" t="s">
        <v>138</v>
      </c>
      <c r="M262">
        <v>12150922211</v>
      </c>
      <c r="N262" t="s">
        <v>139</v>
      </c>
      <c r="O262">
        <v>12150922211</v>
      </c>
      <c r="P262" t="s">
        <v>140</v>
      </c>
      <c r="Q262" t="s">
        <v>141</v>
      </c>
      <c r="R262">
        <v>0</v>
      </c>
      <c r="S262">
        <v>36</v>
      </c>
      <c r="T262" t="s">
        <v>142</v>
      </c>
      <c r="U262" t="s">
        <v>143</v>
      </c>
      <c r="V262" t="s">
        <v>143</v>
      </c>
      <c r="W262" t="s">
        <v>143</v>
      </c>
      <c r="X262" t="s">
        <v>143</v>
      </c>
      <c r="AA262" t="s">
        <v>144</v>
      </c>
      <c r="AB262" t="s">
        <v>218</v>
      </c>
      <c r="AC262">
        <v>0</v>
      </c>
      <c r="AD262">
        <v>0</v>
      </c>
      <c r="AO262">
        <v>0</v>
      </c>
      <c r="AP262">
        <v>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A262">
        <v>726663.00000000105</v>
      </c>
      <c r="BB262">
        <v>3763640</v>
      </c>
    </row>
    <row r="263" spans="1:54" x14ac:dyDescent="0.35">
      <c r="A263">
        <v>110289</v>
      </c>
      <c r="B263">
        <v>656</v>
      </c>
      <c r="C263" t="s">
        <v>135</v>
      </c>
      <c r="D263" s="15">
        <v>701012150922211</v>
      </c>
      <c r="F263">
        <v>70</v>
      </c>
      <c r="G263" t="s">
        <v>136</v>
      </c>
      <c r="H263">
        <v>7010</v>
      </c>
      <c r="I263" t="s">
        <v>137</v>
      </c>
      <c r="K263" t="s">
        <v>79</v>
      </c>
      <c r="M263">
        <v>12150922210</v>
      </c>
      <c r="N263" t="s">
        <v>139</v>
      </c>
      <c r="O263">
        <v>12150922210</v>
      </c>
      <c r="Q263" t="s">
        <v>141</v>
      </c>
      <c r="R263">
        <v>0</v>
      </c>
      <c r="S263">
        <v>36</v>
      </c>
      <c r="T263" t="s">
        <v>142</v>
      </c>
      <c r="AA263" t="s">
        <v>144</v>
      </c>
      <c r="AB263" t="s">
        <v>218</v>
      </c>
      <c r="AC263">
        <v>0</v>
      </c>
      <c r="AD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A263">
        <v>726679</v>
      </c>
      <c r="BB263">
        <v>3763621</v>
      </c>
    </row>
    <row r="264" spans="1:54" x14ac:dyDescent="0.35">
      <c r="A264">
        <v>110288</v>
      </c>
      <c r="B264">
        <v>655</v>
      </c>
      <c r="C264" t="s">
        <v>135</v>
      </c>
      <c r="D264" s="15">
        <v>701012150922210</v>
      </c>
      <c r="F264">
        <v>70</v>
      </c>
      <c r="G264" t="s">
        <v>136</v>
      </c>
      <c r="H264">
        <v>7010</v>
      </c>
      <c r="I264" t="s">
        <v>137</v>
      </c>
      <c r="K264" t="s">
        <v>138</v>
      </c>
      <c r="M264">
        <v>12150922210</v>
      </c>
      <c r="N264" t="s">
        <v>139</v>
      </c>
      <c r="O264">
        <v>12150922210</v>
      </c>
      <c r="P264" t="s">
        <v>140</v>
      </c>
      <c r="Q264" t="s">
        <v>141</v>
      </c>
      <c r="R264">
        <v>0</v>
      </c>
      <c r="S264">
        <v>36</v>
      </c>
      <c r="T264" t="s">
        <v>142</v>
      </c>
      <c r="U264" t="s">
        <v>143</v>
      </c>
      <c r="V264" t="s">
        <v>143</v>
      </c>
      <c r="W264" t="s">
        <v>143</v>
      </c>
      <c r="X264" t="s">
        <v>143</v>
      </c>
      <c r="AA264" t="s">
        <v>144</v>
      </c>
      <c r="AB264" t="s">
        <v>218</v>
      </c>
      <c r="AC264">
        <v>0</v>
      </c>
      <c r="AD264">
        <v>0</v>
      </c>
      <c r="AO264">
        <v>0</v>
      </c>
      <c r="AP264">
        <v>4</v>
      </c>
      <c r="AQ264">
        <v>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A264">
        <v>726679</v>
      </c>
      <c r="BB264">
        <v>3763621</v>
      </c>
    </row>
    <row r="265" spans="1:54" x14ac:dyDescent="0.35">
      <c r="A265">
        <v>110287</v>
      </c>
      <c r="B265">
        <v>654</v>
      </c>
      <c r="C265" t="s">
        <v>135</v>
      </c>
      <c r="D265" s="15">
        <v>701012150922210</v>
      </c>
      <c r="F265">
        <v>70</v>
      </c>
      <c r="G265" t="s">
        <v>136</v>
      </c>
      <c r="H265">
        <v>7010</v>
      </c>
      <c r="I265" t="s">
        <v>137</v>
      </c>
      <c r="K265" t="s">
        <v>79</v>
      </c>
      <c r="M265">
        <v>12150922209</v>
      </c>
      <c r="N265" t="s">
        <v>139</v>
      </c>
      <c r="O265">
        <v>12150922209</v>
      </c>
      <c r="Q265" t="s">
        <v>141</v>
      </c>
      <c r="R265">
        <v>0</v>
      </c>
      <c r="S265">
        <v>36</v>
      </c>
      <c r="T265" t="s">
        <v>142</v>
      </c>
      <c r="AA265" t="s">
        <v>144</v>
      </c>
      <c r="AB265" t="s">
        <v>218</v>
      </c>
      <c r="AC265">
        <v>0</v>
      </c>
      <c r="AD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A265">
        <v>726702</v>
      </c>
      <c r="BB265">
        <v>3763602</v>
      </c>
    </row>
    <row r="266" spans="1:54" x14ac:dyDescent="0.35">
      <c r="A266">
        <v>110286</v>
      </c>
      <c r="B266">
        <v>653</v>
      </c>
      <c r="C266" t="s">
        <v>135</v>
      </c>
      <c r="D266" s="15">
        <v>701012150922209</v>
      </c>
      <c r="F266">
        <v>70</v>
      </c>
      <c r="G266" t="s">
        <v>136</v>
      </c>
      <c r="H266">
        <v>7010</v>
      </c>
      <c r="I266" t="s">
        <v>137</v>
      </c>
      <c r="K266" t="s">
        <v>138</v>
      </c>
      <c r="M266">
        <v>12150922209</v>
      </c>
      <c r="N266" t="s">
        <v>139</v>
      </c>
      <c r="O266">
        <v>12150922209</v>
      </c>
      <c r="P266" t="s">
        <v>140</v>
      </c>
      <c r="Q266" t="s">
        <v>141</v>
      </c>
      <c r="R266">
        <v>0</v>
      </c>
      <c r="S266">
        <v>36</v>
      </c>
      <c r="T266" t="s">
        <v>142</v>
      </c>
      <c r="U266" t="s">
        <v>143</v>
      </c>
      <c r="V266" t="s">
        <v>143</v>
      </c>
      <c r="W266" t="s">
        <v>143</v>
      </c>
      <c r="X266" t="s">
        <v>143</v>
      </c>
      <c r="AA266" t="s">
        <v>144</v>
      </c>
      <c r="AB266" t="s">
        <v>218</v>
      </c>
      <c r="AC266">
        <v>0</v>
      </c>
      <c r="AD266">
        <v>0</v>
      </c>
      <c r="AO266">
        <v>0</v>
      </c>
      <c r="AP266">
        <v>5</v>
      </c>
      <c r="AQ266">
        <v>4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A266">
        <v>726702</v>
      </c>
      <c r="BB266">
        <v>3763602</v>
      </c>
    </row>
    <row r="267" spans="1:54" x14ac:dyDescent="0.35">
      <c r="A267">
        <v>110285</v>
      </c>
      <c r="B267">
        <v>652</v>
      </c>
      <c r="C267" t="s">
        <v>135</v>
      </c>
      <c r="D267" s="15">
        <v>701012150922209</v>
      </c>
      <c r="F267">
        <v>70</v>
      </c>
      <c r="G267" t="s">
        <v>136</v>
      </c>
      <c r="H267">
        <v>7010</v>
      </c>
      <c r="I267" t="s">
        <v>137</v>
      </c>
      <c r="K267" t="s">
        <v>79</v>
      </c>
      <c r="M267">
        <v>12150922208</v>
      </c>
      <c r="N267" t="s">
        <v>139</v>
      </c>
      <c r="O267">
        <v>12150922208</v>
      </c>
      <c r="Q267" t="s">
        <v>141</v>
      </c>
      <c r="R267">
        <v>0</v>
      </c>
      <c r="S267">
        <v>36</v>
      </c>
      <c r="T267" t="s">
        <v>142</v>
      </c>
      <c r="AA267" t="s">
        <v>144</v>
      </c>
      <c r="AB267" t="s">
        <v>218</v>
      </c>
      <c r="AC267">
        <v>0</v>
      </c>
      <c r="AD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A267">
        <v>726748</v>
      </c>
      <c r="BB267">
        <v>3763559</v>
      </c>
    </row>
    <row r="268" spans="1:54" x14ac:dyDescent="0.35">
      <c r="A268">
        <v>110284</v>
      </c>
      <c r="B268">
        <v>651</v>
      </c>
      <c r="C268" t="s">
        <v>135</v>
      </c>
      <c r="D268" s="15">
        <v>701012150922208</v>
      </c>
      <c r="F268">
        <v>70</v>
      </c>
      <c r="G268" t="s">
        <v>136</v>
      </c>
      <c r="H268">
        <v>7010</v>
      </c>
      <c r="I268" t="s">
        <v>137</v>
      </c>
      <c r="K268" t="s">
        <v>138</v>
      </c>
      <c r="M268">
        <v>12150922208</v>
      </c>
      <c r="N268" t="s">
        <v>139</v>
      </c>
      <c r="O268">
        <v>12150922208</v>
      </c>
      <c r="P268" t="s">
        <v>140</v>
      </c>
      <c r="Q268" t="s">
        <v>141</v>
      </c>
      <c r="R268">
        <v>0</v>
      </c>
      <c r="S268">
        <v>36</v>
      </c>
      <c r="T268" t="s">
        <v>142</v>
      </c>
      <c r="U268" t="s">
        <v>143</v>
      </c>
      <c r="V268" t="s">
        <v>143</v>
      </c>
      <c r="W268" t="s">
        <v>143</v>
      </c>
      <c r="X268" t="s">
        <v>143</v>
      </c>
      <c r="AA268" t="s">
        <v>144</v>
      </c>
      <c r="AB268" t="s">
        <v>218</v>
      </c>
      <c r="AC268">
        <v>0</v>
      </c>
      <c r="AD268">
        <v>0</v>
      </c>
      <c r="AO268">
        <v>0</v>
      </c>
      <c r="AP268">
        <v>6</v>
      </c>
      <c r="AQ268">
        <v>8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A268">
        <v>726748</v>
      </c>
      <c r="BB268">
        <v>3763559</v>
      </c>
    </row>
    <row r="269" spans="1:54" x14ac:dyDescent="0.35">
      <c r="A269">
        <v>110283</v>
      </c>
      <c r="B269">
        <v>650</v>
      </c>
      <c r="C269" t="s">
        <v>135</v>
      </c>
      <c r="D269" s="15">
        <v>701012150922208</v>
      </c>
      <c r="F269">
        <v>70</v>
      </c>
      <c r="G269" t="s">
        <v>136</v>
      </c>
      <c r="H269">
        <v>7010</v>
      </c>
      <c r="I269" t="s">
        <v>137</v>
      </c>
      <c r="K269" t="s">
        <v>79</v>
      </c>
      <c r="M269">
        <v>12150922207</v>
      </c>
      <c r="N269" t="s">
        <v>139</v>
      </c>
      <c r="O269">
        <v>12150922207</v>
      </c>
      <c r="Q269" t="s">
        <v>141</v>
      </c>
      <c r="R269">
        <v>0</v>
      </c>
      <c r="S269">
        <v>36</v>
      </c>
      <c r="T269" t="s">
        <v>142</v>
      </c>
      <c r="AA269" t="s">
        <v>144</v>
      </c>
      <c r="AB269" t="s">
        <v>218</v>
      </c>
      <c r="AC269">
        <v>0</v>
      </c>
      <c r="AD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A269">
        <v>726796.00000000105</v>
      </c>
      <c r="BB269">
        <v>3763537</v>
      </c>
    </row>
    <row r="270" spans="1:54" x14ac:dyDescent="0.35">
      <c r="A270">
        <v>110282</v>
      </c>
      <c r="B270">
        <v>649</v>
      </c>
      <c r="C270" t="s">
        <v>135</v>
      </c>
      <c r="D270" s="15">
        <v>701012150922207</v>
      </c>
      <c r="F270">
        <v>70</v>
      </c>
      <c r="G270" t="s">
        <v>136</v>
      </c>
      <c r="H270">
        <v>7010</v>
      </c>
      <c r="I270" t="s">
        <v>137</v>
      </c>
      <c r="K270" t="s">
        <v>138</v>
      </c>
      <c r="M270">
        <v>12150922207</v>
      </c>
      <c r="N270" t="s">
        <v>139</v>
      </c>
      <c r="O270">
        <v>12150922207</v>
      </c>
      <c r="P270" t="s">
        <v>140</v>
      </c>
      <c r="Q270" t="s">
        <v>141</v>
      </c>
      <c r="R270">
        <v>0</v>
      </c>
      <c r="S270">
        <v>36</v>
      </c>
      <c r="T270" t="s">
        <v>142</v>
      </c>
      <c r="U270" t="s">
        <v>143</v>
      </c>
      <c r="V270" t="s">
        <v>143</v>
      </c>
      <c r="W270" t="s">
        <v>143</v>
      </c>
      <c r="X270" t="s">
        <v>143</v>
      </c>
      <c r="AA270" t="s">
        <v>144</v>
      </c>
      <c r="AB270" t="s">
        <v>218</v>
      </c>
      <c r="AC270">
        <v>0</v>
      </c>
      <c r="AD270">
        <v>0</v>
      </c>
      <c r="AO270">
        <v>0</v>
      </c>
      <c r="AP270">
        <v>5</v>
      </c>
      <c r="AQ270">
        <v>5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A270">
        <v>726796.00000000105</v>
      </c>
      <c r="BB270">
        <v>3763537</v>
      </c>
    </row>
    <row r="271" spans="1:54" x14ac:dyDescent="0.35">
      <c r="A271">
        <v>110281</v>
      </c>
      <c r="B271">
        <v>648</v>
      </c>
      <c r="C271" t="s">
        <v>135</v>
      </c>
      <c r="D271" s="15">
        <v>701012150922207</v>
      </c>
      <c r="F271">
        <v>70</v>
      </c>
      <c r="G271" t="s">
        <v>136</v>
      </c>
      <c r="H271">
        <v>7010</v>
      </c>
      <c r="I271" t="s">
        <v>137</v>
      </c>
      <c r="K271" t="s">
        <v>79</v>
      </c>
      <c r="M271">
        <v>12150922200</v>
      </c>
      <c r="N271" t="s">
        <v>139</v>
      </c>
      <c r="O271">
        <v>12150922200</v>
      </c>
      <c r="Q271" t="s">
        <v>141</v>
      </c>
      <c r="R271">
        <v>0</v>
      </c>
      <c r="T271" t="s">
        <v>146</v>
      </c>
      <c r="AA271" t="s">
        <v>144</v>
      </c>
      <c r="AB271" t="s">
        <v>218</v>
      </c>
      <c r="AC271">
        <v>0</v>
      </c>
      <c r="AD271">
        <v>0</v>
      </c>
      <c r="AE271" t="s">
        <v>147</v>
      </c>
      <c r="AF271" t="s">
        <v>148</v>
      </c>
      <c r="AG271" t="s">
        <v>149</v>
      </c>
      <c r="AH271" t="s">
        <v>182</v>
      </c>
      <c r="AJ271" t="s">
        <v>219</v>
      </c>
      <c r="AK271" t="s">
        <v>152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Z271" t="s">
        <v>220</v>
      </c>
      <c r="BA271">
        <v>726837.20000000205</v>
      </c>
      <c r="BB271">
        <v>3763515.4</v>
      </c>
    </row>
    <row r="272" spans="1:54" x14ac:dyDescent="0.35">
      <c r="A272">
        <v>110280</v>
      </c>
      <c r="B272">
        <v>647</v>
      </c>
      <c r="C272" t="s">
        <v>135</v>
      </c>
      <c r="D272" s="15">
        <v>701012150922206</v>
      </c>
      <c r="F272">
        <v>70</v>
      </c>
      <c r="G272" t="s">
        <v>136</v>
      </c>
      <c r="H272">
        <v>7010</v>
      </c>
      <c r="I272" t="s">
        <v>137</v>
      </c>
      <c r="K272" t="s">
        <v>138</v>
      </c>
      <c r="M272">
        <v>12150922206</v>
      </c>
      <c r="N272" t="s">
        <v>139</v>
      </c>
      <c r="O272">
        <v>12150922206</v>
      </c>
      <c r="P272" t="s">
        <v>140</v>
      </c>
      <c r="Q272" t="s">
        <v>141</v>
      </c>
      <c r="R272">
        <v>0</v>
      </c>
      <c r="S272">
        <v>36</v>
      </c>
      <c r="T272" t="s">
        <v>142</v>
      </c>
      <c r="U272" t="s">
        <v>143</v>
      </c>
      <c r="V272" t="s">
        <v>143</v>
      </c>
      <c r="W272" t="s">
        <v>143</v>
      </c>
      <c r="X272" t="s">
        <v>143</v>
      </c>
      <c r="AA272" t="s">
        <v>144</v>
      </c>
      <c r="AB272" t="s">
        <v>218</v>
      </c>
      <c r="AC272">
        <v>0</v>
      </c>
      <c r="AD272">
        <v>0</v>
      </c>
      <c r="AO272">
        <v>0</v>
      </c>
      <c r="AP272">
        <v>5</v>
      </c>
      <c r="AQ272">
        <v>6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A272">
        <v>726965</v>
      </c>
      <c r="BB272">
        <v>3763461</v>
      </c>
    </row>
    <row r="273" spans="1:54" x14ac:dyDescent="0.35">
      <c r="A273">
        <v>110279</v>
      </c>
      <c r="B273">
        <v>646</v>
      </c>
      <c r="C273" t="s">
        <v>135</v>
      </c>
      <c r="D273" s="15">
        <v>701012150922206</v>
      </c>
      <c r="F273">
        <v>70</v>
      </c>
      <c r="G273" t="s">
        <v>136</v>
      </c>
      <c r="H273">
        <v>7010</v>
      </c>
      <c r="I273" t="s">
        <v>137</v>
      </c>
      <c r="K273" t="s">
        <v>79</v>
      </c>
      <c r="M273">
        <v>12150922205</v>
      </c>
      <c r="N273" t="s">
        <v>139</v>
      </c>
      <c r="O273">
        <v>12150922205</v>
      </c>
      <c r="Q273" t="s">
        <v>141</v>
      </c>
      <c r="R273">
        <v>0</v>
      </c>
      <c r="S273">
        <v>30</v>
      </c>
      <c r="T273" t="s">
        <v>142</v>
      </c>
      <c r="AA273" t="s">
        <v>144</v>
      </c>
      <c r="AB273" t="s">
        <v>218</v>
      </c>
      <c r="AC273">
        <v>0</v>
      </c>
      <c r="AD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A273">
        <v>726921.00000000105</v>
      </c>
      <c r="BB273">
        <v>3763483</v>
      </c>
    </row>
    <row r="274" spans="1:54" x14ac:dyDescent="0.35">
      <c r="A274">
        <v>110278</v>
      </c>
      <c r="B274">
        <v>645</v>
      </c>
      <c r="C274" t="s">
        <v>135</v>
      </c>
      <c r="D274" s="15">
        <v>701012150922205</v>
      </c>
      <c r="F274">
        <v>70</v>
      </c>
      <c r="G274" t="s">
        <v>136</v>
      </c>
      <c r="H274">
        <v>7010</v>
      </c>
      <c r="I274" t="s">
        <v>137</v>
      </c>
      <c r="K274" t="s">
        <v>138</v>
      </c>
      <c r="M274">
        <v>12150922205</v>
      </c>
      <c r="N274" t="s">
        <v>139</v>
      </c>
      <c r="O274">
        <v>12150922205</v>
      </c>
      <c r="P274" t="s">
        <v>140</v>
      </c>
      <c r="Q274" t="s">
        <v>141</v>
      </c>
      <c r="R274">
        <v>0</v>
      </c>
      <c r="S274">
        <v>30</v>
      </c>
      <c r="T274" t="s">
        <v>142</v>
      </c>
      <c r="U274" t="s">
        <v>143</v>
      </c>
      <c r="V274" t="s">
        <v>143</v>
      </c>
      <c r="W274" t="s">
        <v>143</v>
      </c>
      <c r="X274" t="s">
        <v>143</v>
      </c>
      <c r="AA274" t="s">
        <v>144</v>
      </c>
      <c r="AB274" t="s">
        <v>218</v>
      </c>
      <c r="AC274">
        <v>0</v>
      </c>
      <c r="AD274">
        <v>0</v>
      </c>
      <c r="AO274">
        <v>0</v>
      </c>
      <c r="AP274">
        <v>5</v>
      </c>
      <c r="AQ274">
        <v>5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A274">
        <v>726921.00000000105</v>
      </c>
      <c r="BB274">
        <v>3763483</v>
      </c>
    </row>
    <row r="275" spans="1:54" x14ac:dyDescent="0.35">
      <c r="A275">
        <v>110277</v>
      </c>
      <c r="B275">
        <v>644</v>
      </c>
      <c r="C275" t="s">
        <v>135</v>
      </c>
      <c r="D275" s="15">
        <v>701012150922205</v>
      </c>
      <c r="F275">
        <v>70</v>
      </c>
      <c r="G275" t="s">
        <v>136</v>
      </c>
      <c r="H275">
        <v>7010</v>
      </c>
      <c r="I275" t="s">
        <v>137</v>
      </c>
      <c r="K275" t="s">
        <v>79</v>
      </c>
      <c r="M275">
        <v>12150922204</v>
      </c>
      <c r="N275" t="s">
        <v>139</v>
      </c>
      <c r="O275">
        <v>12150922204</v>
      </c>
      <c r="Q275" t="s">
        <v>141</v>
      </c>
      <c r="R275">
        <v>0</v>
      </c>
      <c r="S275">
        <v>30</v>
      </c>
      <c r="T275" t="s">
        <v>142</v>
      </c>
      <c r="AA275" t="s">
        <v>144</v>
      </c>
      <c r="AB275" t="s">
        <v>218</v>
      </c>
      <c r="AC275">
        <v>0</v>
      </c>
      <c r="AD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A275">
        <v>726878.99999999895</v>
      </c>
      <c r="BB275">
        <v>3763501</v>
      </c>
    </row>
    <row r="276" spans="1:54" x14ac:dyDescent="0.35">
      <c r="A276">
        <v>110276</v>
      </c>
      <c r="B276">
        <v>643</v>
      </c>
      <c r="C276" t="s">
        <v>135</v>
      </c>
      <c r="D276" s="15">
        <v>701012150922204</v>
      </c>
      <c r="F276">
        <v>70</v>
      </c>
      <c r="G276" t="s">
        <v>136</v>
      </c>
      <c r="H276">
        <v>7010</v>
      </c>
      <c r="I276" t="s">
        <v>137</v>
      </c>
      <c r="K276" t="s">
        <v>138</v>
      </c>
      <c r="M276">
        <v>12150922204</v>
      </c>
      <c r="N276" t="s">
        <v>139</v>
      </c>
      <c r="O276">
        <v>12150922204</v>
      </c>
      <c r="P276" t="s">
        <v>140</v>
      </c>
      <c r="Q276" t="s">
        <v>141</v>
      </c>
      <c r="R276">
        <v>0</v>
      </c>
      <c r="S276">
        <v>30</v>
      </c>
      <c r="T276" t="s">
        <v>142</v>
      </c>
      <c r="U276" t="s">
        <v>143</v>
      </c>
      <c r="V276" t="s">
        <v>143</v>
      </c>
      <c r="W276" t="s">
        <v>143</v>
      </c>
      <c r="X276" t="s">
        <v>143</v>
      </c>
      <c r="AA276" t="s">
        <v>144</v>
      </c>
      <c r="AB276" t="s">
        <v>218</v>
      </c>
      <c r="AC276">
        <v>0</v>
      </c>
      <c r="AD276">
        <v>0</v>
      </c>
      <c r="AO276">
        <v>0</v>
      </c>
      <c r="AP276">
        <v>5</v>
      </c>
      <c r="AQ276">
        <v>6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A276">
        <v>726878.99999999895</v>
      </c>
      <c r="BB276">
        <v>3763501</v>
      </c>
    </row>
    <row r="277" spans="1:54" x14ac:dyDescent="0.35">
      <c r="A277">
        <v>110275</v>
      </c>
      <c r="B277">
        <v>642</v>
      </c>
      <c r="C277" t="s">
        <v>135</v>
      </c>
      <c r="D277" s="15">
        <v>701012150922204</v>
      </c>
      <c r="F277">
        <v>70</v>
      </c>
      <c r="G277" t="s">
        <v>136</v>
      </c>
      <c r="H277">
        <v>7010</v>
      </c>
      <c r="I277" t="s">
        <v>137</v>
      </c>
      <c r="K277" t="s">
        <v>79</v>
      </c>
      <c r="M277">
        <v>12150922200</v>
      </c>
      <c r="N277" t="s">
        <v>139</v>
      </c>
      <c r="O277">
        <v>12150922200</v>
      </c>
      <c r="Q277" t="s">
        <v>141</v>
      </c>
      <c r="R277">
        <v>0</v>
      </c>
      <c r="T277" t="s">
        <v>146</v>
      </c>
      <c r="AA277" t="s">
        <v>144</v>
      </c>
      <c r="AB277" t="s">
        <v>218</v>
      </c>
      <c r="AC277">
        <v>0</v>
      </c>
      <c r="AD277">
        <v>0</v>
      </c>
      <c r="AE277" t="s">
        <v>147</v>
      </c>
      <c r="AF277" t="s">
        <v>148</v>
      </c>
      <c r="AG277" t="s">
        <v>149</v>
      </c>
      <c r="AH277" t="s">
        <v>182</v>
      </c>
      <c r="AJ277" t="s">
        <v>219</v>
      </c>
      <c r="AK277" t="s">
        <v>152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Z277" t="s">
        <v>220</v>
      </c>
      <c r="BA277">
        <v>726837.20000000205</v>
      </c>
      <c r="BB277">
        <v>3763515.4</v>
      </c>
    </row>
    <row r="278" spans="1:54" x14ac:dyDescent="0.35">
      <c r="A278">
        <v>110274</v>
      </c>
      <c r="B278">
        <v>641</v>
      </c>
      <c r="C278" t="s">
        <v>135</v>
      </c>
      <c r="D278" s="15">
        <v>701012150922203</v>
      </c>
      <c r="F278">
        <v>70</v>
      </c>
      <c r="G278" t="s">
        <v>136</v>
      </c>
      <c r="H278">
        <v>7010</v>
      </c>
      <c r="I278" t="s">
        <v>137</v>
      </c>
      <c r="K278" t="s">
        <v>138</v>
      </c>
      <c r="M278">
        <v>12150922203</v>
      </c>
      <c r="N278" t="s">
        <v>139</v>
      </c>
      <c r="O278">
        <v>12150922203</v>
      </c>
      <c r="P278" t="s">
        <v>140</v>
      </c>
      <c r="Q278" t="s">
        <v>141</v>
      </c>
      <c r="R278">
        <v>0</v>
      </c>
      <c r="S278">
        <v>36</v>
      </c>
      <c r="T278" t="s">
        <v>142</v>
      </c>
      <c r="U278" t="s">
        <v>154</v>
      </c>
      <c r="V278" t="s">
        <v>154</v>
      </c>
      <c r="W278" t="s">
        <v>154</v>
      </c>
      <c r="X278" t="s">
        <v>154</v>
      </c>
      <c r="AA278" t="s">
        <v>144</v>
      </c>
      <c r="AB278" t="s">
        <v>218</v>
      </c>
      <c r="AC278">
        <v>0</v>
      </c>
      <c r="AD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A278">
        <v>726739.00000000105</v>
      </c>
      <c r="BB278">
        <v>3763631</v>
      </c>
    </row>
    <row r="279" spans="1:54" x14ac:dyDescent="0.35">
      <c r="A279">
        <v>110273</v>
      </c>
      <c r="B279">
        <v>640</v>
      </c>
      <c r="C279" t="s">
        <v>135</v>
      </c>
      <c r="D279" s="15">
        <v>701012150922203</v>
      </c>
      <c r="F279">
        <v>70</v>
      </c>
      <c r="G279" t="s">
        <v>136</v>
      </c>
      <c r="H279">
        <v>7010</v>
      </c>
      <c r="I279" t="s">
        <v>137</v>
      </c>
      <c r="K279" t="s">
        <v>79</v>
      </c>
      <c r="M279">
        <v>12150922202</v>
      </c>
      <c r="N279" t="s">
        <v>139</v>
      </c>
      <c r="O279">
        <v>12150922202</v>
      </c>
      <c r="Q279" t="s">
        <v>141</v>
      </c>
      <c r="R279">
        <v>0</v>
      </c>
      <c r="S279">
        <v>30</v>
      </c>
      <c r="T279" t="s">
        <v>142</v>
      </c>
      <c r="AA279" t="s">
        <v>144</v>
      </c>
      <c r="AB279" t="s">
        <v>218</v>
      </c>
      <c r="AC279">
        <v>0</v>
      </c>
      <c r="AD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A279">
        <v>726782.00000000198</v>
      </c>
      <c r="BB279">
        <v>3763604</v>
      </c>
    </row>
    <row r="280" spans="1:54" x14ac:dyDescent="0.35">
      <c r="A280">
        <v>110272</v>
      </c>
      <c r="B280">
        <v>639</v>
      </c>
      <c r="C280" t="s">
        <v>135</v>
      </c>
      <c r="D280" s="15">
        <v>701012150922202</v>
      </c>
      <c r="F280">
        <v>70</v>
      </c>
      <c r="G280" t="s">
        <v>136</v>
      </c>
      <c r="H280">
        <v>7010</v>
      </c>
      <c r="I280" t="s">
        <v>137</v>
      </c>
      <c r="K280" t="s">
        <v>138</v>
      </c>
      <c r="M280">
        <v>12150922202</v>
      </c>
      <c r="N280" t="s">
        <v>139</v>
      </c>
      <c r="O280">
        <v>12150922202</v>
      </c>
      <c r="P280" t="s">
        <v>140</v>
      </c>
      <c r="Q280" t="s">
        <v>141</v>
      </c>
      <c r="R280">
        <v>0</v>
      </c>
      <c r="S280">
        <v>30</v>
      </c>
      <c r="T280" t="s">
        <v>142</v>
      </c>
      <c r="U280" t="s">
        <v>154</v>
      </c>
      <c r="V280" t="s">
        <v>154</v>
      </c>
      <c r="W280" t="s">
        <v>154</v>
      </c>
      <c r="X280" t="s">
        <v>154</v>
      </c>
      <c r="AA280" t="s">
        <v>144</v>
      </c>
      <c r="AB280" t="s">
        <v>218</v>
      </c>
      <c r="AC280">
        <v>0</v>
      </c>
      <c r="AD280">
        <v>0</v>
      </c>
      <c r="AO280">
        <v>0</v>
      </c>
      <c r="AP280">
        <v>4</v>
      </c>
      <c r="AQ280">
        <v>7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A280">
        <v>726782.00000000198</v>
      </c>
      <c r="BB280">
        <v>3763604</v>
      </c>
    </row>
    <row r="281" spans="1:54" x14ac:dyDescent="0.35">
      <c r="A281">
        <v>110271</v>
      </c>
      <c r="B281">
        <v>638</v>
      </c>
      <c r="C281" t="s">
        <v>135</v>
      </c>
      <c r="D281" s="15">
        <v>701012150922202</v>
      </c>
      <c r="F281">
        <v>70</v>
      </c>
      <c r="G281" t="s">
        <v>136</v>
      </c>
      <c r="H281">
        <v>7010</v>
      </c>
      <c r="I281" t="s">
        <v>137</v>
      </c>
      <c r="K281" t="s">
        <v>79</v>
      </c>
      <c r="M281">
        <v>12150922201</v>
      </c>
      <c r="N281" t="s">
        <v>139</v>
      </c>
      <c r="O281">
        <v>12150922201</v>
      </c>
      <c r="Q281" t="s">
        <v>141</v>
      </c>
      <c r="R281">
        <v>0</v>
      </c>
      <c r="S281">
        <v>30</v>
      </c>
      <c r="T281" t="s">
        <v>142</v>
      </c>
      <c r="AA281" t="s">
        <v>144</v>
      </c>
      <c r="AB281" t="s">
        <v>218</v>
      </c>
      <c r="AC281">
        <v>0</v>
      </c>
      <c r="AD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A281">
        <v>726820</v>
      </c>
      <c r="BB281">
        <v>3763583</v>
      </c>
    </row>
    <row r="282" spans="1:54" x14ac:dyDescent="0.35">
      <c r="A282">
        <v>110270</v>
      </c>
      <c r="B282">
        <v>637</v>
      </c>
      <c r="C282" t="s">
        <v>135</v>
      </c>
      <c r="D282" s="15">
        <v>701012150922201</v>
      </c>
      <c r="F282">
        <v>70</v>
      </c>
      <c r="G282" t="s">
        <v>136</v>
      </c>
      <c r="H282">
        <v>7010</v>
      </c>
      <c r="I282" t="s">
        <v>137</v>
      </c>
      <c r="K282" t="s">
        <v>138</v>
      </c>
      <c r="M282">
        <v>12150922201</v>
      </c>
      <c r="N282" t="s">
        <v>139</v>
      </c>
      <c r="O282">
        <v>12150922201</v>
      </c>
      <c r="P282" t="s">
        <v>140</v>
      </c>
      <c r="Q282" t="s">
        <v>141</v>
      </c>
      <c r="R282">
        <v>0</v>
      </c>
      <c r="S282">
        <v>30</v>
      </c>
      <c r="T282" t="s">
        <v>142</v>
      </c>
      <c r="U282" t="s">
        <v>154</v>
      </c>
      <c r="V282" t="s">
        <v>154</v>
      </c>
      <c r="W282" t="s">
        <v>154</v>
      </c>
      <c r="X282" t="s">
        <v>154</v>
      </c>
      <c r="AA282" t="s">
        <v>144</v>
      </c>
      <c r="AB282" t="s">
        <v>218</v>
      </c>
      <c r="AC282">
        <v>0</v>
      </c>
      <c r="AD282">
        <v>0</v>
      </c>
      <c r="AO282">
        <v>0</v>
      </c>
      <c r="AP282">
        <v>5</v>
      </c>
      <c r="AQ282">
        <v>6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A282">
        <v>726820</v>
      </c>
      <c r="BB282">
        <v>3763583</v>
      </c>
    </row>
    <row r="283" spans="1:54" x14ac:dyDescent="0.35">
      <c r="A283">
        <v>110269</v>
      </c>
      <c r="B283">
        <v>636</v>
      </c>
      <c r="C283" t="s">
        <v>135</v>
      </c>
      <c r="D283" s="15">
        <v>701012150922201</v>
      </c>
      <c r="F283">
        <v>70</v>
      </c>
      <c r="G283" t="s">
        <v>136</v>
      </c>
      <c r="H283">
        <v>7010</v>
      </c>
      <c r="I283" t="s">
        <v>137</v>
      </c>
      <c r="K283" t="s">
        <v>79</v>
      </c>
      <c r="M283">
        <v>12150922195</v>
      </c>
      <c r="N283" t="s">
        <v>139</v>
      </c>
      <c r="O283">
        <v>12150922195</v>
      </c>
      <c r="Q283" t="s">
        <v>141</v>
      </c>
      <c r="R283">
        <v>0</v>
      </c>
      <c r="S283">
        <v>36</v>
      </c>
      <c r="T283" t="s">
        <v>142</v>
      </c>
      <c r="AA283" t="s">
        <v>144</v>
      </c>
      <c r="AB283" t="s">
        <v>218</v>
      </c>
      <c r="AC283">
        <v>0</v>
      </c>
      <c r="AD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A283">
        <v>726859.00000000105</v>
      </c>
      <c r="BB283">
        <v>3763564</v>
      </c>
    </row>
    <row r="284" spans="1:54" x14ac:dyDescent="0.35">
      <c r="A284">
        <v>110268</v>
      </c>
      <c r="B284">
        <v>635</v>
      </c>
      <c r="C284" t="s">
        <v>135</v>
      </c>
      <c r="D284" s="15">
        <v>701012150922195</v>
      </c>
      <c r="F284">
        <v>70</v>
      </c>
      <c r="G284" t="s">
        <v>136</v>
      </c>
      <c r="H284">
        <v>7010</v>
      </c>
      <c r="I284" t="s">
        <v>137</v>
      </c>
      <c r="K284" t="s">
        <v>138</v>
      </c>
      <c r="M284">
        <v>12150922195</v>
      </c>
      <c r="N284" t="s">
        <v>139</v>
      </c>
      <c r="O284">
        <v>12150922195</v>
      </c>
      <c r="P284" t="s">
        <v>140</v>
      </c>
      <c r="Q284" t="s">
        <v>141</v>
      </c>
      <c r="R284">
        <v>0</v>
      </c>
      <c r="S284">
        <v>36</v>
      </c>
      <c r="T284" t="s">
        <v>142</v>
      </c>
      <c r="U284" t="s">
        <v>143</v>
      </c>
      <c r="V284" t="s">
        <v>143</v>
      </c>
      <c r="W284" t="s">
        <v>143</v>
      </c>
      <c r="X284" t="s">
        <v>143</v>
      </c>
      <c r="AA284" t="s">
        <v>144</v>
      </c>
      <c r="AB284" t="s">
        <v>218</v>
      </c>
      <c r="AC284">
        <v>0</v>
      </c>
      <c r="AD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A284">
        <v>726859.00000000105</v>
      </c>
      <c r="BB284">
        <v>3763564</v>
      </c>
    </row>
    <row r="285" spans="1:54" x14ac:dyDescent="0.35">
      <c r="A285">
        <v>110267</v>
      </c>
      <c r="B285">
        <v>634</v>
      </c>
      <c r="C285" t="s">
        <v>135</v>
      </c>
      <c r="D285" s="15">
        <v>701012150922195</v>
      </c>
      <c r="F285">
        <v>70</v>
      </c>
      <c r="G285" t="s">
        <v>136</v>
      </c>
      <c r="H285">
        <v>7010</v>
      </c>
      <c r="I285" t="s">
        <v>137</v>
      </c>
      <c r="K285" t="s">
        <v>79</v>
      </c>
      <c r="M285">
        <v>12150922200</v>
      </c>
      <c r="N285" t="s">
        <v>139</v>
      </c>
      <c r="O285">
        <v>12150922200</v>
      </c>
      <c r="Q285" t="s">
        <v>141</v>
      </c>
      <c r="R285">
        <v>0</v>
      </c>
      <c r="T285" t="s">
        <v>146</v>
      </c>
      <c r="AA285" t="s">
        <v>144</v>
      </c>
      <c r="AB285" t="s">
        <v>218</v>
      </c>
      <c r="AC285">
        <v>0</v>
      </c>
      <c r="AD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A285">
        <v>726837.20000000205</v>
      </c>
      <c r="BB285">
        <v>3763515.4</v>
      </c>
    </row>
    <row r="286" spans="1:54" x14ac:dyDescent="0.35">
      <c r="A286">
        <v>110266</v>
      </c>
      <c r="B286">
        <v>633</v>
      </c>
      <c r="C286" t="s">
        <v>135</v>
      </c>
      <c r="D286" s="15">
        <v>701012150922200</v>
      </c>
      <c r="F286">
        <v>70</v>
      </c>
      <c r="G286" t="s">
        <v>136</v>
      </c>
      <c r="H286">
        <v>7010</v>
      </c>
      <c r="I286" t="s">
        <v>137</v>
      </c>
      <c r="K286" t="s">
        <v>138</v>
      </c>
      <c r="M286">
        <v>12150922200</v>
      </c>
      <c r="N286" t="s">
        <v>139</v>
      </c>
      <c r="O286">
        <v>12150922200</v>
      </c>
      <c r="P286" t="s">
        <v>140</v>
      </c>
      <c r="Q286" t="s">
        <v>141</v>
      </c>
      <c r="R286">
        <v>0</v>
      </c>
      <c r="T286" t="s">
        <v>146</v>
      </c>
      <c r="U286" t="s">
        <v>143</v>
      </c>
      <c r="V286" t="s">
        <v>143</v>
      </c>
      <c r="W286" t="s">
        <v>143</v>
      </c>
      <c r="X286" t="s">
        <v>143</v>
      </c>
      <c r="AA286" t="s">
        <v>144</v>
      </c>
      <c r="AB286" t="s">
        <v>218</v>
      </c>
      <c r="AC286">
        <v>0</v>
      </c>
      <c r="AD286">
        <v>0</v>
      </c>
      <c r="AO286">
        <v>0</v>
      </c>
      <c r="AP286">
        <v>2</v>
      </c>
      <c r="AQ286">
        <v>7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 t="s">
        <v>221</v>
      </c>
      <c r="BA286">
        <v>726837.20000000205</v>
      </c>
      <c r="BB286">
        <v>3763515.4</v>
      </c>
    </row>
    <row r="287" spans="1:54" x14ac:dyDescent="0.35">
      <c r="A287">
        <v>110265</v>
      </c>
      <c r="B287">
        <v>632</v>
      </c>
      <c r="C287" t="s">
        <v>135</v>
      </c>
      <c r="D287" s="15">
        <v>701012150922200</v>
      </c>
      <c r="F287">
        <v>70</v>
      </c>
      <c r="G287" t="s">
        <v>136</v>
      </c>
      <c r="H287">
        <v>7010</v>
      </c>
      <c r="I287" t="s">
        <v>137</v>
      </c>
      <c r="K287" t="s">
        <v>79</v>
      </c>
      <c r="M287">
        <v>12150922200</v>
      </c>
      <c r="N287" t="s">
        <v>139</v>
      </c>
      <c r="O287">
        <v>12150922200</v>
      </c>
      <c r="Q287" t="s">
        <v>141</v>
      </c>
      <c r="R287">
        <v>0</v>
      </c>
      <c r="T287" t="s">
        <v>146</v>
      </c>
      <c r="AA287" t="s">
        <v>144</v>
      </c>
      <c r="AB287" t="s">
        <v>218</v>
      </c>
      <c r="AC287">
        <v>0</v>
      </c>
      <c r="AD287">
        <v>0</v>
      </c>
      <c r="AE287" t="s">
        <v>147</v>
      </c>
      <c r="AF287" t="s">
        <v>148</v>
      </c>
      <c r="AG287" t="s">
        <v>149</v>
      </c>
      <c r="AH287" t="s">
        <v>182</v>
      </c>
      <c r="AJ287" t="s">
        <v>219</v>
      </c>
      <c r="AK287" t="s">
        <v>152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Z287" t="s">
        <v>220</v>
      </c>
      <c r="BA287">
        <v>726837.20000000205</v>
      </c>
      <c r="BB287">
        <v>3763515.4</v>
      </c>
    </row>
    <row r="288" spans="1:54" x14ac:dyDescent="0.35">
      <c r="A288">
        <v>110264</v>
      </c>
      <c r="B288">
        <v>631</v>
      </c>
      <c r="C288" t="s">
        <v>135</v>
      </c>
      <c r="D288" s="15">
        <v>701012150922197</v>
      </c>
      <c r="F288">
        <v>70</v>
      </c>
      <c r="G288" t="s">
        <v>136</v>
      </c>
      <c r="H288">
        <v>7010</v>
      </c>
      <c r="I288" t="s">
        <v>137</v>
      </c>
      <c r="K288" t="s">
        <v>138</v>
      </c>
      <c r="M288">
        <v>12150922197</v>
      </c>
      <c r="N288" t="s">
        <v>139</v>
      </c>
      <c r="O288">
        <v>12150922197</v>
      </c>
      <c r="P288" t="s">
        <v>140</v>
      </c>
      <c r="Q288" t="s">
        <v>141</v>
      </c>
      <c r="R288">
        <v>0</v>
      </c>
      <c r="S288">
        <v>36</v>
      </c>
      <c r="T288" t="s">
        <v>222</v>
      </c>
      <c r="U288" t="s">
        <v>154</v>
      </c>
      <c r="V288" t="s">
        <v>154</v>
      </c>
      <c r="W288" t="s">
        <v>154</v>
      </c>
      <c r="X288" t="s">
        <v>154</v>
      </c>
      <c r="AA288" t="s">
        <v>144</v>
      </c>
      <c r="AB288" t="s">
        <v>223</v>
      </c>
      <c r="AC288">
        <v>0</v>
      </c>
      <c r="AD288">
        <v>0</v>
      </c>
      <c r="AO288">
        <v>0</v>
      </c>
      <c r="AP288">
        <v>3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A288">
        <v>726941.00000000105</v>
      </c>
      <c r="BB288">
        <v>3763527</v>
      </c>
    </row>
    <row r="289" spans="1:54" x14ac:dyDescent="0.35">
      <c r="A289">
        <v>110263</v>
      </c>
      <c r="B289">
        <v>630</v>
      </c>
      <c r="C289" t="s">
        <v>135</v>
      </c>
      <c r="D289" s="15">
        <v>701012150922197</v>
      </c>
      <c r="F289">
        <v>70</v>
      </c>
      <c r="G289" t="s">
        <v>136</v>
      </c>
      <c r="H289">
        <v>7010</v>
      </c>
      <c r="I289" t="s">
        <v>137</v>
      </c>
      <c r="K289" t="s">
        <v>79</v>
      </c>
      <c r="M289">
        <v>12150922196</v>
      </c>
      <c r="N289" t="s">
        <v>139</v>
      </c>
      <c r="O289">
        <v>12150922196</v>
      </c>
      <c r="Q289" t="s">
        <v>141</v>
      </c>
      <c r="R289">
        <v>0</v>
      </c>
      <c r="S289">
        <v>36</v>
      </c>
      <c r="T289" t="s">
        <v>222</v>
      </c>
      <c r="AA289" t="s">
        <v>144</v>
      </c>
      <c r="AB289" t="s">
        <v>223</v>
      </c>
      <c r="AC289">
        <v>0</v>
      </c>
      <c r="AD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A289">
        <v>726901</v>
      </c>
      <c r="BB289">
        <v>3763546</v>
      </c>
    </row>
    <row r="290" spans="1:54" x14ac:dyDescent="0.35">
      <c r="A290">
        <v>110262</v>
      </c>
      <c r="B290">
        <v>629</v>
      </c>
      <c r="C290" t="s">
        <v>135</v>
      </c>
      <c r="D290" s="15">
        <v>701012150922196</v>
      </c>
      <c r="F290">
        <v>70</v>
      </c>
      <c r="G290" t="s">
        <v>136</v>
      </c>
      <c r="H290">
        <v>7010</v>
      </c>
      <c r="I290" t="s">
        <v>137</v>
      </c>
      <c r="K290" t="s">
        <v>138</v>
      </c>
      <c r="M290">
        <v>12150922196</v>
      </c>
      <c r="N290" t="s">
        <v>139</v>
      </c>
      <c r="O290">
        <v>12150922196</v>
      </c>
      <c r="P290" t="s">
        <v>140</v>
      </c>
      <c r="Q290" t="s">
        <v>141</v>
      </c>
      <c r="R290">
        <v>0</v>
      </c>
      <c r="S290">
        <v>36</v>
      </c>
      <c r="T290" t="s">
        <v>222</v>
      </c>
      <c r="U290" t="s">
        <v>154</v>
      </c>
      <c r="V290" t="s">
        <v>154</v>
      </c>
      <c r="W290" t="s">
        <v>154</v>
      </c>
      <c r="X290" t="s">
        <v>154</v>
      </c>
      <c r="AA290" t="s">
        <v>144</v>
      </c>
      <c r="AB290" t="s">
        <v>223</v>
      </c>
      <c r="AC290">
        <v>0</v>
      </c>
      <c r="AD290">
        <v>0</v>
      </c>
      <c r="AO290">
        <v>0</v>
      </c>
      <c r="AP290">
        <v>5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A290">
        <v>726901</v>
      </c>
      <c r="BB290">
        <v>3763546</v>
      </c>
    </row>
    <row r="291" spans="1:54" x14ac:dyDescent="0.35">
      <c r="A291">
        <v>110261</v>
      </c>
      <c r="B291">
        <v>628</v>
      </c>
      <c r="C291" t="s">
        <v>135</v>
      </c>
      <c r="D291" s="15">
        <v>701012150922196</v>
      </c>
      <c r="F291">
        <v>70</v>
      </c>
      <c r="G291" t="s">
        <v>136</v>
      </c>
      <c r="H291">
        <v>7010</v>
      </c>
      <c r="I291" t="s">
        <v>137</v>
      </c>
      <c r="K291" t="s">
        <v>79</v>
      </c>
      <c r="M291">
        <v>12150922195</v>
      </c>
      <c r="N291" t="s">
        <v>139</v>
      </c>
      <c r="O291">
        <v>12150922195</v>
      </c>
      <c r="Q291" t="s">
        <v>141</v>
      </c>
      <c r="R291">
        <v>0</v>
      </c>
      <c r="S291">
        <v>36</v>
      </c>
      <c r="T291" t="s">
        <v>222</v>
      </c>
      <c r="AA291" t="s">
        <v>144</v>
      </c>
      <c r="AB291" t="s">
        <v>223</v>
      </c>
      <c r="AC291">
        <v>0</v>
      </c>
      <c r="AD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A291">
        <v>726859.00000000105</v>
      </c>
      <c r="BB291">
        <v>3763564</v>
      </c>
    </row>
    <row r="292" spans="1:54" x14ac:dyDescent="0.35">
      <c r="A292">
        <v>110260</v>
      </c>
      <c r="B292">
        <v>627</v>
      </c>
      <c r="C292" t="s">
        <v>135</v>
      </c>
      <c r="D292" s="15">
        <v>701012150922195</v>
      </c>
      <c r="F292">
        <v>70</v>
      </c>
      <c r="G292" t="s">
        <v>136</v>
      </c>
      <c r="H292">
        <v>7010</v>
      </c>
      <c r="I292" t="s">
        <v>137</v>
      </c>
      <c r="K292" t="s">
        <v>138</v>
      </c>
      <c r="M292">
        <v>12150922195</v>
      </c>
      <c r="N292" t="s">
        <v>139</v>
      </c>
      <c r="O292">
        <v>12150922195</v>
      </c>
      <c r="P292" t="s">
        <v>140</v>
      </c>
      <c r="Q292" t="s">
        <v>141</v>
      </c>
      <c r="R292">
        <v>0</v>
      </c>
      <c r="S292">
        <v>36</v>
      </c>
      <c r="T292" t="s">
        <v>222</v>
      </c>
      <c r="U292" t="s">
        <v>143</v>
      </c>
      <c r="V292" t="s">
        <v>143</v>
      </c>
      <c r="W292" t="s">
        <v>143</v>
      </c>
      <c r="X292" t="s">
        <v>143</v>
      </c>
      <c r="AA292" t="s">
        <v>144</v>
      </c>
      <c r="AB292" t="s">
        <v>223</v>
      </c>
      <c r="AC292">
        <v>0</v>
      </c>
      <c r="AD292">
        <v>0</v>
      </c>
      <c r="AO292">
        <v>0</v>
      </c>
      <c r="AP292">
        <v>2</v>
      </c>
      <c r="AQ292">
        <v>4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A292">
        <v>726859.00000000105</v>
      </c>
      <c r="BB292">
        <v>3763564</v>
      </c>
    </row>
    <row r="293" spans="1:54" x14ac:dyDescent="0.35">
      <c r="A293">
        <v>110259</v>
      </c>
      <c r="B293">
        <v>626</v>
      </c>
      <c r="C293" t="s">
        <v>135</v>
      </c>
      <c r="D293" s="15">
        <v>701012150922195</v>
      </c>
      <c r="F293">
        <v>70</v>
      </c>
      <c r="G293" t="s">
        <v>136</v>
      </c>
      <c r="H293">
        <v>7010</v>
      </c>
      <c r="I293" t="s">
        <v>137</v>
      </c>
      <c r="K293" t="s">
        <v>79</v>
      </c>
      <c r="M293">
        <v>12150922192</v>
      </c>
      <c r="N293" t="s">
        <v>139</v>
      </c>
      <c r="O293">
        <v>12150922192</v>
      </c>
      <c r="Q293" t="s">
        <v>141</v>
      </c>
      <c r="R293">
        <v>0</v>
      </c>
      <c r="S293">
        <v>36</v>
      </c>
      <c r="T293" t="s">
        <v>222</v>
      </c>
      <c r="AA293" t="s">
        <v>144</v>
      </c>
      <c r="AB293" t="s">
        <v>223</v>
      </c>
      <c r="AC293">
        <v>0</v>
      </c>
      <c r="AD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A293">
        <v>726869.00000000198</v>
      </c>
      <c r="BB293">
        <v>3763582</v>
      </c>
    </row>
    <row r="294" spans="1:54" x14ac:dyDescent="0.35">
      <c r="A294">
        <v>110258</v>
      </c>
      <c r="B294">
        <v>625</v>
      </c>
      <c r="C294" t="s">
        <v>135</v>
      </c>
      <c r="D294" s="15">
        <v>701012150922192</v>
      </c>
      <c r="F294">
        <v>70</v>
      </c>
      <c r="G294" t="s">
        <v>136</v>
      </c>
      <c r="H294">
        <v>7010</v>
      </c>
      <c r="I294" t="s">
        <v>137</v>
      </c>
      <c r="K294" t="s">
        <v>138</v>
      </c>
      <c r="M294">
        <v>12150922192</v>
      </c>
      <c r="N294" t="s">
        <v>139</v>
      </c>
      <c r="O294">
        <v>12150922192</v>
      </c>
      <c r="P294" t="s">
        <v>140</v>
      </c>
      <c r="Q294" t="s">
        <v>141</v>
      </c>
      <c r="R294">
        <v>0</v>
      </c>
      <c r="S294">
        <v>36</v>
      </c>
      <c r="T294" t="s">
        <v>222</v>
      </c>
      <c r="U294" t="s">
        <v>143</v>
      </c>
      <c r="V294" t="s">
        <v>143</v>
      </c>
      <c r="W294" t="s">
        <v>143</v>
      </c>
      <c r="X294" t="s">
        <v>143</v>
      </c>
      <c r="AA294" t="s">
        <v>144</v>
      </c>
      <c r="AB294" t="s">
        <v>223</v>
      </c>
      <c r="AC294">
        <v>0</v>
      </c>
      <c r="AD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A294">
        <v>726869.00000000198</v>
      </c>
      <c r="BB294">
        <v>3763582</v>
      </c>
    </row>
    <row r="295" spans="1:54" x14ac:dyDescent="0.35">
      <c r="A295">
        <v>110257</v>
      </c>
      <c r="B295">
        <v>624</v>
      </c>
      <c r="C295" t="s">
        <v>135</v>
      </c>
      <c r="D295" s="15">
        <v>701012150922192</v>
      </c>
      <c r="F295">
        <v>70</v>
      </c>
      <c r="G295" t="s">
        <v>136</v>
      </c>
      <c r="H295">
        <v>7010</v>
      </c>
      <c r="I295" t="s">
        <v>137</v>
      </c>
      <c r="K295" t="s">
        <v>79</v>
      </c>
      <c r="M295">
        <v>12150922187</v>
      </c>
      <c r="N295" t="s">
        <v>139</v>
      </c>
      <c r="O295">
        <v>12150922187</v>
      </c>
      <c r="Q295" t="s">
        <v>141</v>
      </c>
      <c r="R295">
        <v>0</v>
      </c>
      <c r="T295" t="s">
        <v>146</v>
      </c>
      <c r="AA295" t="s">
        <v>144</v>
      </c>
      <c r="AB295" t="s">
        <v>223</v>
      </c>
      <c r="AC295">
        <v>0</v>
      </c>
      <c r="AD295">
        <v>0</v>
      </c>
      <c r="AE295" t="s">
        <v>147</v>
      </c>
      <c r="AF295" t="s">
        <v>148</v>
      </c>
      <c r="AG295" t="s">
        <v>149</v>
      </c>
      <c r="AJ295" t="s">
        <v>224</v>
      </c>
      <c r="AK295" t="s">
        <v>152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Z295" t="s">
        <v>225</v>
      </c>
      <c r="BA295">
        <v>726880.00000000105</v>
      </c>
      <c r="BB295">
        <v>3763612</v>
      </c>
    </row>
    <row r="296" spans="1:54" x14ac:dyDescent="0.35">
      <c r="A296">
        <v>110256</v>
      </c>
      <c r="B296">
        <v>623</v>
      </c>
      <c r="C296" t="s">
        <v>135</v>
      </c>
      <c r="D296" s="15">
        <v>701012150922191</v>
      </c>
      <c r="F296">
        <v>70</v>
      </c>
      <c r="G296" t="s">
        <v>136</v>
      </c>
      <c r="H296">
        <v>7010</v>
      </c>
      <c r="I296" t="s">
        <v>137</v>
      </c>
      <c r="K296" t="s">
        <v>138</v>
      </c>
      <c r="M296">
        <v>12150922191</v>
      </c>
      <c r="N296" t="s">
        <v>139</v>
      </c>
      <c r="O296">
        <v>12150922191</v>
      </c>
      <c r="P296" t="s">
        <v>140</v>
      </c>
      <c r="Q296" t="s">
        <v>141</v>
      </c>
      <c r="R296">
        <v>0</v>
      </c>
      <c r="S296">
        <v>36</v>
      </c>
      <c r="T296" t="s">
        <v>142</v>
      </c>
      <c r="U296" t="s">
        <v>143</v>
      </c>
      <c r="V296" t="s">
        <v>143</v>
      </c>
      <c r="W296" t="s">
        <v>143</v>
      </c>
      <c r="X296" t="s">
        <v>143</v>
      </c>
      <c r="AA296" t="s">
        <v>144</v>
      </c>
      <c r="AB296" t="s">
        <v>223</v>
      </c>
      <c r="AC296">
        <v>0</v>
      </c>
      <c r="AD296">
        <v>0</v>
      </c>
      <c r="AO296">
        <v>0</v>
      </c>
      <c r="AP296">
        <v>4</v>
      </c>
      <c r="AQ296">
        <v>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A296">
        <v>726722.99999999895</v>
      </c>
      <c r="BB296">
        <v>3763715</v>
      </c>
    </row>
    <row r="297" spans="1:54" x14ac:dyDescent="0.35">
      <c r="A297">
        <v>110255</v>
      </c>
      <c r="B297">
        <v>622</v>
      </c>
      <c r="C297" t="s">
        <v>135</v>
      </c>
      <c r="D297" s="15">
        <v>701012150922191</v>
      </c>
      <c r="F297">
        <v>70</v>
      </c>
      <c r="G297" t="s">
        <v>136</v>
      </c>
      <c r="H297">
        <v>7010</v>
      </c>
      <c r="I297" t="s">
        <v>137</v>
      </c>
      <c r="K297" t="s">
        <v>79</v>
      </c>
      <c r="M297">
        <v>12150922190</v>
      </c>
      <c r="N297" t="s">
        <v>139</v>
      </c>
      <c r="O297">
        <v>12150922190</v>
      </c>
      <c r="Q297" t="s">
        <v>141</v>
      </c>
      <c r="R297">
        <v>0</v>
      </c>
      <c r="S297">
        <v>30</v>
      </c>
      <c r="T297" t="s">
        <v>142</v>
      </c>
      <c r="AA297" t="s">
        <v>144</v>
      </c>
      <c r="AB297" t="s">
        <v>223</v>
      </c>
      <c r="AC297">
        <v>0</v>
      </c>
      <c r="AD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A297">
        <v>726769</v>
      </c>
      <c r="BB297">
        <v>3763681</v>
      </c>
    </row>
    <row r="298" spans="1:54" x14ac:dyDescent="0.35">
      <c r="A298">
        <v>110254</v>
      </c>
      <c r="B298">
        <v>621</v>
      </c>
      <c r="C298" t="s">
        <v>135</v>
      </c>
      <c r="D298" s="15">
        <v>701012150922190</v>
      </c>
      <c r="F298">
        <v>70</v>
      </c>
      <c r="G298" t="s">
        <v>136</v>
      </c>
      <c r="H298">
        <v>7010</v>
      </c>
      <c r="I298" t="s">
        <v>137</v>
      </c>
      <c r="K298" t="s">
        <v>138</v>
      </c>
      <c r="M298">
        <v>12150922190</v>
      </c>
      <c r="N298" t="s">
        <v>139</v>
      </c>
      <c r="O298">
        <v>12150922190</v>
      </c>
      <c r="P298" t="s">
        <v>140</v>
      </c>
      <c r="Q298" t="s">
        <v>141</v>
      </c>
      <c r="R298">
        <v>0</v>
      </c>
      <c r="S298">
        <v>30</v>
      </c>
      <c r="T298" t="s">
        <v>142</v>
      </c>
      <c r="U298" t="s">
        <v>143</v>
      </c>
      <c r="V298" t="s">
        <v>143</v>
      </c>
      <c r="W298" t="s">
        <v>143</v>
      </c>
      <c r="X298" t="s">
        <v>143</v>
      </c>
      <c r="AA298" t="s">
        <v>144</v>
      </c>
      <c r="AB298" t="s">
        <v>223</v>
      </c>
      <c r="AC298">
        <v>0</v>
      </c>
      <c r="AD298">
        <v>0</v>
      </c>
      <c r="AO298">
        <v>0</v>
      </c>
      <c r="AP298">
        <v>4</v>
      </c>
      <c r="AQ298">
        <v>8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A298">
        <v>726769</v>
      </c>
      <c r="BB298">
        <v>3763681</v>
      </c>
    </row>
    <row r="299" spans="1:54" x14ac:dyDescent="0.35">
      <c r="A299">
        <v>110253</v>
      </c>
      <c r="B299">
        <v>620</v>
      </c>
      <c r="C299" t="s">
        <v>135</v>
      </c>
      <c r="D299" s="15">
        <v>701012150922190</v>
      </c>
      <c r="F299">
        <v>70</v>
      </c>
      <c r="G299" t="s">
        <v>136</v>
      </c>
      <c r="H299">
        <v>7010</v>
      </c>
      <c r="I299" t="s">
        <v>137</v>
      </c>
      <c r="K299" t="s">
        <v>79</v>
      </c>
      <c r="M299">
        <v>12150922189</v>
      </c>
      <c r="N299" t="s">
        <v>139</v>
      </c>
      <c r="O299">
        <v>12150922189</v>
      </c>
      <c r="Q299" t="s">
        <v>141</v>
      </c>
      <c r="R299">
        <v>0</v>
      </c>
      <c r="S299">
        <v>30</v>
      </c>
      <c r="T299" t="s">
        <v>142</v>
      </c>
      <c r="AA299" t="s">
        <v>144</v>
      </c>
      <c r="AB299" t="s">
        <v>223</v>
      </c>
      <c r="AC299">
        <v>0</v>
      </c>
      <c r="AD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A299">
        <v>726809.99999999895</v>
      </c>
      <c r="BB299">
        <v>3763651</v>
      </c>
    </row>
    <row r="300" spans="1:54" x14ac:dyDescent="0.35">
      <c r="A300">
        <v>110252</v>
      </c>
      <c r="B300">
        <v>619</v>
      </c>
      <c r="C300" t="s">
        <v>135</v>
      </c>
      <c r="D300" s="15">
        <v>701012150922189</v>
      </c>
      <c r="F300">
        <v>70</v>
      </c>
      <c r="G300" t="s">
        <v>136</v>
      </c>
      <c r="H300">
        <v>7010</v>
      </c>
      <c r="I300" t="s">
        <v>137</v>
      </c>
      <c r="K300" t="s">
        <v>138</v>
      </c>
      <c r="M300">
        <v>12150922189</v>
      </c>
      <c r="N300" t="s">
        <v>139</v>
      </c>
      <c r="O300">
        <v>12150922189</v>
      </c>
      <c r="P300" t="s">
        <v>140</v>
      </c>
      <c r="Q300" t="s">
        <v>141</v>
      </c>
      <c r="R300">
        <v>0</v>
      </c>
      <c r="S300">
        <v>30</v>
      </c>
      <c r="T300" t="s">
        <v>142</v>
      </c>
      <c r="U300" t="s">
        <v>143</v>
      </c>
      <c r="V300" t="s">
        <v>143</v>
      </c>
      <c r="W300" t="s">
        <v>143</v>
      </c>
      <c r="X300" t="s">
        <v>143</v>
      </c>
      <c r="AA300" t="s">
        <v>144</v>
      </c>
      <c r="AB300" t="s">
        <v>223</v>
      </c>
      <c r="AC300">
        <v>0</v>
      </c>
      <c r="AD300">
        <v>0</v>
      </c>
      <c r="AO300">
        <v>0</v>
      </c>
      <c r="AP300">
        <v>7</v>
      </c>
      <c r="AQ300">
        <v>6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A300">
        <v>726809.99999999895</v>
      </c>
      <c r="BB300">
        <v>3763651</v>
      </c>
    </row>
    <row r="301" spans="1:54" x14ac:dyDescent="0.35">
      <c r="A301">
        <v>110251</v>
      </c>
      <c r="B301">
        <v>618</v>
      </c>
      <c r="C301" t="s">
        <v>135</v>
      </c>
      <c r="D301" s="15">
        <v>701012150922189</v>
      </c>
      <c r="F301">
        <v>70</v>
      </c>
      <c r="G301" t="s">
        <v>136</v>
      </c>
      <c r="H301">
        <v>7010</v>
      </c>
      <c r="I301" t="s">
        <v>137</v>
      </c>
      <c r="K301" t="s">
        <v>79</v>
      </c>
      <c r="M301">
        <v>12150922188</v>
      </c>
      <c r="N301" t="s">
        <v>139</v>
      </c>
      <c r="O301">
        <v>12150922188</v>
      </c>
      <c r="Q301" t="s">
        <v>141</v>
      </c>
      <c r="R301">
        <v>0</v>
      </c>
      <c r="S301">
        <v>30</v>
      </c>
      <c r="T301" t="s">
        <v>142</v>
      </c>
      <c r="AA301" t="s">
        <v>144</v>
      </c>
      <c r="AB301" t="s">
        <v>223</v>
      </c>
      <c r="AC301">
        <v>0</v>
      </c>
      <c r="AD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A301">
        <v>726842.00000000105</v>
      </c>
      <c r="BB301">
        <v>3763631</v>
      </c>
    </row>
    <row r="302" spans="1:54" x14ac:dyDescent="0.35">
      <c r="A302">
        <v>110250</v>
      </c>
      <c r="B302">
        <v>617</v>
      </c>
      <c r="C302" t="s">
        <v>135</v>
      </c>
      <c r="D302" s="15">
        <v>701012150922188</v>
      </c>
      <c r="F302">
        <v>70</v>
      </c>
      <c r="G302" t="s">
        <v>136</v>
      </c>
      <c r="H302">
        <v>7010</v>
      </c>
      <c r="I302" t="s">
        <v>137</v>
      </c>
      <c r="K302" t="s">
        <v>138</v>
      </c>
      <c r="M302">
        <v>12150922188</v>
      </c>
      <c r="N302" t="s">
        <v>139</v>
      </c>
      <c r="O302">
        <v>12150922188</v>
      </c>
      <c r="P302" t="s">
        <v>140</v>
      </c>
      <c r="Q302" t="s">
        <v>141</v>
      </c>
      <c r="R302">
        <v>0</v>
      </c>
      <c r="S302">
        <v>30</v>
      </c>
      <c r="T302" t="s">
        <v>142</v>
      </c>
      <c r="U302" t="s">
        <v>143</v>
      </c>
      <c r="V302" t="s">
        <v>143</v>
      </c>
      <c r="W302" t="s">
        <v>143</v>
      </c>
      <c r="X302" t="s">
        <v>143</v>
      </c>
      <c r="AA302" t="s">
        <v>144</v>
      </c>
      <c r="AB302" t="s">
        <v>223</v>
      </c>
      <c r="AC302">
        <v>0</v>
      </c>
      <c r="AD302">
        <v>0</v>
      </c>
      <c r="AO302">
        <v>0</v>
      </c>
      <c r="AP302">
        <v>12</v>
      </c>
      <c r="AQ302">
        <v>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A302">
        <v>726842.00000000105</v>
      </c>
      <c r="BB302">
        <v>3763631</v>
      </c>
    </row>
    <row r="303" spans="1:54" x14ac:dyDescent="0.35">
      <c r="A303">
        <v>110249</v>
      </c>
      <c r="B303">
        <v>616</v>
      </c>
      <c r="C303" t="s">
        <v>135</v>
      </c>
      <c r="D303" s="15">
        <v>701012150922188</v>
      </c>
      <c r="F303">
        <v>70</v>
      </c>
      <c r="G303" t="s">
        <v>136</v>
      </c>
      <c r="H303">
        <v>7010</v>
      </c>
      <c r="I303" t="s">
        <v>137</v>
      </c>
      <c r="K303" t="s">
        <v>79</v>
      </c>
      <c r="M303">
        <v>12150922187</v>
      </c>
      <c r="N303" t="s">
        <v>139</v>
      </c>
      <c r="O303">
        <v>12150922187</v>
      </c>
      <c r="Q303" t="s">
        <v>141</v>
      </c>
      <c r="R303">
        <v>0</v>
      </c>
      <c r="T303" t="s">
        <v>146</v>
      </c>
      <c r="AA303" t="s">
        <v>144</v>
      </c>
      <c r="AB303" t="s">
        <v>223</v>
      </c>
      <c r="AC303">
        <v>0</v>
      </c>
      <c r="AD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A303">
        <v>726880.00000000105</v>
      </c>
      <c r="BB303">
        <v>3763612</v>
      </c>
    </row>
    <row r="304" spans="1:54" x14ac:dyDescent="0.35">
      <c r="A304">
        <v>110248</v>
      </c>
      <c r="B304">
        <v>615</v>
      </c>
      <c r="C304" t="s">
        <v>135</v>
      </c>
      <c r="D304" s="15">
        <v>701012150922187</v>
      </c>
      <c r="F304">
        <v>70</v>
      </c>
      <c r="G304" t="s">
        <v>136</v>
      </c>
      <c r="H304">
        <v>7010</v>
      </c>
      <c r="I304" t="s">
        <v>137</v>
      </c>
      <c r="K304" t="s">
        <v>138</v>
      </c>
      <c r="M304">
        <v>12150922187</v>
      </c>
      <c r="N304" t="s">
        <v>139</v>
      </c>
      <c r="O304">
        <v>12150922187</v>
      </c>
      <c r="P304" t="s">
        <v>140</v>
      </c>
      <c r="Q304" t="s">
        <v>141</v>
      </c>
      <c r="R304">
        <v>0</v>
      </c>
      <c r="T304" t="s">
        <v>146</v>
      </c>
      <c r="U304" t="s">
        <v>143</v>
      </c>
      <c r="V304" t="s">
        <v>143</v>
      </c>
      <c r="W304" t="s">
        <v>143</v>
      </c>
      <c r="X304" t="s">
        <v>143</v>
      </c>
      <c r="AA304" t="s">
        <v>144</v>
      </c>
      <c r="AB304" t="s">
        <v>223</v>
      </c>
      <c r="AC304">
        <v>0</v>
      </c>
      <c r="AD304">
        <v>0</v>
      </c>
      <c r="AO304">
        <v>0</v>
      </c>
      <c r="AP304">
        <v>0</v>
      </c>
      <c r="AQ304">
        <v>3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226</v>
      </c>
      <c r="BA304">
        <v>726880.00000000105</v>
      </c>
      <c r="BB304">
        <v>3763612</v>
      </c>
    </row>
    <row r="305" spans="1:54" x14ac:dyDescent="0.35">
      <c r="A305">
        <v>110247</v>
      </c>
      <c r="B305">
        <v>614</v>
      </c>
      <c r="C305" t="s">
        <v>135</v>
      </c>
      <c r="D305" s="15">
        <v>701012150922187</v>
      </c>
      <c r="F305">
        <v>70</v>
      </c>
      <c r="G305" t="s">
        <v>136</v>
      </c>
      <c r="H305">
        <v>7010</v>
      </c>
      <c r="I305" t="s">
        <v>137</v>
      </c>
      <c r="K305" t="s">
        <v>79</v>
      </c>
      <c r="M305">
        <v>12150922187</v>
      </c>
      <c r="N305" t="s">
        <v>139</v>
      </c>
      <c r="O305">
        <v>12150922187</v>
      </c>
      <c r="Q305" t="s">
        <v>141</v>
      </c>
      <c r="R305">
        <v>0</v>
      </c>
      <c r="T305" t="s">
        <v>146</v>
      </c>
      <c r="AA305" t="s">
        <v>144</v>
      </c>
      <c r="AB305" t="s">
        <v>223</v>
      </c>
      <c r="AC305">
        <v>0</v>
      </c>
      <c r="AD305">
        <v>0</v>
      </c>
      <c r="AE305" t="s">
        <v>147</v>
      </c>
      <c r="AF305" t="s">
        <v>148</v>
      </c>
      <c r="AG305" t="s">
        <v>149</v>
      </c>
      <c r="AJ305" t="s">
        <v>224</v>
      </c>
      <c r="AK305" t="s">
        <v>152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Z305" t="s">
        <v>225</v>
      </c>
      <c r="BA305">
        <v>726880.00000000105</v>
      </c>
      <c r="BB305">
        <v>3763612</v>
      </c>
    </row>
    <row r="306" spans="1:54" x14ac:dyDescent="0.35">
      <c r="A306">
        <v>110246</v>
      </c>
      <c r="B306">
        <v>613</v>
      </c>
      <c r="C306" t="s">
        <v>135</v>
      </c>
      <c r="D306" s="15">
        <v>701012140922178</v>
      </c>
      <c r="F306">
        <v>70</v>
      </c>
      <c r="G306" t="s">
        <v>136</v>
      </c>
      <c r="H306">
        <v>7010</v>
      </c>
      <c r="I306" t="s">
        <v>137</v>
      </c>
      <c r="K306" t="s">
        <v>138</v>
      </c>
      <c r="M306">
        <v>12140922178</v>
      </c>
      <c r="N306" t="s">
        <v>139</v>
      </c>
      <c r="O306">
        <v>12140922178</v>
      </c>
      <c r="P306" t="s">
        <v>140</v>
      </c>
      <c r="Q306" t="s">
        <v>141</v>
      </c>
      <c r="R306">
        <v>0</v>
      </c>
      <c r="S306">
        <v>30</v>
      </c>
      <c r="T306" t="s">
        <v>142</v>
      </c>
      <c r="U306" t="s">
        <v>143</v>
      </c>
      <c r="V306" t="s">
        <v>143</v>
      </c>
      <c r="W306" t="s">
        <v>143</v>
      </c>
      <c r="X306" t="s">
        <v>143</v>
      </c>
      <c r="AA306" t="s">
        <v>144</v>
      </c>
      <c r="AB306" t="s">
        <v>227</v>
      </c>
      <c r="AC306">
        <v>0</v>
      </c>
      <c r="AD306">
        <v>0</v>
      </c>
      <c r="AO306">
        <v>0</v>
      </c>
      <c r="AP306">
        <v>15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A306">
        <v>726886</v>
      </c>
      <c r="BB306">
        <v>3763727</v>
      </c>
    </row>
    <row r="307" spans="1:54" x14ac:dyDescent="0.35">
      <c r="A307">
        <v>110245</v>
      </c>
      <c r="B307">
        <v>612</v>
      </c>
      <c r="C307" t="s">
        <v>135</v>
      </c>
      <c r="D307" s="15">
        <v>701012140922178</v>
      </c>
      <c r="F307">
        <v>70</v>
      </c>
      <c r="G307" t="s">
        <v>136</v>
      </c>
      <c r="H307">
        <v>7010</v>
      </c>
      <c r="I307" t="s">
        <v>137</v>
      </c>
      <c r="K307" t="s">
        <v>79</v>
      </c>
      <c r="M307">
        <v>12140922175</v>
      </c>
      <c r="N307" t="s">
        <v>139</v>
      </c>
      <c r="O307">
        <v>12140922175</v>
      </c>
      <c r="Q307" t="s">
        <v>141</v>
      </c>
      <c r="R307">
        <v>0</v>
      </c>
      <c r="S307">
        <v>30</v>
      </c>
      <c r="T307" t="s">
        <v>142</v>
      </c>
      <c r="AA307" t="s">
        <v>144</v>
      </c>
      <c r="AB307" t="s">
        <v>227</v>
      </c>
      <c r="AC307">
        <v>0</v>
      </c>
      <c r="AD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A307">
        <v>726862.00000000105</v>
      </c>
      <c r="BB307">
        <v>3763685</v>
      </c>
    </row>
    <row r="308" spans="1:54" x14ac:dyDescent="0.35">
      <c r="A308">
        <v>110244</v>
      </c>
      <c r="B308">
        <v>611</v>
      </c>
      <c r="C308" t="s">
        <v>135</v>
      </c>
      <c r="D308" s="15">
        <v>701012140922177</v>
      </c>
      <c r="F308">
        <v>70</v>
      </c>
      <c r="G308" t="s">
        <v>136</v>
      </c>
      <c r="H308">
        <v>7010</v>
      </c>
      <c r="I308" t="s">
        <v>137</v>
      </c>
      <c r="K308" t="s">
        <v>138</v>
      </c>
      <c r="M308">
        <v>12140922177</v>
      </c>
      <c r="N308" t="s">
        <v>139</v>
      </c>
      <c r="O308">
        <v>12140922177</v>
      </c>
      <c r="P308" t="s">
        <v>140</v>
      </c>
      <c r="Q308" t="s">
        <v>141</v>
      </c>
      <c r="R308">
        <v>0</v>
      </c>
      <c r="S308">
        <v>30</v>
      </c>
      <c r="T308" t="s">
        <v>142</v>
      </c>
      <c r="U308" t="s">
        <v>143</v>
      </c>
      <c r="V308" t="s">
        <v>143</v>
      </c>
      <c r="W308" t="s">
        <v>143</v>
      </c>
      <c r="X308" t="s">
        <v>143</v>
      </c>
      <c r="AA308" t="s">
        <v>144</v>
      </c>
      <c r="AB308" t="s">
        <v>227</v>
      </c>
      <c r="AC308">
        <v>0</v>
      </c>
      <c r="AD308">
        <v>0</v>
      </c>
      <c r="AO308">
        <v>0</v>
      </c>
      <c r="AP308">
        <v>3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A308">
        <v>726797</v>
      </c>
      <c r="BB308">
        <v>3763731</v>
      </c>
    </row>
    <row r="309" spans="1:54" x14ac:dyDescent="0.35">
      <c r="A309">
        <v>110243</v>
      </c>
      <c r="B309">
        <v>610</v>
      </c>
      <c r="C309" t="s">
        <v>135</v>
      </c>
      <c r="D309" s="15">
        <v>701012140922177</v>
      </c>
      <c r="F309">
        <v>70</v>
      </c>
      <c r="G309" t="s">
        <v>136</v>
      </c>
      <c r="H309">
        <v>7010</v>
      </c>
      <c r="I309" t="s">
        <v>137</v>
      </c>
      <c r="K309" t="s">
        <v>79</v>
      </c>
      <c r="M309">
        <v>12140922176</v>
      </c>
      <c r="N309" t="s">
        <v>139</v>
      </c>
      <c r="O309">
        <v>12140922176</v>
      </c>
      <c r="Q309" t="s">
        <v>141</v>
      </c>
      <c r="R309">
        <v>0</v>
      </c>
      <c r="S309">
        <v>30</v>
      </c>
      <c r="T309" t="s">
        <v>142</v>
      </c>
      <c r="AA309" t="s">
        <v>144</v>
      </c>
      <c r="AB309" t="s">
        <v>227</v>
      </c>
      <c r="AC309">
        <v>0</v>
      </c>
      <c r="AD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A309">
        <v>726826.00000000105</v>
      </c>
      <c r="BB309">
        <v>3763706</v>
      </c>
    </row>
    <row r="310" spans="1:54" x14ac:dyDescent="0.35">
      <c r="A310">
        <v>110242</v>
      </c>
      <c r="B310">
        <v>609</v>
      </c>
      <c r="C310" t="s">
        <v>135</v>
      </c>
      <c r="D310" s="15">
        <v>701012140922176</v>
      </c>
      <c r="F310">
        <v>70</v>
      </c>
      <c r="G310" t="s">
        <v>136</v>
      </c>
      <c r="H310">
        <v>7010</v>
      </c>
      <c r="I310" t="s">
        <v>137</v>
      </c>
      <c r="K310" t="s">
        <v>138</v>
      </c>
      <c r="M310">
        <v>12140922176</v>
      </c>
      <c r="N310" t="s">
        <v>139</v>
      </c>
      <c r="O310">
        <v>12140922176</v>
      </c>
      <c r="P310" t="s">
        <v>140</v>
      </c>
      <c r="Q310" t="s">
        <v>141</v>
      </c>
      <c r="R310">
        <v>0</v>
      </c>
      <c r="S310">
        <v>30</v>
      </c>
      <c r="T310" t="s">
        <v>142</v>
      </c>
      <c r="U310" t="s">
        <v>143</v>
      </c>
      <c r="V310" t="s">
        <v>143</v>
      </c>
      <c r="W310" t="s">
        <v>143</v>
      </c>
      <c r="X310" t="s">
        <v>143</v>
      </c>
      <c r="AA310" t="s">
        <v>144</v>
      </c>
      <c r="AB310" t="s">
        <v>227</v>
      </c>
      <c r="AC310">
        <v>0</v>
      </c>
      <c r="AD310">
        <v>0</v>
      </c>
      <c r="AO310">
        <v>0</v>
      </c>
      <c r="AP310">
        <v>5</v>
      </c>
      <c r="AQ310">
        <v>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A310">
        <v>726826.00000000105</v>
      </c>
      <c r="BB310">
        <v>3763706</v>
      </c>
    </row>
    <row r="311" spans="1:54" x14ac:dyDescent="0.35">
      <c r="A311">
        <v>110241</v>
      </c>
      <c r="B311">
        <v>608</v>
      </c>
      <c r="C311" t="s">
        <v>135</v>
      </c>
      <c r="D311" s="15">
        <v>701012140922176</v>
      </c>
      <c r="F311">
        <v>70</v>
      </c>
      <c r="G311" t="s">
        <v>136</v>
      </c>
      <c r="H311">
        <v>7010</v>
      </c>
      <c r="I311" t="s">
        <v>137</v>
      </c>
      <c r="K311" t="s">
        <v>79</v>
      </c>
      <c r="M311">
        <v>12140922175</v>
      </c>
      <c r="N311" t="s">
        <v>139</v>
      </c>
      <c r="O311">
        <v>12140922175</v>
      </c>
      <c r="Q311" t="s">
        <v>141</v>
      </c>
      <c r="R311">
        <v>0</v>
      </c>
      <c r="S311">
        <v>30</v>
      </c>
      <c r="T311" t="s">
        <v>142</v>
      </c>
      <c r="AA311" t="s">
        <v>144</v>
      </c>
      <c r="AB311" t="s">
        <v>227</v>
      </c>
      <c r="AC311">
        <v>0</v>
      </c>
      <c r="AD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A311">
        <v>726862.00000000105</v>
      </c>
      <c r="BB311">
        <v>3763685</v>
      </c>
    </row>
    <row r="312" spans="1:54" x14ac:dyDescent="0.35">
      <c r="A312">
        <v>110240</v>
      </c>
      <c r="B312">
        <v>607</v>
      </c>
      <c r="C312" t="s">
        <v>135</v>
      </c>
      <c r="D312" s="15">
        <v>701012140922175</v>
      </c>
      <c r="F312">
        <v>70</v>
      </c>
      <c r="G312" t="s">
        <v>136</v>
      </c>
      <c r="H312">
        <v>7010</v>
      </c>
      <c r="I312" t="s">
        <v>137</v>
      </c>
      <c r="K312" t="s">
        <v>138</v>
      </c>
      <c r="M312">
        <v>12140922175</v>
      </c>
      <c r="N312" t="s">
        <v>139</v>
      </c>
      <c r="O312">
        <v>12140922175</v>
      </c>
      <c r="P312" t="s">
        <v>140</v>
      </c>
      <c r="Q312" t="s">
        <v>141</v>
      </c>
      <c r="R312">
        <v>0</v>
      </c>
      <c r="S312">
        <v>30</v>
      </c>
      <c r="T312" t="s">
        <v>142</v>
      </c>
      <c r="U312" t="s">
        <v>143</v>
      </c>
      <c r="V312" t="s">
        <v>143</v>
      </c>
      <c r="W312" t="s">
        <v>143</v>
      </c>
      <c r="X312" t="s">
        <v>143</v>
      </c>
      <c r="AA312" t="s">
        <v>144</v>
      </c>
      <c r="AB312" t="s">
        <v>227</v>
      </c>
      <c r="AC312">
        <v>0</v>
      </c>
      <c r="AD312">
        <v>0</v>
      </c>
      <c r="AO312">
        <v>0</v>
      </c>
      <c r="AP312">
        <v>9</v>
      </c>
      <c r="AQ312">
        <v>4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A312">
        <v>726862.00000000105</v>
      </c>
      <c r="BB312">
        <v>3763685</v>
      </c>
    </row>
    <row r="313" spans="1:54" x14ac:dyDescent="0.35">
      <c r="A313">
        <v>110239</v>
      </c>
      <c r="B313">
        <v>606</v>
      </c>
      <c r="C313" t="s">
        <v>135</v>
      </c>
      <c r="D313" s="15">
        <v>701012140922175</v>
      </c>
      <c r="F313">
        <v>70</v>
      </c>
      <c r="G313" t="s">
        <v>136</v>
      </c>
      <c r="H313">
        <v>7010</v>
      </c>
      <c r="I313" t="s">
        <v>137</v>
      </c>
      <c r="K313" t="s">
        <v>79</v>
      </c>
      <c r="M313">
        <v>12140922174</v>
      </c>
      <c r="N313" t="s">
        <v>139</v>
      </c>
      <c r="O313">
        <v>12140922174</v>
      </c>
      <c r="Q313" t="s">
        <v>141</v>
      </c>
      <c r="R313">
        <v>0</v>
      </c>
      <c r="T313" t="s">
        <v>146</v>
      </c>
      <c r="AA313" t="s">
        <v>144</v>
      </c>
      <c r="AB313" t="s">
        <v>227</v>
      </c>
      <c r="AC313">
        <v>0</v>
      </c>
      <c r="AD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A313">
        <v>726903.00000000105</v>
      </c>
      <c r="BB313">
        <v>3763661</v>
      </c>
    </row>
    <row r="314" spans="1:54" x14ac:dyDescent="0.35">
      <c r="A314">
        <v>110238</v>
      </c>
      <c r="B314">
        <v>605</v>
      </c>
      <c r="C314" t="s">
        <v>135</v>
      </c>
      <c r="D314" s="15">
        <v>701012140922174</v>
      </c>
      <c r="F314">
        <v>70</v>
      </c>
      <c r="G314" t="s">
        <v>136</v>
      </c>
      <c r="H314">
        <v>7010</v>
      </c>
      <c r="I314" t="s">
        <v>137</v>
      </c>
      <c r="K314" t="s">
        <v>138</v>
      </c>
      <c r="M314">
        <v>12140922174</v>
      </c>
      <c r="N314" t="s">
        <v>139</v>
      </c>
      <c r="O314">
        <v>12140922174</v>
      </c>
      <c r="P314" t="s">
        <v>140</v>
      </c>
      <c r="Q314" t="s">
        <v>141</v>
      </c>
      <c r="R314">
        <v>0</v>
      </c>
      <c r="T314" t="s">
        <v>146</v>
      </c>
      <c r="U314" t="s">
        <v>154</v>
      </c>
      <c r="V314" t="s">
        <v>154</v>
      </c>
      <c r="W314" t="s">
        <v>154</v>
      </c>
      <c r="X314" t="s">
        <v>154</v>
      </c>
      <c r="AA314" t="s">
        <v>144</v>
      </c>
      <c r="AB314" t="s">
        <v>227</v>
      </c>
      <c r="AC314">
        <v>0</v>
      </c>
      <c r="AD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A314">
        <v>726903.00000000105</v>
      </c>
      <c r="BB314">
        <v>3763661</v>
      </c>
    </row>
    <row r="315" spans="1:54" x14ac:dyDescent="0.35">
      <c r="A315">
        <v>110237</v>
      </c>
      <c r="B315">
        <v>604</v>
      </c>
      <c r="C315" t="s">
        <v>135</v>
      </c>
      <c r="D315" s="15">
        <v>701012140922174</v>
      </c>
      <c r="F315">
        <v>70</v>
      </c>
      <c r="G315" t="s">
        <v>136</v>
      </c>
      <c r="H315">
        <v>7010</v>
      </c>
      <c r="I315" t="s">
        <v>137</v>
      </c>
      <c r="K315" t="s">
        <v>79</v>
      </c>
      <c r="M315">
        <v>12140922174</v>
      </c>
      <c r="N315" t="s">
        <v>139</v>
      </c>
      <c r="O315">
        <v>12140922174</v>
      </c>
      <c r="Q315" t="s">
        <v>141</v>
      </c>
      <c r="R315">
        <v>0</v>
      </c>
      <c r="T315" t="s">
        <v>146</v>
      </c>
      <c r="AA315" t="s">
        <v>144</v>
      </c>
      <c r="AB315" t="s">
        <v>227</v>
      </c>
      <c r="AC315">
        <v>0</v>
      </c>
      <c r="AD315">
        <v>0</v>
      </c>
      <c r="AE315" t="s">
        <v>147</v>
      </c>
      <c r="AF315" t="s">
        <v>148</v>
      </c>
      <c r="AG315" t="s">
        <v>149</v>
      </c>
      <c r="AJ315" t="s">
        <v>228</v>
      </c>
      <c r="AK315" t="s">
        <v>186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Z315" t="s">
        <v>229</v>
      </c>
      <c r="BA315">
        <v>726903.00000000105</v>
      </c>
      <c r="BB315">
        <v>3763661</v>
      </c>
    </row>
    <row r="316" spans="1:54" x14ac:dyDescent="0.35">
      <c r="A316">
        <v>110236</v>
      </c>
      <c r="B316">
        <v>603</v>
      </c>
      <c r="C316" t="s">
        <v>135</v>
      </c>
      <c r="D316" s="15">
        <v>701012140922172</v>
      </c>
      <c r="F316">
        <v>70</v>
      </c>
      <c r="G316" t="s">
        <v>136</v>
      </c>
      <c r="H316">
        <v>7010</v>
      </c>
      <c r="I316" t="s">
        <v>137</v>
      </c>
      <c r="K316" t="s">
        <v>138</v>
      </c>
      <c r="M316">
        <v>12140922172</v>
      </c>
      <c r="N316" t="s">
        <v>139</v>
      </c>
      <c r="O316">
        <v>12140922172</v>
      </c>
      <c r="P316" t="s">
        <v>140</v>
      </c>
      <c r="Q316" t="s">
        <v>141</v>
      </c>
      <c r="R316">
        <v>0</v>
      </c>
      <c r="S316">
        <v>36</v>
      </c>
      <c r="T316" t="s">
        <v>142</v>
      </c>
      <c r="U316" t="s">
        <v>143</v>
      </c>
      <c r="V316" t="s">
        <v>143</v>
      </c>
      <c r="W316" t="s">
        <v>143</v>
      </c>
      <c r="X316" t="s">
        <v>143</v>
      </c>
      <c r="AA316" t="s">
        <v>144</v>
      </c>
      <c r="AB316" t="s">
        <v>230</v>
      </c>
      <c r="AC316">
        <v>0</v>
      </c>
      <c r="AD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A316">
        <v>726907</v>
      </c>
      <c r="BB316">
        <v>3763662</v>
      </c>
    </row>
    <row r="317" spans="1:54" x14ac:dyDescent="0.35">
      <c r="A317">
        <v>110235</v>
      </c>
      <c r="B317">
        <v>602</v>
      </c>
      <c r="C317" t="s">
        <v>135</v>
      </c>
      <c r="D317" s="15">
        <v>701012140922172</v>
      </c>
      <c r="F317">
        <v>70</v>
      </c>
      <c r="G317" t="s">
        <v>136</v>
      </c>
      <c r="H317">
        <v>7010</v>
      </c>
      <c r="I317" t="s">
        <v>137</v>
      </c>
      <c r="K317" t="s">
        <v>79</v>
      </c>
      <c r="M317">
        <v>12140922171</v>
      </c>
      <c r="N317" t="s">
        <v>139</v>
      </c>
      <c r="O317">
        <v>12140922171</v>
      </c>
      <c r="Q317" t="s">
        <v>141</v>
      </c>
      <c r="R317">
        <v>0</v>
      </c>
      <c r="S317">
        <v>36</v>
      </c>
      <c r="T317" t="s">
        <v>142</v>
      </c>
      <c r="AA317" t="s">
        <v>144</v>
      </c>
      <c r="AB317" t="s">
        <v>230</v>
      </c>
      <c r="AC317">
        <v>0</v>
      </c>
      <c r="AD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A317">
        <v>726925</v>
      </c>
      <c r="BB317">
        <v>3763701</v>
      </c>
    </row>
    <row r="318" spans="1:54" x14ac:dyDescent="0.35">
      <c r="A318">
        <v>110234</v>
      </c>
      <c r="B318">
        <v>601</v>
      </c>
      <c r="C318" t="s">
        <v>135</v>
      </c>
      <c r="D318" s="15">
        <v>701012140922171</v>
      </c>
      <c r="F318">
        <v>70</v>
      </c>
      <c r="G318" t="s">
        <v>136</v>
      </c>
      <c r="H318">
        <v>7010</v>
      </c>
      <c r="I318" t="s">
        <v>137</v>
      </c>
      <c r="K318" t="s">
        <v>138</v>
      </c>
      <c r="M318">
        <v>12140922171</v>
      </c>
      <c r="N318" t="s">
        <v>139</v>
      </c>
      <c r="O318">
        <v>12140922171</v>
      </c>
      <c r="P318" t="s">
        <v>140</v>
      </c>
      <c r="Q318" t="s">
        <v>141</v>
      </c>
      <c r="R318">
        <v>0</v>
      </c>
      <c r="S318">
        <v>36</v>
      </c>
      <c r="T318" t="s">
        <v>142</v>
      </c>
      <c r="U318" t="s">
        <v>154</v>
      </c>
      <c r="V318" t="s">
        <v>154</v>
      </c>
      <c r="W318" t="s">
        <v>154</v>
      </c>
      <c r="X318" t="s">
        <v>154</v>
      </c>
      <c r="AA318" t="s">
        <v>144</v>
      </c>
      <c r="AB318" t="s">
        <v>230</v>
      </c>
      <c r="AC318">
        <v>0</v>
      </c>
      <c r="AD318">
        <v>0</v>
      </c>
      <c r="AO318">
        <v>0</v>
      </c>
      <c r="AP318">
        <v>21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A318">
        <v>726925</v>
      </c>
      <c r="BB318">
        <v>3763701</v>
      </c>
    </row>
    <row r="319" spans="1:54" x14ac:dyDescent="0.35">
      <c r="A319">
        <v>110233</v>
      </c>
      <c r="B319">
        <v>600</v>
      </c>
      <c r="C319" t="s">
        <v>135</v>
      </c>
      <c r="D319" s="15">
        <v>701012140922171</v>
      </c>
      <c r="F319">
        <v>70</v>
      </c>
      <c r="G319" t="s">
        <v>136</v>
      </c>
      <c r="H319">
        <v>7010</v>
      </c>
      <c r="I319" t="s">
        <v>137</v>
      </c>
      <c r="K319" t="s">
        <v>79</v>
      </c>
      <c r="M319">
        <v>12140922167</v>
      </c>
      <c r="N319" t="s">
        <v>139</v>
      </c>
      <c r="O319">
        <v>12140922167</v>
      </c>
      <c r="Q319" t="s">
        <v>141</v>
      </c>
      <c r="R319">
        <v>0</v>
      </c>
      <c r="T319" t="s">
        <v>146</v>
      </c>
      <c r="AA319" t="s">
        <v>144</v>
      </c>
      <c r="AB319" t="s">
        <v>230</v>
      </c>
      <c r="AC319">
        <v>0</v>
      </c>
      <c r="AD319">
        <v>0</v>
      </c>
      <c r="AE319" t="s">
        <v>147</v>
      </c>
      <c r="AF319" t="s">
        <v>148</v>
      </c>
      <c r="AG319" t="s">
        <v>149</v>
      </c>
      <c r="AJ319" t="s">
        <v>231</v>
      </c>
      <c r="AK319" t="s">
        <v>186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Z319" t="s">
        <v>232</v>
      </c>
      <c r="BA319">
        <v>726942.200000001</v>
      </c>
      <c r="BB319">
        <v>3763746.4</v>
      </c>
    </row>
    <row r="320" spans="1:54" x14ac:dyDescent="0.35">
      <c r="A320">
        <v>110232</v>
      </c>
      <c r="B320">
        <v>599</v>
      </c>
      <c r="C320" t="s">
        <v>135</v>
      </c>
      <c r="D320" s="15">
        <v>701012140922170</v>
      </c>
      <c r="F320">
        <v>70</v>
      </c>
      <c r="G320" t="s">
        <v>136</v>
      </c>
      <c r="H320">
        <v>7010</v>
      </c>
      <c r="I320" t="s">
        <v>137</v>
      </c>
      <c r="K320" t="s">
        <v>138</v>
      </c>
      <c r="M320">
        <v>12140922170</v>
      </c>
      <c r="N320" t="s">
        <v>139</v>
      </c>
      <c r="O320">
        <v>12140922170</v>
      </c>
      <c r="P320" t="s">
        <v>140</v>
      </c>
      <c r="Q320" t="s">
        <v>141</v>
      </c>
      <c r="R320">
        <v>0</v>
      </c>
      <c r="S320">
        <v>30</v>
      </c>
      <c r="T320" t="s">
        <v>142</v>
      </c>
      <c r="U320" t="s">
        <v>154</v>
      </c>
      <c r="V320" t="s">
        <v>154</v>
      </c>
      <c r="W320" t="s">
        <v>154</v>
      </c>
      <c r="X320" t="s">
        <v>154</v>
      </c>
      <c r="AA320" t="s">
        <v>144</v>
      </c>
      <c r="AB320" t="s">
        <v>230</v>
      </c>
      <c r="AC320">
        <v>0</v>
      </c>
      <c r="AD320">
        <v>0</v>
      </c>
      <c r="AO320">
        <v>0</v>
      </c>
      <c r="AP320">
        <v>11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A320">
        <v>726829.00000000105</v>
      </c>
      <c r="BB320">
        <v>3763805</v>
      </c>
    </row>
    <row r="321" spans="1:54" x14ac:dyDescent="0.35">
      <c r="A321">
        <v>110231</v>
      </c>
      <c r="B321">
        <v>598</v>
      </c>
      <c r="C321" t="s">
        <v>135</v>
      </c>
      <c r="D321" s="15">
        <v>701012140922170</v>
      </c>
      <c r="F321">
        <v>70</v>
      </c>
      <c r="G321" t="s">
        <v>136</v>
      </c>
      <c r="H321">
        <v>7010</v>
      </c>
      <c r="I321" t="s">
        <v>137</v>
      </c>
      <c r="K321" t="s">
        <v>79</v>
      </c>
      <c r="M321">
        <v>12140922169</v>
      </c>
      <c r="N321" t="s">
        <v>139</v>
      </c>
      <c r="O321">
        <v>12140922169</v>
      </c>
      <c r="Q321" t="s">
        <v>141</v>
      </c>
      <c r="R321">
        <v>0</v>
      </c>
      <c r="S321">
        <v>30</v>
      </c>
      <c r="T321" t="s">
        <v>142</v>
      </c>
      <c r="AA321" t="s">
        <v>144</v>
      </c>
      <c r="AB321" t="s">
        <v>230</v>
      </c>
      <c r="AC321">
        <v>0</v>
      </c>
      <c r="AD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A321">
        <v>726864.00000000198</v>
      </c>
      <c r="BB321">
        <v>3763786</v>
      </c>
    </row>
    <row r="322" spans="1:54" x14ac:dyDescent="0.35">
      <c r="A322">
        <v>110230</v>
      </c>
      <c r="B322">
        <v>597</v>
      </c>
      <c r="C322" t="s">
        <v>135</v>
      </c>
      <c r="D322" s="15">
        <v>701012140922169</v>
      </c>
      <c r="F322">
        <v>70</v>
      </c>
      <c r="G322" t="s">
        <v>136</v>
      </c>
      <c r="H322">
        <v>7010</v>
      </c>
      <c r="I322" t="s">
        <v>137</v>
      </c>
      <c r="K322" t="s">
        <v>138</v>
      </c>
      <c r="M322">
        <v>12140922169</v>
      </c>
      <c r="N322" t="s">
        <v>139</v>
      </c>
      <c r="O322">
        <v>12140922169</v>
      </c>
      <c r="P322" t="s">
        <v>140</v>
      </c>
      <c r="Q322" t="s">
        <v>141</v>
      </c>
      <c r="R322">
        <v>0</v>
      </c>
      <c r="S322">
        <v>30</v>
      </c>
      <c r="T322" t="s">
        <v>142</v>
      </c>
      <c r="U322" t="s">
        <v>154</v>
      </c>
      <c r="V322" t="s">
        <v>154</v>
      </c>
      <c r="W322" t="s">
        <v>154</v>
      </c>
      <c r="X322" t="s">
        <v>154</v>
      </c>
      <c r="AA322" t="s">
        <v>144</v>
      </c>
      <c r="AB322" t="s">
        <v>230</v>
      </c>
      <c r="AC322">
        <v>0</v>
      </c>
      <c r="AD322">
        <v>0</v>
      </c>
      <c r="AO322">
        <v>0</v>
      </c>
      <c r="AP322">
        <v>4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A322">
        <v>726864.00000000198</v>
      </c>
      <c r="BB322">
        <v>3763786</v>
      </c>
    </row>
    <row r="323" spans="1:54" x14ac:dyDescent="0.35">
      <c r="A323">
        <v>110229</v>
      </c>
      <c r="B323">
        <v>596</v>
      </c>
      <c r="C323" t="s">
        <v>135</v>
      </c>
      <c r="D323" s="15">
        <v>701012140922169</v>
      </c>
      <c r="F323">
        <v>70</v>
      </c>
      <c r="G323" t="s">
        <v>136</v>
      </c>
      <c r="H323">
        <v>7010</v>
      </c>
      <c r="I323" t="s">
        <v>137</v>
      </c>
      <c r="K323" t="s">
        <v>79</v>
      </c>
      <c r="M323">
        <v>12140922168</v>
      </c>
      <c r="N323" t="s">
        <v>139</v>
      </c>
      <c r="O323">
        <v>12140922168</v>
      </c>
      <c r="Q323" t="s">
        <v>141</v>
      </c>
      <c r="R323">
        <v>0</v>
      </c>
      <c r="S323">
        <v>30</v>
      </c>
      <c r="T323" t="s">
        <v>142</v>
      </c>
      <c r="AA323" t="s">
        <v>144</v>
      </c>
      <c r="AB323" t="s">
        <v>230</v>
      </c>
      <c r="AC323">
        <v>0</v>
      </c>
      <c r="AD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A323">
        <v>726906.00000000105</v>
      </c>
      <c r="BB323">
        <v>3763767</v>
      </c>
    </row>
    <row r="324" spans="1:54" x14ac:dyDescent="0.35">
      <c r="A324">
        <v>110228</v>
      </c>
      <c r="B324">
        <v>595</v>
      </c>
      <c r="C324" t="s">
        <v>135</v>
      </c>
      <c r="D324" s="15">
        <v>701012140922168</v>
      </c>
      <c r="F324">
        <v>70</v>
      </c>
      <c r="G324" t="s">
        <v>136</v>
      </c>
      <c r="H324">
        <v>7010</v>
      </c>
      <c r="I324" t="s">
        <v>137</v>
      </c>
      <c r="K324" t="s">
        <v>138</v>
      </c>
      <c r="M324">
        <v>12140922168</v>
      </c>
      <c r="N324" t="s">
        <v>139</v>
      </c>
      <c r="O324">
        <v>12140922168</v>
      </c>
      <c r="P324" t="s">
        <v>140</v>
      </c>
      <c r="Q324" t="s">
        <v>141</v>
      </c>
      <c r="R324">
        <v>0</v>
      </c>
      <c r="S324">
        <v>30</v>
      </c>
      <c r="T324" t="s">
        <v>142</v>
      </c>
      <c r="U324" t="s">
        <v>154</v>
      </c>
      <c r="V324" t="s">
        <v>154</v>
      </c>
      <c r="W324" t="s">
        <v>154</v>
      </c>
      <c r="X324" t="s">
        <v>154</v>
      </c>
      <c r="AA324" t="s">
        <v>144</v>
      </c>
      <c r="AB324" t="s">
        <v>230</v>
      </c>
      <c r="AC324">
        <v>0</v>
      </c>
      <c r="AD324">
        <v>0</v>
      </c>
      <c r="AO324">
        <v>0</v>
      </c>
      <c r="AP324">
        <v>14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A324">
        <v>726906.00000000105</v>
      </c>
      <c r="BB324">
        <v>3763767</v>
      </c>
    </row>
    <row r="325" spans="1:54" x14ac:dyDescent="0.35">
      <c r="A325">
        <v>110227</v>
      </c>
      <c r="B325">
        <v>594</v>
      </c>
      <c r="C325" t="s">
        <v>135</v>
      </c>
      <c r="D325" s="15">
        <v>701012140922168</v>
      </c>
      <c r="F325">
        <v>70</v>
      </c>
      <c r="G325" t="s">
        <v>136</v>
      </c>
      <c r="H325">
        <v>7010</v>
      </c>
      <c r="I325" t="s">
        <v>137</v>
      </c>
      <c r="K325" t="s">
        <v>79</v>
      </c>
      <c r="M325">
        <v>12140922167</v>
      </c>
      <c r="N325" t="s">
        <v>139</v>
      </c>
      <c r="O325">
        <v>12140922167</v>
      </c>
      <c r="Q325" t="s">
        <v>141</v>
      </c>
      <c r="R325">
        <v>0</v>
      </c>
      <c r="T325" t="s">
        <v>146</v>
      </c>
      <c r="AA325" t="s">
        <v>144</v>
      </c>
      <c r="AB325" t="s">
        <v>230</v>
      </c>
      <c r="AC325">
        <v>0</v>
      </c>
      <c r="AD325">
        <v>0</v>
      </c>
      <c r="AE325" t="s">
        <v>147</v>
      </c>
      <c r="AF325" t="s">
        <v>148</v>
      </c>
      <c r="AG325" t="s">
        <v>149</v>
      </c>
      <c r="AJ325" t="s">
        <v>231</v>
      </c>
      <c r="AK325" t="s">
        <v>186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Z325" t="s">
        <v>232</v>
      </c>
      <c r="BA325">
        <v>726942.200000001</v>
      </c>
      <c r="BB325">
        <v>3763746.4</v>
      </c>
    </row>
    <row r="326" spans="1:54" x14ac:dyDescent="0.35">
      <c r="A326">
        <v>110226</v>
      </c>
      <c r="B326">
        <v>593</v>
      </c>
      <c r="C326" t="s">
        <v>135</v>
      </c>
      <c r="D326" s="15">
        <v>701012140922164</v>
      </c>
      <c r="F326">
        <v>70</v>
      </c>
      <c r="G326" t="s">
        <v>136</v>
      </c>
      <c r="H326">
        <v>7010</v>
      </c>
      <c r="I326" t="s">
        <v>137</v>
      </c>
      <c r="K326" t="s">
        <v>138</v>
      </c>
      <c r="M326">
        <v>12140922164</v>
      </c>
      <c r="N326" t="s">
        <v>139</v>
      </c>
      <c r="O326">
        <v>12140922164</v>
      </c>
      <c r="P326" t="s">
        <v>140</v>
      </c>
      <c r="Q326" t="s">
        <v>141</v>
      </c>
      <c r="R326">
        <v>0</v>
      </c>
      <c r="S326">
        <v>36</v>
      </c>
      <c r="T326" t="s">
        <v>142</v>
      </c>
      <c r="U326" t="s">
        <v>143</v>
      </c>
      <c r="V326" t="s">
        <v>143</v>
      </c>
      <c r="W326" t="s">
        <v>143</v>
      </c>
      <c r="X326" t="s">
        <v>143</v>
      </c>
      <c r="AA326" t="s">
        <v>144</v>
      </c>
      <c r="AB326" t="s">
        <v>230</v>
      </c>
      <c r="AC326">
        <v>0</v>
      </c>
      <c r="AD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A326">
        <v>726959.00000000105</v>
      </c>
      <c r="BB326">
        <v>3763778</v>
      </c>
    </row>
    <row r="327" spans="1:54" x14ac:dyDescent="0.35">
      <c r="A327">
        <v>110225</v>
      </c>
      <c r="B327">
        <v>592</v>
      </c>
      <c r="C327" t="s">
        <v>135</v>
      </c>
      <c r="D327" s="15">
        <v>701012140922164</v>
      </c>
      <c r="F327">
        <v>70</v>
      </c>
      <c r="G327" t="s">
        <v>136</v>
      </c>
      <c r="H327">
        <v>7010</v>
      </c>
      <c r="I327" t="s">
        <v>137</v>
      </c>
      <c r="K327" t="s">
        <v>79</v>
      </c>
      <c r="M327">
        <v>12140922167</v>
      </c>
      <c r="N327" t="s">
        <v>139</v>
      </c>
      <c r="O327">
        <v>12140922167</v>
      </c>
      <c r="Q327" t="s">
        <v>141</v>
      </c>
      <c r="R327">
        <v>0</v>
      </c>
      <c r="T327" t="s">
        <v>146</v>
      </c>
      <c r="AA327" t="s">
        <v>144</v>
      </c>
      <c r="AB327" t="s">
        <v>230</v>
      </c>
      <c r="AC327">
        <v>0</v>
      </c>
      <c r="AD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A327">
        <v>726942.200000001</v>
      </c>
      <c r="BB327">
        <v>3763746.4</v>
      </c>
    </row>
    <row r="328" spans="1:54" x14ac:dyDescent="0.35">
      <c r="A328">
        <v>110224</v>
      </c>
      <c r="B328">
        <v>591</v>
      </c>
      <c r="C328" t="s">
        <v>135</v>
      </c>
      <c r="D328" s="15">
        <v>701012140922167</v>
      </c>
      <c r="F328">
        <v>70</v>
      </c>
      <c r="G328" t="s">
        <v>136</v>
      </c>
      <c r="H328">
        <v>7010</v>
      </c>
      <c r="I328" t="s">
        <v>137</v>
      </c>
      <c r="K328" t="s">
        <v>138</v>
      </c>
      <c r="M328">
        <v>12140922167</v>
      </c>
      <c r="N328" t="s">
        <v>139</v>
      </c>
      <c r="O328">
        <v>12140922167</v>
      </c>
      <c r="P328" t="s">
        <v>140</v>
      </c>
      <c r="Q328" t="s">
        <v>141</v>
      </c>
      <c r="R328">
        <v>0</v>
      </c>
      <c r="T328" t="s">
        <v>146</v>
      </c>
      <c r="U328" t="s">
        <v>154</v>
      </c>
      <c r="V328" t="s">
        <v>154</v>
      </c>
      <c r="W328" t="s">
        <v>154</v>
      </c>
      <c r="X328" t="s">
        <v>154</v>
      </c>
      <c r="AA328" t="s">
        <v>144</v>
      </c>
      <c r="AB328" t="s">
        <v>230</v>
      </c>
      <c r="AC328">
        <v>0</v>
      </c>
      <c r="AD328">
        <v>0</v>
      </c>
      <c r="AO328">
        <v>0</v>
      </c>
      <c r="AP328">
        <v>8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A328">
        <v>726942.200000001</v>
      </c>
      <c r="BB328">
        <v>3763746.4</v>
      </c>
    </row>
    <row r="329" spans="1:54" x14ac:dyDescent="0.35">
      <c r="A329">
        <v>110223</v>
      </c>
      <c r="B329">
        <v>590</v>
      </c>
      <c r="C329" t="s">
        <v>135</v>
      </c>
      <c r="D329" s="15">
        <v>701012140922167</v>
      </c>
      <c r="F329">
        <v>70</v>
      </c>
      <c r="G329" t="s">
        <v>136</v>
      </c>
      <c r="H329">
        <v>7010</v>
      </c>
      <c r="I329" t="s">
        <v>137</v>
      </c>
      <c r="K329" t="s">
        <v>79</v>
      </c>
      <c r="M329">
        <v>12140922167</v>
      </c>
      <c r="N329" t="s">
        <v>139</v>
      </c>
      <c r="O329">
        <v>12140922167</v>
      </c>
      <c r="Q329" t="s">
        <v>141</v>
      </c>
      <c r="R329">
        <v>0</v>
      </c>
      <c r="T329" t="s">
        <v>146</v>
      </c>
      <c r="AA329" t="s">
        <v>144</v>
      </c>
      <c r="AB329" t="s">
        <v>230</v>
      </c>
      <c r="AC329">
        <v>0</v>
      </c>
      <c r="AD329">
        <v>0</v>
      </c>
      <c r="AE329" t="s">
        <v>147</v>
      </c>
      <c r="AF329" t="s">
        <v>148</v>
      </c>
      <c r="AG329" t="s">
        <v>149</v>
      </c>
      <c r="AJ329" t="s">
        <v>231</v>
      </c>
      <c r="AK329" t="s">
        <v>186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Z329" t="s">
        <v>232</v>
      </c>
      <c r="BA329">
        <v>726942.200000001</v>
      </c>
      <c r="BB329">
        <v>3763746.4</v>
      </c>
    </row>
    <row r="330" spans="1:54" x14ac:dyDescent="0.35">
      <c r="A330">
        <v>110222</v>
      </c>
      <c r="B330">
        <v>589</v>
      </c>
      <c r="C330" t="s">
        <v>135</v>
      </c>
      <c r="D330" s="15">
        <v>701012140922164</v>
      </c>
      <c r="F330">
        <v>70</v>
      </c>
      <c r="G330" t="s">
        <v>136</v>
      </c>
      <c r="H330">
        <v>7010</v>
      </c>
      <c r="I330" t="s">
        <v>137</v>
      </c>
      <c r="K330" t="s">
        <v>138</v>
      </c>
      <c r="M330">
        <v>12140922164</v>
      </c>
      <c r="N330" t="s">
        <v>139</v>
      </c>
      <c r="O330">
        <v>12140922164</v>
      </c>
      <c r="P330" t="s">
        <v>140</v>
      </c>
      <c r="Q330" t="s">
        <v>141</v>
      </c>
      <c r="R330">
        <v>0</v>
      </c>
      <c r="S330">
        <v>36</v>
      </c>
      <c r="T330" t="s">
        <v>142</v>
      </c>
      <c r="U330" t="s">
        <v>143</v>
      </c>
      <c r="V330" t="s">
        <v>143</v>
      </c>
      <c r="W330" t="s">
        <v>143</v>
      </c>
      <c r="X330" t="s">
        <v>143</v>
      </c>
      <c r="AA330" t="s">
        <v>144</v>
      </c>
      <c r="AB330" t="s">
        <v>233</v>
      </c>
      <c r="AC330">
        <v>0</v>
      </c>
      <c r="AD330">
        <v>0</v>
      </c>
      <c r="AO330">
        <v>0</v>
      </c>
      <c r="AP330">
        <v>6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A330">
        <v>726959.00000000105</v>
      </c>
      <c r="BB330">
        <v>3763778</v>
      </c>
    </row>
    <row r="331" spans="1:54" x14ac:dyDescent="0.35">
      <c r="A331">
        <v>110221</v>
      </c>
      <c r="B331">
        <v>588</v>
      </c>
      <c r="C331" t="s">
        <v>135</v>
      </c>
      <c r="D331" s="15">
        <v>701012140922164</v>
      </c>
      <c r="F331">
        <v>70</v>
      </c>
      <c r="G331" t="s">
        <v>136</v>
      </c>
      <c r="H331">
        <v>7010</v>
      </c>
      <c r="I331" t="s">
        <v>137</v>
      </c>
      <c r="K331" t="s">
        <v>79</v>
      </c>
      <c r="M331">
        <v>12140922163</v>
      </c>
      <c r="N331" t="s">
        <v>139</v>
      </c>
      <c r="O331">
        <v>12140922163</v>
      </c>
      <c r="Q331" t="s">
        <v>141</v>
      </c>
      <c r="R331">
        <v>0</v>
      </c>
      <c r="S331">
        <v>36</v>
      </c>
      <c r="T331" t="s">
        <v>142</v>
      </c>
      <c r="AA331" t="s">
        <v>144</v>
      </c>
      <c r="AB331" t="s">
        <v>233</v>
      </c>
      <c r="AC331">
        <v>0</v>
      </c>
      <c r="AD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A331">
        <v>726962.00000000105</v>
      </c>
      <c r="BB331">
        <v>3763798</v>
      </c>
    </row>
    <row r="332" spans="1:54" x14ac:dyDescent="0.35">
      <c r="A332">
        <v>110220</v>
      </c>
      <c r="B332">
        <v>587</v>
      </c>
      <c r="C332" t="s">
        <v>135</v>
      </c>
      <c r="D332" s="15">
        <v>701012140922163</v>
      </c>
      <c r="F332">
        <v>70</v>
      </c>
      <c r="G332" t="s">
        <v>136</v>
      </c>
      <c r="H332">
        <v>7010</v>
      </c>
      <c r="I332" t="s">
        <v>137</v>
      </c>
      <c r="K332" t="s">
        <v>138</v>
      </c>
      <c r="M332">
        <v>12140922163</v>
      </c>
      <c r="N332" t="s">
        <v>139</v>
      </c>
      <c r="O332">
        <v>12140922163</v>
      </c>
      <c r="P332" t="s">
        <v>140</v>
      </c>
      <c r="Q332" t="s">
        <v>141</v>
      </c>
      <c r="R332">
        <v>0</v>
      </c>
      <c r="S332">
        <v>36</v>
      </c>
      <c r="T332" t="s">
        <v>142</v>
      </c>
      <c r="U332" t="s">
        <v>143</v>
      </c>
      <c r="V332" t="s">
        <v>143</v>
      </c>
      <c r="W332" t="s">
        <v>143</v>
      </c>
      <c r="X332" t="s">
        <v>143</v>
      </c>
      <c r="AA332" t="s">
        <v>144</v>
      </c>
      <c r="AB332" t="s">
        <v>233</v>
      </c>
      <c r="AC332">
        <v>0</v>
      </c>
      <c r="AD332">
        <v>0</v>
      </c>
      <c r="AO332">
        <v>0</v>
      </c>
      <c r="AP332">
        <v>4</v>
      </c>
      <c r="AQ332">
        <v>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A332">
        <v>726962.00000000105</v>
      </c>
      <c r="BB332">
        <v>3763798</v>
      </c>
    </row>
    <row r="333" spans="1:54" x14ac:dyDescent="0.35">
      <c r="A333">
        <v>110219</v>
      </c>
      <c r="B333">
        <v>586</v>
      </c>
      <c r="C333" t="s">
        <v>135</v>
      </c>
      <c r="D333" s="15">
        <v>701012140922163</v>
      </c>
      <c r="F333">
        <v>70</v>
      </c>
      <c r="G333" t="s">
        <v>136</v>
      </c>
      <c r="H333">
        <v>7010</v>
      </c>
      <c r="I333" t="s">
        <v>137</v>
      </c>
      <c r="K333" t="s">
        <v>79</v>
      </c>
      <c r="M333">
        <v>12140922156</v>
      </c>
      <c r="N333" t="s">
        <v>139</v>
      </c>
      <c r="O333">
        <v>12140922156</v>
      </c>
      <c r="Q333" t="s">
        <v>141</v>
      </c>
      <c r="R333">
        <v>0</v>
      </c>
      <c r="T333" t="s">
        <v>146</v>
      </c>
      <c r="AA333" t="s">
        <v>144</v>
      </c>
      <c r="AB333" t="s">
        <v>233</v>
      </c>
      <c r="AC333">
        <v>0</v>
      </c>
      <c r="AD333">
        <v>0</v>
      </c>
      <c r="AE333" t="s">
        <v>147</v>
      </c>
      <c r="AF333" t="s">
        <v>148</v>
      </c>
      <c r="AG333" t="s">
        <v>149</v>
      </c>
      <c r="AH333" t="s">
        <v>234</v>
      </c>
      <c r="AJ333" t="s">
        <v>235</v>
      </c>
      <c r="AK333" t="s">
        <v>152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Z333" t="s">
        <v>236</v>
      </c>
      <c r="BA333">
        <v>726975.20000000205</v>
      </c>
      <c r="BB333">
        <v>3763821.4</v>
      </c>
    </row>
    <row r="334" spans="1:54" x14ac:dyDescent="0.35">
      <c r="A334">
        <v>110218</v>
      </c>
      <c r="B334">
        <v>585</v>
      </c>
      <c r="C334" t="s">
        <v>135</v>
      </c>
      <c r="D334" s="15">
        <v>701012140922162</v>
      </c>
      <c r="F334">
        <v>70</v>
      </c>
      <c r="G334" t="s">
        <v>136</v>
      </c>
      <c r="H334">
        <v>7010</v>
      </c>
      <c r="I334" t="s">
        <v>137</v>
      </c>
      <c r="K334" t="s">
        <v>138</v>
      </c>
      <c r="M334">
        <v>12140922162</v>
      </c>
      <c r="N334" t="s">
        <v>139</v>
      </c>
      <c r="O334">
        <v>12140922162</v>
      </c>
      <c r="P334" t="s">
        <v>140</v>
      </c>
      <c r="Q334" t="s">
        <v>141</v>
      </c>
      <c r="R334">
        <v>0</v>
      </c>
      <c r="S334">
        <v>30</v>
      </c>
      <c r="T334" t="s">
        <v>142</v>
      </c>
      <c r="U334" t="s">
        <v>143</v>
      </c>
      <c r="V334" t="s">
        <v>143</v>
      </c>
      <c r="W334" t="s">
        <v>143</v>
      </c>
      <c r="X334" t="s">
        <v>143</v>
      </c>
      <c r="AA334" t="s">
        <v>144</v>
      </c>
      <c r="AB334" t="s">
        <v>233</v>
      </c>
      <c r="AC334">
        <v>0</v>
      </c>
      <c r="AD334">
        <v>0</v>
      </c>
      <c r="AO334">
        <v>0</v>
      </c>
      <c r="AP334">
        <v>8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A334">
        <v>727004</v>
      </c>
      <c r="BB334">
        <v>3763920</v>
      </c>
    </row>
    <row r="335" spans="1:54" x14ac:dyDescent="0.35">
      <c r="A335">
        <v>110217</v>
      </c>
      <c r="B335">
        <v>584</v>
      </c>
      <c r="C335" t="s">
        <v>135</v>
      </c>
      <c r="D335" s="15">
        <v>701012140922162</v>
      </c>
      <c r="F335">
        <v>70</v>
      </c>
      <c r="G335" t="s">
        <v>136</v>
      </c>
      <c r="H335">
        <v>7010</v>
      </c>
      <c r="I335" t="s">
        <v>137</v>
      </c>
      <c r="K335" t="s">
        <v>79</v>
      </c>
      <c r="M335">
        <v>12140922161</v>
      </c>
      <c r="N335" t="s">
        <v>139</v>
      </c>
      <c r="O335">
        <v>12140922161</v>
      </c>
      <c r="Q335" t="s">
        <v>141</v>
      </c>
      <c r="R335">
        <v>0</v>
      </c>
      <c r="S335">
        <v>30</v>
      </c>
      <c r="T335" t="s">
        <v>142</v>
      </c>
      <c r="AA335" t="s">
        <v>144</v>
      </c>
      <c r="AB335" t="s">
        <v>233</v>
      </c>
      <c r="AC335">
        <v>0</v>
      </c>
      <c r="AD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A335">
        <v>726993</v>
      </c>
      <c r="BB335">
        <v>3763884</v>
      </c>
    </row>
    <row r="336" spans="1:54" x14ac:dyDescent="0.35">
      <c r="A336">
        <v>110216</v>
      </c>
      <c r="B336">
        <v>583</v>
      </c>
      <c r="C336" t="s">
        <v>135</v>
      </c>
      <c r="D336" s="15">
        <v>701012140922161</v>
      </c>
      <c r="F336">
        <v>70</v>
      </c>
      <c r="G336" t="s">
        <v>136</v>
      </c>
      <c r="H336">
        <v>7010</v>
      </c>
      <c r="I336" t="s">
        <v>137</v>
      </c>
      <c r="K336" t="s">
        <v>138</v>
      </c>
      <c r="M336">
        <v>12140922161</v>
      </c>
      <c r="N336" t="s">
        <v>139</v>
      </c>
      <c r="O336">
        <v>12140922161</v>
      </c>
      <c r="P336" t="s">
        <v>140</v>
      </c>
      <c r="Q336" t="s">
        <v>141</v>
      </c>
      <c r="R336">
        <v>0</v>
      </c>
      <c r="S336">
        <v>30</v>
      </c>
      <c r="T336" t="s">
        <v>142</v>
      </c>
      <c r="U336" t="s">
        <v>143</v>
      </c>
      <c r="V336" t="s">
        <v>143</v>
      </c>
      <c r="W336" t="s">
        <v>143</v>
      </c>
      <c r="X336" t="s">
        <v>143</v>
      </c>
      <c r="AA336" t="s">
        <v>144</v>
      </c>
      <c r="AB336" t="s">
        <v>233</v>
      </c>
      <c r="AC336">
        <v>0</v>
      </c>
      <c r="AD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A336">
        <v>726993</v>
      </c>
      <c r="BB336">
        <v>3763884</v>
      </c>
    </row>
    <row r="337" spans="1:54" x14ac:dyDescent="0.35">
      <c r="A337">
        <v>110215</v>
      </c>
      <c r="B337">
        <v>582</v>
      </c>
      <c r="C337" t="s">
        <v>135</v>
      </c>
      <c r="D337" s="15">
        <v>701012140922161</v>
      </c>
      <c r="F337">
        <v>70</v>
      </c>
      <c r="G337" t="s">
        <v>136</v>
      </c>
      <c r="H337">
        <v>7010</v>
      </c>
      <c r="I337" t="s">
        <v>137</v>
      </c>
      <c r="K337" t="s">
        <v>79</v>
      </c>
      <c r="M337">
        <v>12140922158</v>
      </c>
      <c r="N337" t="s">
        <v>139</v>
      </c>
      <c r="O337">
        <v>12140922158</v>
      </c>
      <c r="Q337" t="s">
        <v>141</v>
      </c>
      <c r="R337">
        <v>0</v>
      </c>
      <c r="S337">
        <v>30</v>
      </c>
      <c r="T337" t="s">
        <v>142</v>
      </c>
      <c r="AA337" t="s">
        <v>144</v>
      </c>
      <c r="AB337" t="s">
        <v>233</v>
      </c>
      <c r="AC337">
        <v>0</v>
      </c>
      <c r="AD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A337">
        <v>726983</v>
      </c>
      <c r="BB337">
        <v>3763870</v>
      </c>
    </row>
    <row r="338" spans="1:54" x14ac:dyDescent="0.35">
      <c r="A338">
        <v>110214</v>
      </c>
      <c r="B338">
        <v>581</v>
      </c>
      <c r="C338" t="s">
        <v>135</v>
      </c>
      <c r="D338" s="15">
        <v>701012140922160</v>
      </c>
      <c r="F338">
        <v>70</v>
      </c>
      <c r="G338" t="s">
        <v>136</v>
      </c>
      <c r="H338">
        <v>7010</v>
      </c>
      <c r="I338" t="s">
        <v>137</v>
      </c>
      <c r="K338" t="s">
        <v>138</v>
      </c>
      <c r="M338">
        <v>12140922160</v>
      </c>
      <c r="N338" t="s">
        <v>139</v>
      </c>
      <c r="O338">
        <v>12140922160</v>
      </c>
      <c r="P338" t="s">
        <v>140</v>
      </c>
      <c r="Q338" t="s">
        <v>141</v>
      </c>
      <c r="R338">
        <v>0</v>
      </c>
      <c r="S338">
        <v>30</v>
      </c>
      <c r="T338" t="s">
        <v>142</v>
      </c>
      <c r="U338" t="s">
        <v>143</v>
      </c>
      <c r="V338" t="s">
        <v>143</v>
      </c>
      <c r="W338" t="s">
        <v>143</v>
      </c>
      <c r="X338" t="s">
        <v>143</v>
      </c>
      <c r="AA338" t="s">
        <v>144</v>
      </c>
      <c r="AB338" t="s">
        <v>233</v>
      </c>
      <c r="AC338">
        <v>0</v>
      </c>
      <c r="AD338">
        <v>0</v>
      </c>
      <c r="AO338">
        <v>0</v>
      </c>
      <c r="AP338">
        <v>22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A338">
        <v>726935</v>
      </c>
      <c r="BB338">
        <v>3763893</v>
      </c>
    </row>
    <row r="339" spans="1:54" x14ac:dyDescent="0.35">
      <c r="A339">
        <v>110213</v>
      </c>
      <c r="B339">
        <v>580</v>
      </c>
      <c r="C339" t="s">
        <v>135</v>
      </c>
      <c r="D339" s="15">
        <v>701012140922160</v>
      </c>
      <c r="F339">
        <v>70</v>
      </c>
      <c r="G339" t="s">
        <v>136</v>
      </c>
      <c r="H339">
        <v>7010</v>
      </c>
      <c r="I339" t="s">
        <v>137</v>
      </c>
      <c r="K339" t="s">
        <v>79</v>
      </c>
      <c r="M339">
        <v>12140922159</v>
      </c>
      <c r="N339" t="s">
        <v>139</v>
      </c>
      <c r="O339">
        <v>12140922159</v>
      </c>
      <c r="Q339" t="s">
        <v>141</v>
      </c>
      <c r="R339">
        <v>0</v>
      </c>
      <c r="S339">
        <v>30</v>
      </c>
      <c r="T339" t="s">
        <v>142</v>
      </c>
      <c r="AA339" t="s">
        <v>144</v>
      </c>
      <c r="AB339" t="s">
        <v>233</v>
      </c>
      <c r="AC339">
        <v>0</v>
      </c>
      <c r="AD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A339">
        <v>726958</v>
      </c>
      <c r="BB339">
        <v>3763887</v>
      </c>
    </row>
    <row r="340" spans="1:54" x14ac:dyDescent="0.35">
      <c r="A340">
        <v>110212</v>
      </c>
      <c r="B340">
        <v>579</v>
      </c>
      <c r="C340" t="s">
        <v>135</v>
      </c>
      <c r="D340" s="15">
        <v>701012140922159</v>
      </c>
      <c r="F340">
        <v>70</v>
      </c>
      <c r="G340" t="s">
        <v>136</v>
      </c>
      <c r="H340">
        <v>7010</v>
      </c>
      <c r="I340" t="s">
        <v>137</v>
      </c>
      <c r="K340" t="s">
        <v>138</v>
      </c>
      <c r="M340">
        <v>12140922159</v>
      </c>
      <c r="N340" t="s">
        <v>139</v>
      </c>
      <c r="O340">
        <v>12140922159</v>
      </c>
      <c r="P340" t="s">
        <v>140</v>
      </c>
      <c r="Q340" t="s">
        <v>141</v>
      </c>
      <c r="R340">
        <v>0</v>
      </c>
      <c r="S340">
        <v>30</v>
      </c>
      <c r="T340" t="s">
        <v>142</v>
      </c>
      <c r="U340" t="s">
        <v>143</v>
      </c>
      <c r="V340" t="s">
        <v>143</v>
      </c>
      <c r="W340" t="s">
        <v>143</v>
      </c>
      <c r="X340" t="s">
        <v>143</v>
      </c>
      <c r="AA340" t="s">
        <v>144</v>
      </c>
      <c r="AB340" t="s">
        <v>233</v>
      </c>
      <c r="AC340">
        <v>0</v>
      </c>
      <c r="AD340">
        <v>0</v>
      </c>
      <c r="AO340">
        <v>0</v>
      </c>
      <c r="AP340">
        <v>8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A340">
        <v>726958</v>
      </c>
      <c r="BB340">
        <v>3763887</v>
      </c>
    </row>
    <row r="341" spans="1:54" x14ac:dyDescent="0.35">
      <c r="A341">
        <v>110211</v>
      </c>
      <c r="B341">
        <v>578</v>
      </c>
      <c r="C341" t="s">
        <v>135</v>
      </c>
      <c r="D341" s="15">
        <v>701012140922159</v>
      </c>
      <c r="F341">
        <v>70</v>
      </c>
      <c r="G341" t="s">
        <v>136</v>
      </c>
      <c r="H341">
        <v>7010</v>
      </c>
      <c r="I341" t="s">
        <v>137</v>
      </c>
      <c r="K341" t="s">
        <v>79</v>
      </c>
      <c r="M341">
        <v>12140922158</v>
      </c>
      <c r="N341" t="s">
        <v>139</v>
      </c>
      <c r="O341">
        <v>12140922158</v>
      </c>
      <c r="Q341" t="s">
        <v>141</v>
      </c>
      <c r="R341">
        <v>0</v>
      </c>
      <c r="S341">
        <v>30</v>
      </c>
      <c r="T341" t="s">
        <v>142</v>
      </c>
      <c r="AA341" t="s">
        <v>144</v>
      </c>
      <c r="AB341" t="s">
        <v>233</v>
      </c>
      <c r="AC341">
        <v>0</v>
      </c>
      <c r="AD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A341">
        <v>726983</v>
      </c>
      <c r="BB341">
        <v>3763870</v>
      </c>
    </row>
    <row r="342" spans="1:54" x14ac:dyDescent="0.35">
      <c r="A342">
        <v>110210</v>
      </c>
      <c r="B342">
        <v>577</v>
      </c>
      <c r="C342" t="s">
        <v>135</v>
      </c>
      <c r="D342" s="15">
        <v>701012140922158</v>
      </c>
      <c r="F342">
        <v>70</v>
      </c>
      <c r="G342" t="s">
        <v>136</v>
      </c>
      <c r="H342">
        <v>7010</v>
      </c>
      <c r="I342" t="s">
        <v>137</v>
      </c>
      <c r="K342" t="s">
        <v>138</v>
      </c>
      <c r="M342">
        <v>12140922158</v>
      </c>
      <c r="N342" t="s">
        <v>139</v>
      </c>
      <c r="O342">
        <v>12140922158</v>
      </c>
      <c r="P342" t="s">
        <v>140</v>
      </c>
      <c r="Q342" t="s">
        <v>141</v>
      </c>
      <c r="R342">
        <v>0</v>
      </c>
      <c r="S342">
        <v>30</v>
      </c>
      <c r="T342" t="s">
        <v>142</v>
      </c>
      <c r="U342" t="s">
        <v>143</v>
      </c>
      <c r="V342" t="s">
        <v>143</v>
      </c>
      <c r="W342" t="s">
        <v>143</v>
      </c>
      <c r="X342" t="s">
        <v>143</v>
      </c>
      <c r="AA342" t="s">
        <v>144</v>
      </c>
      <c r="AB342" t="s">
        <v>233</v>
      </c>
      <c r="AC342">
        <v>0</v>
      </c>
      <c r="AD342">
        <v>0</v>
      </c>
      <c r="AO342">
        <v>0</v>
      </c>
      <c r="AP342">
        <v>6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A342">
        <v>726983</v>
      </c>
      <c r="BB342">
        <v>3763870</v>
      </c>
    </row>
    <row r="343" spans="1:54" x14ac:dyDescent="0.35">
      <c r="A343">
        <v>110209</v>
      </c>
      <c r="B343">
        <v>576</v>
      </c>
      <c r="C343" t="s">
        <v>135</v>
      </c>
      <c r="D343" s="15">
        <v>701012140922158</v>
      </c>
      <c r="F343">
        <v>70</v>
      </c>
      <c r="G343" t="s">
        <v>136</v>
      </c>
      <c r="H343">
        <v>7010</v>
      </c>
      <c r="I343" t="s">
        <v>137</v>
      </c>
      <c r="K343" t="s">
        <v>79</v>
      </c>
      <c r="M343">
        <v>12140922157</v>
      </c>
      <c r="N343" t="s">
        <v>139</v>
      </c>
      <c r="O343">
        <v>12140922157</v>
      </c>
      <c r="Q343" t="s">
        <v>141</v>
      </c>
      <c r="R343">
        <v>0</v>
      </c>
      <c r="S343">
        <v>30</v>
      </c>
      <c r="T343" t="s">
        <v>142</v>
      </c>
      <c r="AA343" t="s">
        <v>144</v>
      </c>
      <c r="AB343" t="s">
        <v>233</v>
      </c>
      <c r="AC343">
        <v>0</v>
      </c>
      <c r="AD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A343">
        <v>726972.00000000105</v>
      </c>
      <c r="BB343">
        <v>3763840</v>
      </c>
    </row>
    <row r="344" spans="1:54" x14ac:dyDescent="0.35">
      <c r="A344">
        <v>110208</v>
      </c>
      <c r="B344">
        <v>575</v>
      </c>
      <c r="C344" t="s">
        <v>135</v>
      </c>
      <c r="D344" s="15">
        <v>701012140922157</v>
      </c>
      <c r="F344">
        <v>70</v>
      </c>
      <c r="G344" t="s">
        <v>136</v>
      </c>
      <c r="H344">
        <v>7010</v>
      </c>
      <c r="I344" t="s">
        <v>137</v>
      </c>
      <c r="K344" t="s">
        <v>138</v>
      </c>
      <c r="M344">
        <v>12140922157</v>
      </c>
      <c r="N344" t="s">
        <v>139</v>
      </c>
      <c r="O344">
        <v>12140922157</v>
      </c>
      <c r="P344" t="s">
        <v>140</v>
      </c>
      <c r="Q344" t="s">
        <v>141</v>
      </c>
      <c r="R344">
        <v>0</v>
      </c>
      <c r="S344">
        <v>30</v>
      </c>
      <c r="T344" t="s">
        <v>142</v>
      </c>
      <c r="U344" t="s">
        <v>143</v>
      </c>
      <c r="V344" t="s">
        <v>143</v>
      </c>
      <c r="W344" t="s">
        <v>143</v>
      </c>
      <c r="X344" t="s">
        <v>143</v>
      </c>
      <c r="AA344" t="s">
        <v>144</v>
      </c>
      <c r="AB344" t="s">
        <v>233</v>
      </c>
      <c r="AC344">
        <v>0</v>
      </c>
      <c r="AD344">
        <v>0</v>
      </c>
      <c r="AO344">
        <v>0</v>
      </c>
      <c r="AP344">
        <v>4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A344">
        <v>726972.00000000105</v>
      </c>
      <c r="BB344">
        <v>3763840</v>
      </c>
    </row>
    <row r="345" spans="1:54" x14ac:dyDescent="0.35">
      <c r="A345">
        <v>110207</v>
      </c>
      <c r="B345">
        <v>574</v>
      </c>
      <c r="C345" t="s">
        <v>135</v>
      </c>
      <c r="D345" s="15">
        <v>701012140922157</v>
      </c>
      <c r="F345">
        <v>70</v>
      </c>
      <c r="G345" t="s">
        <v>136</v>
      </c>
      <c r="H345">
        <v>7010</v>
      </c>
      <c r="I345" t="s">
        <v>137</v>
      </c>
      <c r="K345" t="s">
        <v>79</v>
      </c>
      <c r="M345">
        <v>12140922156</v>
      </c>
      <c r="N345" t="s">
        <v>139</v>
      </c>
      <c r="O345">
        <v>12140922156</v>
      </c>
      <c r="Q345" t="s">
        <v>141</v>
      </c>
      <c r="R345">
        <v>0</v>
      </c>
      <c r="T345" t="s">
        <v>146</v>
      </c>
      <c r="AA345" t="s">
        <v>144</v>
      </c>
      <c r="AB345" t="s">
        <v>233</v>
      </c>
      <c r="AC345">
        <v>0</v>
      </c>
      <c r="AD345">
        <v>0</v>
      </c>
      <c r="AE345" t="s">
        <v>147</v>
      </c>
      <c r="AF345" t="s">
        <v>148</v>
      </c>
      <c r="AG345" t="s">
        <v>149</v>
      </c>
      <c r="AH345" t="s">
        <v>234</v>
      </c>
      <c r="AJ345" t="s">
        <v>235</v>
      </c>
      <c r="AK345" t="s">
        <v>152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Z345" t="s">
        <v>236</v>
      </c>
      <c r="BA345">
        <v>726975.20000000205</v>
      </c>
      <c r="BB345">
        <v>3763821.4</v>
      </c>
    </row>
    <row r="346" spans="1:54" x14ac:dyDescent="0.35">
      <c r="A346">
        <v>110206</v>
      </c>
      <c r="B346">
        <v>573</v>
      </c>
      <c r="C346" t="s">
        <v>135</v>
      </c>
      <c r="D346" s="15">
        <v>701012140922151</v>
      </c>
      <c r="F346">
        <v>70</v>
      </c>
      <c r="G346" t="s">
        <v>136</v>
      </c>
      <c r="H346">
        <v>7010</v>
      </c>
      <c r="I346" t="s">
        <v>137</v>
      </c>
      <c r="K346" t="s">
        <v>138</v>
      </c>
      <c r="M346">
        <v>12140922151</v>
      </c>
      <c r="N346" t="s">
        <v>139</v>
      </c>
      <c r="O346">
        <v>12140922151</v>
      </c>
      <c r="P346" t="s">
        <v>140</v>
      </c>
      <c r="Q346" t="s">
        <v>141</v>
      </c>
      <c r="R346">
        <v>0</v>
      </c>
      <c r="S346">
        <v>36</v>
      </c>
      <c r="T346" t="s">
        <v>142</v>
      </c>
      <c r="U346" t="s">
        <v>143</v>
      </c>
      <c r="V346" t="s">
        <v>143</v>
      </c>
      <c r="W346" t="s">
        <v>143</v>
      </c>
      <c r="X346" t="s">
        <v>143</v>
      </c>
      <c r="AA346" t="s">
        <v>144</v>
      </c>
      <c r="AB346" t="s">
        <v>233</v>
      </c>
      <c r="AC346">
        <v>0</v>
      </c>
      <c r="AD346">
        <v>0</v>
      </c>
      <c r="AO346">
        <v>0</v>
      </c>
      <c r="AP346">
        <v>12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A346">
        <v>726867.00000000105</v>
      </c>
      <c r="BB346">
        <v>3763876</v>
      </c>
    </row>
    <row r="347" spans="1:54" x14ac:dyDescent="0.35">
      <c r="A347">
        <v>110205</v>
      </c>
      <c r="B347">
        <v>572</v>
      </c>
      <c r="C347" t="s">
        <v>135</v>
      </c>
      <c r="D347" s="15">
        <v>701012140922151</v>
      </c>
      <c r="E347">
        <v>0</v>
      </c>
      <c r="F347">
        <v>70</v>
      </c>
      <c r="G347" t="s">
        <v>136</v>
      </c>
      <c r="H347">
        <v>7010</v>
      </c>
      <c r="I347" t="s">
        <v>137</v>
      </c>
      <c r="K347" t="s">
        <v>79</v>
      </c>
      <c r="M347">
        <v>12140922152</v>
      </c>
      <c r="N347" t="s">
        <v>139</v>
      </c>
      <c r="O347">
        <v>12140922152</v>
      </c>
      <c r="Q347" t="s">
        <v>141</v>
      </c>
      <c r="R347">
        <v>0</v>
      </c>
      <c r="S347">
        <v>36</v>
      </c>
      <c r="T347" t="s">
        <v>142</v>
      </c>
      <c r="AA347" t="s">
        <v>144</v>
      </c>
      <c r="AB347" t="s">
        <v>233</v>
      </c>
      <c r="AC347">
        <v>0</v>
      </c>
      <c r="AD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A347">
        <v>726890.00000000105</v>
      </c>
      <c r="BB347">
        <v>3763862</v>
      </c>
    </row>
    <row r="348" spans="1:54" x14ac:dyDescent="0.35">
      <c r="A348">
        <v>110204</v>
      </c>
      <c r="B348">
        <v>571</v>
      </c>
      <c r="C348" t="s">
        <v>135</v>
      </c>
      <c r="D348" s="15">
        <v>701012140922152</v>
      </c>
      <c r="E348">
        <v>0</v>
      </c>
      <c r="F348">
        <v>70</v>
      </c>
      <c r="G348" t="s">
        <v>136</v>
      </c>
      <c r="H348">
        <v>7010</v>
      </c>
      <c r="I348" t="s">
        <v>137</v>
      </c>
      <c r="K348" t="s">
        <v>138</v>
      </c>
      <c r="M348">
        <v>12140922152</v>
      </c>
      <c r="N348" t="s">
        <v>139</v>
      </c>
      <c r="O348">
        <v>12140922152</v>
      </c>
      <c r="P348" t="s">
        <v>140</v>
      </c>
      <c r="Q348" t="s">
        <v>141</v>
      </c>
      <c r="R348">
        <v>0</v>
      </c>
      <c r="S348">
        <v>36</v>
      </c>
      <c r="T348" t="s">
        <v>142</v>
      </c>
      <c r="U348" t="s">
        <v>143</v>
      </c>
      <c r="V348" t="s">
        <v>143</v>
      </c>
      <c r="W348" t="s">
        <v>143</v>
      </c>
      <c r="X348" t="s">
        <v>143</v>
      </c>
      <c r="AA348" t="s">
        <v>144</v>
      </c>
      <c r="AB348" t="s">
        <v>233</v>
      </c>
      <c r="AC348">
        <v>0</v>
      </c>
      <c r="AD348">
        <v>0</v>
      </c>
      <c r="AO348">
        <v>0</v>
      </c>
      <c r="AP348">
        <v>8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A348">
        <v>726890.00000000105</v>
      </c>
      <c r="BB348">
        <v>3763862</v>
      </c>
    </row>
    <row r="349" spans="1:54" x14ac:dyDescent="0.35">
      <c r="A349">
        <v>110203</v>
      </c>
      <c r="B349">
        <v>570</v>
      </c>
      <c r="C349" t="s">
        <v>135</v>
      </c>
      <c r="D349" s="15">
        <v>701012140922152</v>
      </c>
      <c r="E349">
        <v>1</v>
      </c>
      <c r="F349">
        <v>70</v>
      </c>
      <c r="G349" t="s">
        <v>136</v>
      </c>
      <c r="H349">
        <v>7010</v>
      </c>
      <c r="I349" t="s">
        <v>137</v>
      </c>
      <c r="K349" t="s">
        <v>79</v>
      </c>
      <c r="M349">
        <v>12140922153</v>
      </c>
      <c r="N349" t="s">
        <v>139</v>
      </c>
      <c r="O349">
        <v>12140922153</v>
      </c>
      <c r="Q349" t="s">
        <v>141</v>
      </c>
      <c r="R349">
        <v>0</v>
      </c>
      <c r="S349">
        <v>36</v>
      </c>
      <c r="T349" t="s">
        <v>142</v>
      </c>
      <c r="AA349" t="s">
        <v>144</v>
      </c>
      <c r="AB349" t="s">
        <v>233</v>
      </c>
      <c r="AC349">
        <v>0</v>
      </c>
      <c r="AD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A349">
        <v>726936.00000000105</v>
      </c>
      <c r="BB349">
        <v>3763849</v>
      </c>
    </row>
    <row r="350" spans="1:54" x14ac:dyDescent="0.35">
      <c r="A350">
        <v>110202</v>
      </c>
      <c r="B350">
        <v>569</v>
      </c>
      <c r="C350" t="s">
        <v>135</v>
      </c>
      <c r="D350" s="15">
        <v>701012140922153</v>
      </c>
      <c r="E350">
        <v>1</v>
      </c>
      <c r="F350">
        <v>70</v>
      </c>
      <c r="G350" t="s">
        <v>136</v>
      </c>
      <c r="H350">
        <v>7010</v>
      </c>
      <c r="I350" t="s">
        <v>137</v>
      </c>
      <c r="K350" t="s">
        <v>138</v>
      </c>
      <c r="M350">
        <v>12140922153</v>
      </c>
      <c r="N350" t="s">
        <v>139</v>
      </c>
      <c r="O350">
        <v>12140922153</v>
      </c>
      <c r="Q350" t="s">
        <v>141</v>
      </c>
      <c r="R350">
        <v>0</v>
      </c>
      <c r="S350">
        <v>36</v>
      </c>
      <c r="T350" t="s">
        <v>142</v>
      </c>
      <c r="U350" t="s">
        <v>143</v>
      </c>
      <c r="V350" t="s">
        <v>143</v>
      </c>
      <c r="W350" t="s">
        <v>143</v>
      </c>
      <c r="X350" t="s">
        <v>143</v>
      </c>
      <c r="AA350" t="s">
        <v>144</v>
      </c>
      <c r="AB350" t="s">
        <v>233</v>
      </c>
      <c r="AC350">
        <v>0</v>
      </c>
      <c r="AD350">
        <v>0</v>
      </c>
      <c r="AO350">
        <v>0</v>
      </c>
      <c r="AP350">
        <v>17</v>
      </c>
      <c r="AQ350">
        <v>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A350">
        <v>726936.00000000105</v>
      </c>
      <c r="BB350">
        <v>3763849</v>
      </c>
    </row>
    <row r="351" spans="1:54" x14ac:dyDescent="0.35">
      <c r="A351">
        <v>110201</v>
      </c>
      <c r="B351">
        <v>568</v>
      </c>
      <c r="C351" t="s">
        <v>135</v>
      </c>
      <c r="D351" s="15">
        <v>701012140922153</v>
      </c>
      <c r="F351">
        <v>70</v>
      </c>
      <c r="G351" t="s">
        <v>136</v>
      </c>
      <c r="H351">
        <v>7010</v>
      </c>
      <c r="I351" t="s">
        <v>137</v>
      </c>
      <c r="K351" t="s">
        <v>79</v>
      </c>
      <c r="M351">
        <v>12140922156</v>
      </c>
      <c r="N351" t="s">
        <v>139</v>
      </c>
      <c r="O351">
        <v>12140922156</v>
      </c>
      <c r="Q351" t="s">
        <v>141</v>
      </c>
      <c r="R351">
        <v>0</v>
      </c>
      <c r="T351" t="s">
        <v>146</v>
      </c>
      <c r="AA351" t="s">
        <v>144</v>
      </c>
      <c r="AB351" t="s">
        <v>233</v>
      </c>
      <c r="AC351">
        <v>0</v>
      </c>
      <c r="AD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A351">
        <v>726975.20000000205</v>
      </c>
      <c r="BB351">
        <v>3763821.4</v>
      </c>
    </row>
    <row r="352" spans="1:54" x14ac:dyDescent="0.35">
      <c r="A352">
        <v>110200</v>
      </c>
      <c r="B352">
        <v>567</v>
      </c>
      <c r="C352" t="s">
        <v>135</v>
      </c>
      <c r="D352" s="15">
        <v>701012140922156</v>
      </c>
      <c r="F352">
        <v>70</v>
      </c>
      <c r="G352" t="s">
        <v>136</v>
      </c>
      <c r="H352">
        <v>7010</v>
      </c>
      <c r="I352" t="s">
        <v>137</v>
      </c>
      <c r="K352" t="s">
        <v>138</v>
      </c>
      <c r="M352">
        <v>12140922156</v>
      </c>
      <c r="N352" t="s">
        <v>139</v>
      </c>
      <c r="O352">
        <v>12140922156</v>
      </c>
      <c r="P352" t="s">
        <v>140</v>
      </c>
      <c r="Q352" t="s">
        <v>141</v>
      </c>
      <c r="R352">
        <v>0</v>
      </c>
      <c r="T352" t="s">
        <v>146</v>
      </c>
      <c r="U352" t="s">
        <v>154</v>
      </c>
      <c r="V352" t="s">
        <v>154</v>
      </c>
      <c r="W352" t="s">
        <v>154</v>
      </c>
      <c r="X352" t="s">
        <v>154</v>
      </c>
      <c r="AA352" t="s">
        <v>144</v>
      </c>
      <c r="AB352" t="s">
        <v>233</v>
      </c>
      <c r="AC352">
        <v>0</v>
      </c>
      <c r="AD352">
        <v>0</v>
      </c>
      <c r="AO352">
        <v>0</v>
      </c>
      <c r="AP352">
        <v>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A352">
        <v>726975.20000000205</v>
      </c>
      <c r="BB352">
        <v>3763821.4</v>
      </c>
    </row>
    <row r="353" spans="1:54" x14ac:dyDescent="0.35">
      <c r="A353">
        <v>110199</v>
      </c>
      <c r="B353">
        <v>566</v>
      </c>
      <c r="C353" t="s">
        <v>135</v>
      </c>
      <c r="D353" s="15">
        <v>701012140922156</v>
      </c>
      <c r="F353">
        <v>70</v>
      </c>
      <c r="G353" t="s">
        <v>136</v>
      </c>
      <c r="H353">
        <v>7010</v>
      </c>
      <c r="I353" t="s">
        <v>137</v>
      </c>
      <c r="K353" t="s">
        <v>79</v>
      </c>
      <c r="M353">
        <v>12140922156</v>
      </c>
      <c r="N353" t="s">
        <v>139</v>
      </c>
      <c r="O353">
        <v>12140922156</v>
      </c>
      <c r="Q353" t="s">
        <v>141</v>
      </c>
      <c r="R353">
        <v>0</v>
      </c>
      <c r="T353" t="s">
        <v>146</v>
      </c>
      <c r="AA353" t="s">
        <v>144</v>
      </c>
      <c r="AB353" t="s">
        <v>233</v>
      </c>
      <c r="AC353">
        <v>0</v>
      </c>
      <c r="AD353">
        <v>0</v>
      </c>
      <c r="AE353" t="s">
        <v>147</v>
      </c>
      <c r="AF353" t="s">
        <v>148</v>
      </c>
      <c r="AG353" t="s">
        <v>149</v>
      </c>
      <c r="AH353" t="s">
        <v>234</v>
      </c>
      <c r="AJ353" t="s">
        <v>235</v>
      </c>
      <c r="AK353" t="s">
        <v>152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Z353" t="s">
        <v>236</v>
      </c>
      <c r="BA353">
        <v>726975.20000000205</v>
      </c>
      <c r="BB353">
        <v>3763821.4</v>
      </c>
    </row>
    <row r="354" spans="1:54" x14ac:dyDescent="0.35">
      <c r="A354">
        <v>110198</v>
      </c>
      <c r="B354">
        <v>565</v>
      </c>
      <c r="C354" t="s">
        <v>135</v>
      </c>
      <c r="D354" s="15">
        <v>701012140922150</v>
      </c>
      <c r="F354">
        <v>70</v>
      </c>
      <c r="G354" t="s">
        <v>136</v>
      </c>
      <c r="H354">
        <v>7010</v>
      </c>
      <c r="I354" t="s">
        <v>137</v>
      </c>
      <c r="K354" t="s">
        <v>138</v>
      </c>
      <c r="M354">
        <v>12140922150</v>
      </c>
      <c r="N354" t="s">
        <v>139</v>
      </c>
      <c r="O354">
        <v>12140922150</v>
      </c>
      <c r="P354" t="s">
        <v>140</v>
      </c>
      <c r="Q354" t="s">
        <v>141</v>
      </c>
      <c r="R354">
        <v>0</v>
      </c>
      <c r="S354">
        <v>36</v>
      </c>
      <c r="T354" t="s">
        <v>142</v>
      </c>
      <c r="U354" t="s">
        <v>143</v>
      </c>
      <c r="V354" t="s">
        <v>143</v>
      </c>
      <c r="W354" t="s">
        <v>143</v>
      </c>
      <c r="X354" t="s">
        <v>143</v>
      </c>
      <c r="AA354" t="s">
        <v>144</v>
      </c>
      <c r="AB354" t="s">
        <v>237</v>
      </c>
      <c r="AC354">
        <v>0</v>
      </c>
      <c r="AD354">
        <v>0</v>
      </c>
      <c r="AO354">
        <v>0</v>
      </c>
      <c r="AP354">
        <v>12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A354">
        <v>727159.00000000105</v>
      </c>
      <c r="BB354">
        <v>3763740</v>
      </c>
    </row>
    <row r="355" spans="1:54" x14ac:dyDescent="0.35">
      <c r="A355">
        <v>110197</v>
      </c>
      <c r="B355">
        <v>564</v>
      </c>
      <c r="C355" t="s">
        <v>135</v>
      </c>
      <c r="D355" s="15">
        <v>701012140922150</v>
      </c>
      <c r="F355">
        <v>70</v>
      </c>
      <c r="G355" t="s">
        <v>136</v>
      </c>
      <c r="H355">
        <v>7010</v>
      </c>
      <c r="I355" t="s">
        <v>137</v>
      </c>
      <c r="K355" t="s">
        <v>79</v>
      </c>
      <c r="M355">
        <v>12140922149</v>
      </c>
      <c r="N355" t="s">
        <v>139</v>
      </c>
      <c r="O355">
        <v>12140922149</v>
      </c>
      <c r="Q355" t="s">
        <v>141</v>
      </c>
      <c r="R355">
        <v>0</v>
      </c>
      <c r="S355">
        <v>36</v>
      </c>
      <c r="T355" t="s">
        <v>222</v>
      </c>
      <c r="AA355" t="s">
        <v>144</v>
      </c>
      <c r="AB355" t="s">
        <v>237</v>
      </c>
      <c r="AC355">
        <v>0</v>
      </c>
      <c r="AD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A355">
        <v>727143.00000000105</v>
      </c>
      <c r="BB355">
        <v>3763746</v>
      </c>
    </row>
    <row r="356" spans="1:54" x14ac:dyDescent="0.35">
      <c r="A356">
        <v>110196</v>
      </c>
      <c r="B356">
        <v>563</v>
      </c>
      <c r="C356" t="s">
        <v>135</v>
      </c>
      <c r="D356" s="15">
        <v>701012140922149</v>
      </c>
      <c r="F356">
        <v>70</v>
      </c>
      <c r="G356" t="s">
        <v>136</v>
      </c>
      <c r="H356">
        <v>7010</v>
      </c>
      <c r="I356" t="s">
        <v>137</v>
      </c>
      <c r="K356" t="s">
        <v>138</v>
      </c>
      <c r="M356">
        <v>12140922149</v>
      </c>
      <c r="N356" t="s">
        <v>139</v>
      </c>
      <c r="O356">
        <v>12140922149</v>
      </c>
      <c r="P356" t="s">
        <v>140</v>
      </c>
      <c r="Q356" t="s">
        <v>141</v>
      </c>
      <c r="R356">
        <v>0</v>
      </c>
      <c r="S356">
        <v>36</v>
      </c>
      <c r="T356" t="s">
        <v>222</v>
      </c>
      <c r="U356" t="s">
        <v>143</v>
      </c>
      <c r="V356" t="s">
        <v>143</v>
      </c>
      <c r="W356" t="s">
        <v>143</v>
      </c>
      <c r="X356" t="s">
        <v>143</v>
      </c>
      <c r="AA356" t="s">
        <v>144</v>
      </c>
      <c r="AB356" t="s">
        <v>237</v>
      </c>
      <c r="AC356">
        <v>0</v>
      </c>
      <c r="AD356">
        <v>0</v>
      </c>
      <c r="AO356">
        <v>0</v>
      </c>
      <c r="AP356">
        <v>11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A356">
        <v>727143.00000000105</v>
      </c>
      <c r="BB356">
        <v>3763746</v>
      </c>
    </row>
    <row r="357" spans="1:54" x14ac:dyDescent="0.35">
      <c r="A357">
        <v>110195</v>
      </c>
      <c r="B357">
        <v>562</v>
      </c>
      <c r="C357" t="s">
        <v>135</v>
      </c>
      <c r="D357" s="15">
        <v>701012140922149</v>
      </c>
      <c r="F357">
        <v>70</v>
      </c>
      <c r="G357" t="s">
        <v>136</v>
      </c>
      <c r="H357">
        <v>7010</v>
      </c>
      <c r="I357" t="s">
        <v>137</v>
      </c>
      <c r="K357" t="s">
        <v>79</v>
      </c>
      <c r="M357">
        <v>12140922148</v>
      </c>
      <c r="N357" t="s">
        <v>139</v>
      </c>
      <c r="O357">
        <v>12140922148</v>
      </c>
      <c r="Q357" t="s">
        <v>141</v>
      </c>
      <c r="R357">
        <v>0</v>
      </c>
      <c r="S357">
        <v>36</v>
      </c>
      <c r="T357" t="s">
        <v>142</v>
      </c>
      <c r="AA357" t="s">
        <v>144</v>
      </c>
      <c r="AB357" t="s">
        <v>237</v>
      </c>
      <c r="AC357">
        <v>0</v>
      </c>
      <c r="AD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A357">
        <v>727097.00000000105</v>
      </c>
      <c r="BB357">
        <v>3763766</v>
      </c>
    </row>
    <row r="358" spans="1:54" x14ac:dyDescent="0.35">
      <c r="A358">
        <v>110194</v>
      </c>
      <c r="B358">
        <v>561</v>
      </c>
      <c r="C358" t="s">
        <v>135</v>
      </c>
      <c r="D358" s="15">
        <v>701012140922148</v>
      </c>
      <c r="F358">
        <v>70</v>
      </c>
      <c r="G358" t="s">
        <v>136</v>
      </c>
      <c r="H358">
        <v>7010</v>
      </c>
      <c r="I358" t="s">
        <v>137</v>
      </c>
      <c r="K358" t="s">
        <v>138</v>
      </c>
      <c r="M358">
        <v>12140922148</v>
      </c>
      <c r="N358" t="s">
        <v>139</v>
      </c>
      <c r="O358">
        <v>12140922148</v>
      </c>
      <c r="P358" t="s">
        <v>140</v>
      </c>
      <c r="Q358" t="s">
        <v>141</v>
      </c>
      <c r="R358">
        <v>0</v>
      </c>
      <c r="S358">
        <v>36</v>
      </c>
      <c r="T358" t="s">
        <v>142</v>
      </c>
      <c r="U358" t="s">
        <v>154</v>
      </c>
      <c r="V358" t="s">
        <v>154</v>
      </c>
      <c r="W358" t="s">
        <v>154</v>
      </c>
      <c r="X358" t="s">
        <v>154</v>
      </c>
      <c r="AA358" t="s">
        <v>144</v>
      </c>
      <c r="AB358" t="s">
        <v>237</v>
      </c>
      <c r="AC358">
        <v>0</v>
      </c>
      <c r="AD358">
        <v>0</v>
      </c>
      <c r="AO358">
        <v>0</v>
      </c>
      <c r="AP358">
        <v>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A358">
        <v>727097.00000000105</v>
      </c>
      <c r="BB358">
        <v>3763766</v>
      </c>
    </row>
    <row r="359" spans="1:54" x14ac:dyDescent="0.35">
      <c r="A359">
        <v>110193</v>
      </c>
      <c r="B359">
        <v>560</v>
      </c>
      <c r="C359" t="s">
        <v>135</v>
      </c>
      <c r="D359" s="15">
        <v>701012140922148</v>
      </c>
      <c r="F359">
        <v>70</v>
      </c>
      <c r="G359" t="s">
        <v>136</v>
      </c>
      <c r="H359">
        <v>7010</v>
      </c>
      <c r="I359" t="s">
        <v>137</v>
      </c>
      <c r="K359" t="s">
        <v>79</v>
      </c>
      <c r="M359">
        <v>12140922147</v>
      </c>
      <c r="N359" t="s">
        <v>139</v>
      </c>
      <c r="O359">
        <v>12140922147</v>
      </c>
      <c r="Q359" t="s">
        <v>141</v>
      </c>
      <c r="R359">
        <v>0</v>
      </c>
      <c r="S359">
        <v>30</v>
      </c>
      <c r="T359" t="s">
        <v>142</v>
      </c>
      <c r="AA359" t="s">
        <v>144</v>
      </c>
      <c r="AB359" t="s">
        <v>237</v>
      </c>
      <c r="AC359">
        <v>0</v>
      </c>
      <c r="AD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A359">
        <v>727111</v>
      </c>
      <c r="BB359">
        <v>3763790</v>
      </c>
    </row>
    <row r="360" spans="1:54" x14ac:dyDescent="0.35">
      <c r="A360">
        <v>110192</v>
      </c>
      <c r="B360">
        <v>559</v>
      </c>
      <c r="C360" t="s">
        <v>135</v>
      </c>
      <c r="D360" s="15">
        <v>701012140922147</v>
      </c>
      <c r="F360">
        <v>70</v>
      </c>
      <c r="G360" t="s">
        <v>136</v>
      </c>
      <c r="H360">
        <v>7010</v>
      </c>
      <c r="I360" t="s">
        <v>137</v>
      </c>
      <c r="K360" t="s">
        <v>138</v>
      </c>
      <c r="M360">
        <v>12140922147</v>
      </c>
      <c r="N360" t="s">
        <v>139</v>
      </c>
      <c r="O360">
        <v>12140922147</v>
      </c>
      <c r="P360" t="s">
        <v>140</v>
      </c>
      <c r="Q360" t="s">
        <v>141</v>
      </c>
      <c r="R360">
        <v>0</v>
      </c>
      <c r="S360">
        <v>30</v>
      </c>
      <c r="T360" t="s">
        <v>142</v>
      </c>
      <c r="U360" t="s">
        <v>154</v>
      </c>
      <c r="V360" t="s">
        <v>154</v>
      </c>
      <c r="W360" t="s">
        <v>154</v>
      </c>
      <c r="X360" t="s">
        <v>154</v>
      </c>
      <c r="AA360" t="s">
        <v>144</v>
      </c>
      <c r="AB360" t="s">
        <v>237</v>
      </c>
      <c r="AC360">
        <v>0</v>
      </c>
      <c r="AD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A360">
        <v>727111</v>
      </c>
      <c r="BB360">
        <v>3763790</v>
      </c>
    </row>
    <row r="361" spans="1:54" x14ac:dyDescent="0.35">
      <c r="A361">
        <v>110191</v>
      </c>
      <c r="B361">
        <v>558</v>
      </c>
      <c r="C361" t="s">
        <v>135</v>
      </c>
      <c r="D361" s="15">
        <v>701012140922147</v>
      </c>
      <c r="F361">
        <v>70</v>
      </c>
      <c r="G361" t="s">
        <v>136</v>
      </c>
      <c r="H361">
        <v>7010</v>
      </c>
      <c r="I361" t="s">
        <v>137</v>
      </c>
      <c r="K361" t="s">
        <v>79</v>
      </c>
      <c r="M361">
        <v>12140922146</v>
      </c>
      <c r="N361" t="s">
        <v>139</v>
      </c>
      <c r="O361">
        <v>12140922146</v>
      </c>
      <c r="Q361" t="s">
        <v>141</v>
      </c>
      <c r="R361">
        <v>0</v>
      </c>
      <c r="T361" t="s">
        <v>146</v>
      </c>
      <c r="AA361" t="s">
        <v>144</v>
      </c>
      <c r="AB361" t="s">
        <v>237</v>
      </c>
      <c r="AC361">
        <v>0</v>
      </c>
      <c r="AD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A361">
        <v>727125.2</v>
      </c>
      <c r="BB361">
        <v>3763826.4</v>
      </c>
    </row>
    <row r="362" spans="1:54" x14ac:dyDescent="0.35">
      <c r="A362">
        <v>110190</v>
      </c>
      <c r="B362">
        <v>557</v>
      </c>
      <c r="C362" t="s">
        <v>135</v>
      </c>
      <c r="D362" s="15">
        <v>701012140922146</v>
      </c>
      <c r="F362">
        <v>70</v>
      </c>
      <c r="G362" t="s">
        <v>136</v>
      </c>
      <c r="H362">
        <v>7010</v>
      </c>
      <c r="I362" t="s">
        <v>137</v>
      </c>
      <c r="K362" t="s">
        <v>138</v>
      </c>
      <c r="M362">
        <v>12140922146</v>
      </c>
      <c r="N362" t="s">
        <v>139</v>
      </c>
      <c r="O362">
        <v>12140922146</v>
      </c>
      <c r="P362" t="s">
        <v>140</v>
      </c>
      <c r="Q362" t="s">
        <v>141</v>
      </c>
      <c r="R362">
        <v>0</v>
      </c>
      <c r="T362" t="s">
        <v>146</v>
      </c>
      <c r="U362" t="s">
        <v>143</v>
      </c>
      <c r="V362" t="s">
        <v>143</v>
      </c>
      <c r="W362" t="s">
        <v>143</v>
      </c>
      <c r="X362" t="s">
        <v>143</v>
      </c>
      <c r="AA362" t="s">
        <v>144</v>
      </c>
      <c r="AB362" t="s">
        <v>237</v>
      </c>
      <c r="AC362">
        <v>0</v>
      </c>
      <c r="AD362">
        <v>0</v>
      </c>
      <c r="AO362">
        <v>0</v>
      </c>
      <c r="AP362">
        <v>20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A362">
        <v>727125.2</v>
      </c>
      <c r="BB362">
        <v>3763826.4</v>
      </c>
    </row>
    <row r="363" spans="1:54" x14ac:dyDescent="0.35">
      <c r="A363">
        <v>110189</v>
      </c>
      <c r="B363">
        <v>556</v>
      </c>
      <c r="C363" t="s">
        <v>135</v>
      </c>
      <c r="D363" s="15">
        <v>701012140922146</v>
      </c>
      <c r="F363">
        <v>70</v>
      </c>
      <c r="G363" t="s">
        <v>136</v>
      </c>
      <c r="H363">
        <v>7010</v>
      </c>
      <c r="I363" t="s">
        <v>137</v>
      </c>
      <c r="K363" t="s">
        <v>79</v>
      </c>
      <c r="M363">
        <v>12140922146</v>
      </c>
      <c r="N363" t="s">
        <v>139</v>
      </c>
      <c r="O363">
        <v>12140922146</v>
      </c>
      <c r="Q363" t="s">
        <v>141</v>
      </c>
      <c r="R363">
        <v>0</v>
      </c>
      <c r="T363" t="s">
        <v>146</v>
      </c>
      <c r="AA363" t="s">
        <v>144</v>
      </c>
      <c r="AB363" t="s">
        <v>237</v>
      </c>
      <c r="AC363">
        <v>0</v>
      </c>
      <c r="AD363">
        <v>0</v>
      </c>
      <c r="AE363" t="s">
        <v>147</v>
      </c>
      <c r="AF363" t="s">
        <v>148</v>
      </c>
      <c r="AG363" t="s">
        <v>165</v>
      </c>
      <c r="AH363" t="s">
        <v>182</v>
      </c>
      <c r="AJ363" t="s">
        <v>238</v>
      </c>
      <c r="AK363" t="s">
        <v>152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Z363" t="s">
        <v>239</v>
      </c>
      <c r="BA363">
        <v>727125.2</v>
      </c>
      <c r="BB363">
        <v>3763826.4</v>
      </c>
    </row>
    <row r="364" spans="1:54" x14ac:dyDescent="0.35">
      <c r="A364">
        <v>110188</v>
      </c>
      <c r="B364">
        <v>555</v>
      </c>
      <c r="C364" t="s">
        <v>135</v>
      </c>
      <c r="D364" s="15">
        <v>701012140922144</v>
      </c>
      <c r="F364">
        <v>70</v>
      </c>
      <c r="G364" t="s">
        <v>136</v>
      </c>
      <c r="H364">
        <v>7010</v>
      </c>
      <c r="I364" t="s">
        <v>137</v>
      </c>
      <c r="K364" t="s">
        <v>138</v>
      </c>
      <c r="M364">
        <v>12140922144</v>
      </c>
      <c r="N364" t="s">
        <v>139</v>
      </c>
      <c r="O364">
        <v>12140922144</v>
      </c>
      <c r="P364" t="s">
        <v>140</v>
      </c>
      <c r="Q364" t="s">
        <v>141</v>
      </c>
      <c r="R364">
        <v>0</v>
      </c>
      <c r="S364">
        <v>36</v>
      </c>
      <c r="T364" t="s">
        <v>142</v>
      </c>
      <c r="U364" t="s">
        <v>154</v>
      </c>
      <c r="V364" t="s">
        <v>154</v>
      </c>
      <c r="W364" t="s">
        <v>154</v>
      </c>
      <c r="X364" t="s">
        <v>154</v>
      </c>
      <c r="AA364" t="s">
        <v>144</v>
      </c>
      <c r="AB364" t="s">
        <v>240</v>
      </c>
      <c r="AC364">
        <v>0</v>
      </c>
      <c r="AD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A364">
        <v>727125.00000000105</v>
      </c>
      <c r="BB364">
        <v>3763826</v>
      </c>
    </row>
    <row r="365" spans="1:54" x14ac:dyDescent="0.35">
      <c r="A365">
        <v>110187</v>
      </c>
      <c r="B365">
        <v>554</v>
      </c>
      <c r="C365" t="s">
        <v>135</v>
      </c>
      <c r="D365" s="15">
        <v>701012140922144</v>
      </c>
      <c r="F365">
        <v>70</v>
      </c>
      <c r="G365" t="s">
        <v>136</v>
      </c>
      <c r="H365">
        <v>7010</v>
      </c>
      <c r="I365" t="s">
        <v>137</v>
      </c>
      <c r="K365" t="s">
        <v>79</v>
      </c>
      <c r="M365">
        <v>12140922140</v>
      </c>
      <c r="N365" t="s">
        <v>139</v>
      </c>
      <c r="O365">
        <v>12140922140</v>
      </c>
      <c r="Q365" t="s">
        <v>141</v>
      </c>
      <c r="R365">
        <v>0</v>
      </c>
      <c r="S365">
        <v>36</v>
      </c>
      <c r="T365" t="s">
        <v>142</v>
      </c>
      <c r="AA365" t="s">
        <v>144</v>
      </c>
      <c r="AB365" t="s">
        <v>240</v>
      </c>
      <c r="AC365">
        <v>0</v>
      </c>
      <c r="AD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A365">
        <v>727133.00000000105</v>
      </c>
      <c r="BB365">
        <v>3763844</v>
      </c>
    </row>
    <row r="366" spans="1:54" x14ac:dyDescent="0.35">
      <c r="A366">
        <v>110186</v>
      </c>
      <c r="B366">
        <v>553</v>
      </c>
      <c r="C366" t="s">
        <v>135</v>
      </c>
      <c r="D366" s="15">
        <v>701012140922143</v>
      </c>
      <c r="F366">
        <v>70</v>
      </c>
      <c r="G366" t="s">
        <v>136</v>
      </c>
      <c r="H366">
        <v>7010</v>
      </c>
      <c r="I366" t="s">
        <v>137</v>
      </c>
      <c r="K366" t="s">
        <v>138</v>
      </c>
      <c r="M366">
        <v>12140922143</v>
      </c>
      <c r="N366" t="s">
        <v>139</v>
      </c>
      <c r="O366">
        <v>12140922143</v>
      </c>
      <c r="P366" t="s">
        <v>140</v>
      </c>
      <c r="Q366" t="s">
        <v>141</v>
      </c>
      <c r="R366">
        <v>0</v>
      </c>
      <c r="S366">
        <v>30</v>
      </c>
      <c r="T366" t="s">
        <v>142</v>
      </c>
      <c r="U366" t="s">
        <v>154</v>
      </c>
      <c r="V366" t="s">
        <v>154</v>
      </c>
      <c r="W366" t="s">
        <v>154</v>
      </c>
      <c r="X366" t="s">
        <v>154</v>
      </c>
      <c r="AA366" t="s">
        <v>144</v>
      </c>
      <c r="AB366" t="s">
        <v>240</v>
      </c>
      <c r="AC366">
        <v>0</v>
      </c>
      <c r="AD366">
        <v>0</v>
      </c>
      <c r="AO366">
        <v>0</v>
      </c>
      <c r="AP366">
        <v>17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A366">
        <v>727217.00000000105</v>
      </c>
      <c r="BB366">
        <v>3763802</v>
      </c>
    </row>
    <row r="367" spans="1:54" x14ac:dyDescent="0.35">
      <c r="A367">
        <v>110185</v>
      </c>
      <c r="B367">
        <v>552</v>
      </c>
      <c r="C367" t="s">
        <v>135</v>
      </c>
      <c r="D367" s="15">
        <v>701012140922143</v>
      </c>
      <c r="F367">
        <v>70</v>
      </c>
      <c r="G367" t="s">
        <v>136</v>
      </c>
      <c r="H367">
        <v>7010</v>
      </c>
      <c r="I367" t="s">
        <v>137</v>
      </c>
      <c r="K367" t="s">
        <v>79</v>
      </c>
      <c r="M367">
        <v>12140922142</v>
      </c>
      <c r="N367" t="s">
        <v>139</v>
      </c>
      <c r="O367">
        <v>12140922142</v>
      </c>
      <c r="Q367" t="s">
        <v>141</v>
      </c>
      <c r="R367">
        <v>0</v>
      </c>
      <c r="S367">
        <v>30</v>
      </c>
      <c r="T367" t="s">
        <v>142</v>
      </c>
      <c r="AA367" t="s">
        <v>144</v>
      </c>
      <c r="AB367" t="s">
        <v>240</v>
      </c>
      <c r="AC367">
        <v>0</v>
      </c>
      <c r="AD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A367">
        <v>727190</v>
      </c>
      <c r="BB367">
        <v>3763817</v>
      </c>
    </row>
    <row r="368" spans="1:54" x14ac:dyDescent="0.35">
      <c r="A368">
        <v>110184</v>
      </c>
      <c r="B368">
        <v>551</v>
      </c>
      <c r="C368" t="s">
        <v>135</v>
      </c>
      <c r="D368" s="15">
        <v>701012140922142</v>
      </c>
      <c r="F368">
        <v>70</v>
      </c>
      <c r="G368" t="s">
        <v>136</v>
      </c>
      <c r="H368">
        <v>7010</v>
      </c>
      <c r="I368" t="s">
        <v>137</v>
      </c>
      <c r="K368" t="s">
        <v>138</v>
      </c>
      <c r="M368">
        <v>12140922142</v>
      </c>
      <c r="N368" t="s">
        <v>139</v>
      </c>
      <c r="O368">
        <v>12140922142</v>
      </c>
      <c r="P368" t="s">
        <v>140</v>
      </c>
      <c r="Q368" t="s">
        <v>141</v>
      </c>
      <c r="R368">
        <v>0</v>
      </c>
      <c r="S368">
        <v>30</v>
      </c>
      <c r="T368" t="s">
        <v>142</v>
      </c>
      <c r="U368" t="s">
        <v>154</v>
      </c>
      <c r="V368" t="s">
        <v>154</v>
      </c>
      <c r="W368" t="s">
        <v>154</v>
      </c>
      <c r="X368" t="s">
        <v>154</v>
      </c>
      <c r="AA368" t="s">
        <v>144</v>
      </c>
      <c r="AB368" t="s">
        <v>240</v>
      </c>
      <c r="AC368">
        <v>0</v>
      </c>
      <c r="AD368">
        <v>0</v>
      </c>
      <c r="AO368">
        <v>0</v>
      </c>
      <c r="AP368">
        <v>14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A368">
        <v>727190</v>
      </c>
      <c r="BB368">
        <v>3763817</v>
      </c>
    </row>
    <row r="369" spans="1:54" x14ac:dyDescent="0.35">
      <c r="A369">
        <v>110183</v>
      </c>
      <c r="B369">
        <v>550</v>
      </c>
      <c r="C369" t="s">
        <v>135</v>
      </c>
      <c r="D369" s="15">
        <v>701012140922142</v>
      </c>
      <c r="F369">
        <v>70</v>
      </c>
      <c r="G369" t="s">
        <v>136</v>
      </c>
      <c r="H369">
        <v>7010</v>
      </c>
      <c r="I369" t="s">
        <v>137</v>
      </c>
      <c r="K369" t="s">
        <v>79</v>
      </c>
      <c r="M369">
        <v>12140922141</v>
      </c>
      <c r="N369" t="s">
        <v>139</v>
      </c>
      <c r="O369">
        <v>12140922141</v>
      </c>
      <c r="Q369" t="s">
        <v>141</v>
      </c>
      <c r="R369">
        <v>0</v>
      </c>
      <c r="S369">
        <v>30</v>
      </c>
      <c r="T369" t="s">
        <v>142</v>
      </c>
      <c r="AA369" t="s">
        <v>144</v>
      </c>
      <c r="AB369" t="s">
        <v>240</v>
      </c>
      <c r="AC369">
        <v>0</v>
      </c>
      <c r="AD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A369">
        <v>727164.00000000105</v>
      </c>
      <c r="BB369">
        <v>3763827</v>
      </c>
    </row>
    <row r="370" spans="1:54" x14ac:dyDescent="0.35">
      <c r="A370">
        <v>110182</v>
      </c>
      <c r="B370">
        <v>549</v>
      </c>
      <c r="C370" t="s">
        <v>135</v>
      </c>
      <c r="D370" s="15">
        <v>701012140922141</v>
      </c>
      <c r="F370">
        <v>70</v>
      </c>
      <c r="G370" t="s">
        <v>136</v>
      </c>
      <c r="H370">
        <v>7010</v>
      </c>
      <c r="I370" t="s">
        <v>137</v>
      </c>
      <c r="K370" t="s">
        <v>138</v>
      </c>
      <c r="M370">
        <v>12140922141</v>
      </c>
      <c r="N370" t="s">
        <v>139</v>
      </c>
      <c r="O370">
        <v>12140922141</v>
      </c>
      <c r="P370" t="s">
        <v>140</v>
      </c>
      <c r="Q370" t="s">
        <v>141</v>
      </c>
      <c r="R370">
        <v>0</v>
      </c>
      <c r="S370">
        <v>30</v>
      </c>
      <c r="T370" t="s">
        <v>142</v>
      </c>
      <c r="U370" t="s">
        <v>154</v>
      </c>
      <c r="V370" t="s">
        <v>154</v>
      </c>
      <c r="W370" t="s">
        <v>154</v>
      </c>
      <c r="X370" t="s">
        <v>154</v>
      </c>
      <c r="AA370" t="s">
        <v>144</v>
      </c>
      <c r="AB370" t="s">
        <v>240</v>
      </c>
      <c r="AC370">
        <v>0</v>
      </c>
      <c r="AD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A370">
        <v>727164.00000000105</v>
      </c>
      <c r="BB370">
        <v>3763827</v>
      </c>
    </row>
    <row r="371" spans="1:54" x14ac:dyDescent="0.35">
      <c r="A371">
        <v>110181</v>
      </c>
      <c r="B371">
        <v>548</v>
      </c>
      <c r="C371" t="s">
        <v>135</v>
      </c>
      <c r="D371" s="15">
        <v>701012140922141</v>
      </c>
      <c r="F371">
        <v>70</v>
      </c>
      <c r="G371" t="s">
        <v>136</v>
      </c>
      <c r="H371">
        <v>7010</v>
      </c>
      <c r="I371" t="s">
        <v>137</v>
      </c>
      <c r="K371" t="s">
        <v>79</v>
      </c>
      <c r="M371">
        <v>12140922140</v>
      </c>
      <c r="N371" t="s">
        <v>139</v>
      </c>
      <c r="O371">
        <v>12140922140</v>
      </c>
      <c r="Q371" t="s">
        <v>141</v>
      </c>
      <c r="R371">
        <v>0</v>
      </c>
      <c r="S371">
        <v>36</v>
      </c>
      <c r="T371" t="s">
        <v>142</v>
      </c>
      <c r="AA371" t="s">
        <v>144</v>
      </c>
      <c r="AB371" t="s">
        <v>240</v>
      </c>
      <c r="AC371">
        <v>0</v>
      </c>
      <c r="AD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A371">
        <v>727133.00000000105</v>
      </c>
      <c r="BB371">
        <v>3763844</v>
      </c>
    </row>
    <row r="372" spans="1:54" x14ac:dyDescent="0.35">
      <c r="A372">
        <v>110180</v>
      </c>
      <c r="B372">
        <v>547</v>
      </c>
      <c r="C372" t="s">
        <v>135</v>
      </c>
      <c r="D372" s="15">
        <v>701012140922140</v>
      </c>
      <c r="F372">
        <v>70</v>
      </c>
      <c r="G372" t="s">
        <v>136</v>
      </c>
      <c r="H372">
        <v>7010</v>
      </c>
      <c r="I372" t="s">
        <v>137</v>
      </c>
      <c r="K372" t="s">
        <v>138</v>
      </c>
      <c r="M372">
        <v>12140922140</v>
      </c>
      <c r="N372" t="s">
        <v>139</v>
      </c>
      <c r="O372">
        <v>12140922140</v>
      </c>
      <c r="P372" t="s">
        <v>140</v>
      </c>
      <c r="Q372" t="s">
        <v>141</v>
      </c>
      <c r="R372">
        <v>0</v>
      </c>
      <c r="S372">
        <v>36</v>
      </c>
      <c r="T372" t="s">
        <v>142</v>
      </c>
      <c r="U372" t="s">
        <v>154</v>
      </c>
      <c r="V372" t="s">
        <v>154</v>
      </c>
      <c r="W372" t="s">
        <v>154</v>
      </c>
      <c r="X372" t="s">
        <v>154</v>
      </c>
      <c r="AA372" t="s">
        <v>144</v>
      </c>
      <c r="AB372" t="s">
        <v>240</v>
      </c>
      <c r="AC372">
        <v>0</v>
      </c>
      <c r="AD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A372">
        <v>727133.00000000105</v>
      </c>
      <c r="BB372">
        <v>3763844</v>
      </c>
    </row>
    <row r="373" spans="1:54" x14ac:dyDescent="0.35">
      <c r="A373">
        <v>110179</v>
      </c>
      <c r="B373">
        <v>546</v>
      </c>
      <c r="C373" t="s">
        <v>135</v>
      </c>
      <c r="D373" s="15">
        <v>701012140922140</v>
      </c>
      <c r="F373">
        <v>70</v>
      </c>
      <c r="G373" t="s">
        <v>136</v>
      </c>
      <c r="H373">
        <v>7010</v>
      </c>
      <c r="I373" t="s">
        <v>137</v>
      </c>
      <c r="K373" t="s">
        <v>79</v>
      </c>
      <c r="M373">
        <v>12140922138</v>
      </c>
      <c r="N373" t="s">
        <v>139</v>
      </c>
      <c r="O373">
        <v>12140922138</v>
      </c>
      <c r="Q373" t="s">
        <v>141</v>
      </c>
      <c r="R373">
        <v>0</v>
      </c>
      <c r="T373" t="s">
        <v>146</v>
      </c>
      <c r="AA373" t="s">
        <v>144</v>
      </c>
      <c r="AB373" t="s">
        <v>240</v>
      </c>
      <c r="AC373">
        <v>0</v>
      </c>
      <c r="AD373">
        <v>0</v>
      </c>
      <c r="AE373" t="s">
        <v>147</v>
      </c>
      <c r="AF373" t="s">
        <v>148</v>
      </c>
      <c r="AG373" t="s">
        <v>149</v>
      </c>
      <c r="AH373" t="s">
        <v>182</v>
      </c>
      <c r="AJ373" t="s">
        <v>241</v>
      </c>
      <c r="AK373" t="s">
        <v>152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Z373" t="s">
        <v>242</v>
      </c>
      <c r="BA373">
        <v>727140.2</v>
      </c>
      <c r="BB373">
        <v>3763857.5</v>
      </c>
    </row>
    <row r="374" spans="1:54" x14ac:dyDescent="0.35">
      <c r="A374">
        <v>110178</v>
      </c>
      <c r="B374">
        <v>545</v>
      </c>
      <c r="C374" t="s">
        <v>135</v>
      </c>
      <c r="D374" s="15">
        <v>701012140922139</v>
      </c>
      <c r="F374">
        <v>70</v>
      </c>
      <c r="G374" t="s">
        <v>136</v>
      </c>
      <c r="H374">
        <v>7010</v>
      </c>
      <c r="I374" t="s">
        <v>137</v>
      </c>
      <c r="K374" t="s">
        <v>138</v>
      </c>
      <c r="M374">
        <v>12140922139</v>
      </c>
      <c r="N374" t="s">
        <v>139</v>
      </c>
      <c r="O374">
        <v>12140922139</v>
      </c>
      <c r="P374" t="s">
        <v>140</v>
      </c>
      <c r="Q374" t="s">
        <v>141</v>
      </c>
      <c r="R374">
        <v>0</v>
      </c>
      <c r="S374">
        <v>45</v>
      </c>
      <c r="T374" t="s">
        <v>222</v>
      </c>
      <c r="U374" t="s">
        <v>154</v>
      </c>
      <c r="V374" t="s">
        <v>154</v>
      </c>
      <c r="W374" t="s">
        <v>154</v>
      </c>
      <c r="X374" t="s">
        <v>154</v>
      </c>
      <c r="AA374" t="s">
        <v>144</v>
      </c>
      <c r="AB374" t="s">
        <v>240</v>
      </c>
      <c r="AC374">
        <v>0</v>
      </c>
      <c r="AD374">
        <v>0</v>
      </c>
      <c r="AO374">
        <v>0</v>
      </c>
      <c r="AP374">
        <v>35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A374">
        <v>727235.00000000105</v>
      </c>
      <c r="BB374">
        <v>3763853</v>
      </c>
    </row>
    <row r="375" spans="1:54" x14ac:dyDescent="0.35">
      <c r="A375">
        <v>110177</v>
      </c>
      <c r="B375">
        <v>544</v>
      </c>
      <c r="C375" t="s">
        <v>135</v>
      </c>
      <c r="D375" s="15">
        <v>701012140922139</v>
      </c>
      <c r="E375">
        <v>0</v>
      </c>
      <c r="F375">
        <v>70</v>
      </c>
      <c r="G375" t="s">
        <v>136</v>
      </c>
      <c r="H375">
        <v>7010</v>
      </c>
      <c r="I375" t="s">
        <v>137</v>
      </c>
      <c r="K375" t="s">
        <v>79</v>
      </c>
      <c r="M375">
        <v>12140922135</v>
      </c>
      <c r="N375" t="s">
        <v>139</v>
      </c>
      <c r="O375">
        <v>12140922135</v>
      </c>
      <c r="Q375" t="s">
        <v>141</v>
      </c>
      <c r="R375">
        <v>0</v>
      </c>
      <c r="S375">
        <v>45</v>
      </c>
      <c r="T375" t="s">
        <v>222</v>
      </c>
      <c r="AA375" t="s">
        <v>144</v>
      </c>
      <c r="AB375" t="s">
        <v>240</v>
      </c>
      <c r="AC375">
        <v>0</v>
      </c>
      <c r="AD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A375">
        <v>727188</v>
      </c>
      <c r="BB375">
        <v>3763873</v>
      </c>
    </row>
    <row r="376" spans="1:54" x14ac:dyDescent="0.35">
      <c r="A376">
        <v>110176</v>
      </c>
      <c r="B376">
        <v>543</v>
      </c>
      <c r="C376" t="s">
        <v>135</v>
      </c>
      <c r="D376" s="15">
        <v>701012140922135</v>
      </c>
      <c r="E376">
        <v>0</v>
      </c>
      <c r="F376">
        <v>70</v>
      </c>
      <c r="G376" t="s">
        <v>136</v>
      </c>
      <c r="H376">
        <v>7010</v>
      </c>
      <c r="I376" t="s">
        <v>137</v>
      </c>
      <c r="K376" t="s">
        <v>138</v>
      </c>
      <c r="M376">
        <v>12140922135</v>
      </c>
      <c r="N376" t="s">
        <v>139</v>
      </c>
      <c r="O376">
        <v>12140922135</v>
      </c>
      <c r="P376" t="s">
        <v>140</v>
      </c>
      <c r="Q376" t="s">
        <v>141</v>
      </c>
      <c r="R376">
        <v>0</v>
      </c>
      <c r="S376">
        <v>45</v>
      </c>
      <c r="T376" t="s">
        <v>222</v>
      </c>
      <c r="U376" t="s">
        <v>154</v>
      </c>
      <c r="V376" t="s">
        <v>154</v>
      </c>
      <c r="W376" t="s">
        <v>154</v>
      </c>
      <c r="X376" t="s">
        <v>154</v>
      </c>
      <c r="AA376" t="s">
        <v>144</v>
      </c>
      <c r="AB376" t="s">
        <v>240</v>
      </c>
      <c r="AC376">
        <v>0</v>
      </c>
      <c r="AD376">
        <v>0</v>
      </c>
      <c r="AO376">
        <v>0</v>
      </c>
      <c r="AP376">
        <v>12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A376">
        <v>727188</v>
      </c>
      <c r="BB376">
        <v>3763873</v>
      </c>
    </row>
    <row r="377" spans="1:54" x14ac:dyDescent="0.35">
      <c r="A377">
        <v>110175</v>
      </c>
      <c r="B377">
        <v>542</v>
      </c>
      <c r="C377" t="s">
        <v>135</v>
      </c>
      <c r="D377" s="15">
        <v>701012140922135</v>
      </c>
      <c r="F377">
        <v>70</v>
      </c>
      <c r="G377" t="s">
        <v>136</v>
      </c>
      <c r="H377">
        <v>7010</v>
      </c>
      <c r="I377" t="s">
        <v>137</v>
      </c>
      <c r="K377" t="s">
        <v>79</v>
      </c>
      <c r="M377">
        <v>12140922134</v>
      </c>
      <c r="N377" t="s">
        <v>139</v>
      </c>
      <c r="O377">
        <v>12140922134</v>
      </c>
      <c r="Q377" t="s">
        <v>141</v>
      </c>
      <c r="R377">
        <v>0</v>
      </c>
      <c r="S377">
        <v>36</v>
      </c>
      <c r="T377" t="s">
        <v>142</v>
      </c>
      <c r="AA377" t="s">
        <v>144</v>
      </c>
      <c r="AB377" t="s">
        <v>240</v>
      </c>
      <c r="AC377">
        <v>0</v>
      </c>
      <c r="AD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A377">
        <v>727148.00000000105</v>
      </c>
      <c r="BB377">
        <v>3763891</v>
      </c>
    </row>
    <row r="378" spans="1:54" x14ac:dyDescent="0.35">
      <c r="A378">
        <v>110174</v>
      </c>
      <c r="B378">
        <v>541</v>
      </c>
      <c r="C378" t="s">
        <v>135</v>
      </c>
      <c r="D378" s="15">
        <v>701012140922134</v>
      </c>
      <c r="F378">
        <v>70</v>
      </c>
      <c r="G378" t="s">
        <v>136</v>
      </c>
      <c r="H378">
        <v>7010</v>
      </c>
      <c r="I378" t="s">
        <v>137</v>
      </c>
      <c r="K378" t="s">
        <v>138</v>
      </c>
      <c r="M378">
        <v>12140922134</v>
      </c>
      <c r="N378" t="s">
        <v>139</v>
      </c>
      <c r="O378">
        <v>12140922134</v>
      </c>
      <c r="P378" t="s">
        <v>140</v>
      </c>
      <c r="Q378" t="s">
        <v>141</v>
      </c>
      <c r="R378">
        <v>0</v>
      </c>
      <c r="S378">
        <v>36</v>
      </c>
      <c r="T378" t="s">
        <v>142</v>
      </c>
      <c r="U378" t="s">
        <v>154</v>
      </c>
      <c r="V378" t="s">
        <v>154</v>
      </c>
      <c r="W378" t="s">
        <v>154</v>
      </c>
      <c r="X378" t="s">
        <v>154</v>
      </c>
      <c r="AA378" t="s">
        <v>144</v>
      </c>
      <c r="AB378" t="s">
        <v>240</v>
      </c>
      <c r="AC378">
        <v>0</v>
      </c>
      <c r="AD378">
        <v>0</v>
      </c>
      <c r="AO378">
        <v>0</v>
      </c>
      <c r="AP378">
        <v>2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A378">
        <v>727148.00000000105</v>
      </c>
      <c r="BB378">
        <v>3763891</v>
      </c>
    </row>
    <row r="379" spans="1:54" x14ac:dyDescent="0.35">
      <c r="A379">
        <v>110173</v>
      </c>
      <c r="B379">
        <v>540</v>
      </c>
      <c r="C379" t="s">
        <v>135</v>
      </c>
      <c r="D379" s="15">
        <v>701012140922134</v>
      </c>
      <c r="F379">
        <v>70</v>
      </c>
      <c r="G379" t="s">
        <v>136</v>
      </c>
      <c r="H379">
        <v>7010</v>
      </c>
      <c r="I379" t="s">
        <v>137</v>
      </c>
      <c r="K379" t="s">
        <v>79</v>
      </c>
      <c r="M379">
        <v>12140922138</v>
      </c>
      <c r="N379" t="s">
        <v>139</v>
      </c>
      <c r="O379">
        <v>12140922138</v>
      </c>
      <c r="Q379" t="s">
        <v>141</v>
      </c>
      <c r="R379">
        <v>0</v>
      </c>
      <c r="T379" t="s">
        <v>146</v>
      </c>
      <c r="AA379" t="s">
        <v>144</v>
      </c>
      <c r="AB379" t="s">
        <v>240</v>
      </c>
      <c r="AC379">
        <v>0</v>
      </c>
      <c r="AD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A379">
        <v>727140.2</v>
      </c>
      <c r="BB379">
        <v>3763857.5</v>
      </c>
    </row>
    <row r="380" spans="1:54" x14ac:dyDescent="0.35">
      <c r="A380">
        <v>110172</v>
      </c>
      <c r="B380">
        <v>539</v>
      </c>
      <c r="C380" t="s">
        <v>135</v>
      </c>
      <c r="D380" s="15">
        <v>701012140922138</v>
      </c>
      <c r="F380">
        <v>70</v>
      </c>
      <c r="G380" t="s">
        <v>136</v>
      </c>
      <c r="H380">
        <v>7010</v>
      </c>
      <c r="I380" t="s">
        <v>137</v>
      </c>
      <c r="K380" t="s">
        <v>138</v>
      </c>
      <c r="M380">
        <v>12140922138</v>
      </c>
      <c r="N380" t="s">
        <v>139</v>
      </c>
      <c r="O380">
        <v>12140922138</v>
      </c>
      <c r="P380" t="s">
        <v>140</v>
      </c>
      <c r="Q380" t="s">
        <v>141</v>
      </c>
      <c r="R380">
        <v>0</v>
      </c>
      <c r="T380" t="s">
        <v>146</v>
      </c>
      <c r="U380" t="s">
        <v>143</v>
      </c>
      <c r="V380" t="s">
        <v>143</v>
      </c>
      <c r="W380" t="s">
        <v>143</v>
      </c>
      <c r="X380" t="s">
        <v>143</v>
      </c>
      <c r="AA380" t="s">
        <v>144</v>
      </c>
      <c r="AB380" t="s">
        <v>240</v>
      </c>
      <c r="AC380">
        <v>0</v>
      </c>
      <c r="AD380">
        <v>0</v>
      </c>
      <c r="AO380">
        <v>0</v>
      </c>
      <c r="AP380">
        <v>6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A380">
        <v>727140.2</v>
      </c>
      <c r="BB380">
        <v>3763857.5</v>
      </c>
    </row>
    <row r="381" spans="1:54" x14ac:dyDescent="0.35">
      <c r="A381">
        <v>110171</v>
      </c>
      <c r="B381">
        <v>538</v>
      </c>
      <c r="C381" t="s">
        <v>135</v>
      </c>
      <c r="D381" s="15">
        <v>701012140922138</v>
      </c>
      <c r="F381">
        <v>70</v>
      </c>
      <c r="G381" t="s">
        <v>136</v>
      </c>
      <c r="H381">
        <v>7010</v>
      </c>
      <c r="I381" t="s">
        <v>137</v>
      </c>
      <c r="K381" t="s">
        <v>79</v>
      </c>
      <c r="M381">
        <v>12140922138</v>
      </c>
      <c r="N381" t="s">
        <v>139</v>
      </c>
      <c r="O381">
        <v>12140922138</v>
      </c>
      <c r="Q381" t="s">
        <v>141</v>
      </c>
      <c r="R381">
        <v>0</v>
      </c>
      <c r="T381" t="s">
        <v>146</v>
      </c>
      <c r="AA381" t="s">
        <v>144</v>
      </c>
      <c r="AB381" t="s">
        <v>240</v>
      </c>
      <c r="AC381">
        <v>0</v>
      </c>
      <c r="AD381">
        <v>0</v>
      </c>
      <c r="AE381" t="s">
        <v>147</v>
      </c>
      <c r="AF381" t="s">
        <v>148</v>
      </c>
      <c r="AG381" t="s">
        <v>149</v>
      </c>
      <c r="AH381" t="s">
        <v>182</v>
      </c>
      <c r="AJ381" t="s">
        <v>241</v>
      </c>
      <c r="AK381" t="s">
        <v>152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Z381" t="s">
        <v>242</v>
      </c>
      <c r="BA381">
        <v>727140.2</v>
      </c>
      <c r="BB381">
        <v>3763857.5</v>
      </c>
    </row>
    <row r="382" spans="1:54" x14ac:dyDescent="0.35">
      <c r="A382">
        <v>110170</v>
      </c>
      <c r="B382">
        <v>537</v>
      </c>
      <c r="C382" t="s">
        <v>135</v>
      </c>
      <c r="D382" s="15">
        <v>701012130922113</v>
      </c>
      <c r="F382">
        <v>70</v>
      </c>
      <c r="G382" t="s">
        <v>136</v>
      </c>
      <c r="H382">
        <v>7010</v>
      </c>
      <c r="I382" t="s">
        <v>137</v>
      </c>
      <c r="K382" t="s">
        <v>138</v>
      </c>
      <c r="M382">
        <v>12130922113</v>
      </c>
      <c r="N382" t="s">
        <v>139</v>
      </c>
      <c r="O382">
        <v>12130922113</v>
      </c>
      <c r="P382" t="s">
        <v>140</v>
      </c>
      <c r="Q382" t="s">
        <v>141</v>
      </c>
      <c r="R382">
        <v>0</v>
      </c>
      <c r="S382">
        <v>36</v>
      </c>
      <c r="T382" t="s">
        <v>142</v>
      </c>
      <c r="U382" t="s">
        <v>154</v>
      </c>
      <c r="V382" t="s">
        <v>154</v>
      </c>
      <c r="W382" t="s">
        <v>154</v>
      </c>
      <c r="X382" t="s">
        <v>154</v>
      </c>
      <c r="AA382" t="s">
        <v>144</v>
      </c>
      <c r="AB382" t="s">
        <v>243</v>
      </c>
      <c r="AC382">
        <v>0</v>
      </c>
      <c r="AD382">
        <v>0</v>
      </c>
      <c r="AO382">
        <v>0</v>
      </c>
      <c r="AP382">
        <v>4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A382">
        <v>726579</v>
      </c>
      <c r="BB382">
        <v>3763489</v>
      </c>
    </row>
    <row r="383" spans="1:54" x14ac:dyDescent="0.35">
      <c r="A383">
        <v>110169</v>
      </c>
      <c r="B383">
        <v>536</v>
      </c>
      <c r="C383" t="s">
        <v>135</v>
      </c>
      <c r="D383" s="15">
        <v>701012130922113</v>
      </c>
      <c r="F383">
        <v>70</v>
      </c>
      <c r="G383" t="s">
        <v>136</v>
      </c>
      <c r="H383">
        <v>7010</v>
      </c>
      <c r="I383" t="s">
        <v>137</v>
      </c>
      <c r="K383" t="s">
        <v>79</v>
      </c>
      <c r="M383">
        <v>12130922112</v>
      </c>
      <c r="N383" t="s">
        <v>139</v>
      </c>
      <c r="O383">
        <v>12130922112</v>
      </c>
      <c r="Q383" t="s">
        <v>141</v>
      </c>
      <c r="R383">
        <v>0</v>
      </c>
      <c r="S383">
        <v>36</v>
      </c>
      <c r="T383" t="s">
        <v>142</v>
      </c>
      <c r="AA383" t="s">
        <v>144</v>
      </c>
      <c r="AB383" t="s">
        <v>243</v>
      </c>
      <c r="AC383">
        <v>0</v>
      </c>
      <c r="AD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A383">
        <v>726565.00000000105</v>
      </c>
      <c r="BB383">
        <v>3763522</v>
      </c>
    </row>
    <row r="384" spans="1:54" x14ac:dyDescent="0.35">
      <c r="A384">
        <v>110168</v>
      </c>
      <c r="B384">
        <v>535</v>
      </c>
      <c r="C384" t="s">
        <v>135</v>
      </c>
      <c r="D384" s="15">
        <v>701012130922112</v>
      </c>
      <c r="F384">
        <v>70</v>
      </c>
      <c r="G384" t="s">
        <v>136</v>
      </c>
      <c r="H384">
        <v>7010</v>
      </c>
      <c r="I384" t="s">
        <v>137</v>
      </c>
      <c r="K384" t="s">
        <v>138</v>
      </c>
      <c r="M384">
        <v>12130922112</v>
      </c>
      <c r="N384" t="s">
        <v>139</v>
      </c>
      <c r="O384">
        <v>12130922112</v>
      </c>
      <c r="P384" t="s">
        <v>140</v>
      </c>
      <c r="Q384" t="s">
        <v>141</v>
      </c>
      <c r="R384">
        <v>0</v>
      </c>
      <c r="S384">
        <v>36</v>
      </c>
      <c r="T384" t="s">
        <v>142</v>
      </c>
      <c r="U384" t="s">
        <v>154</v>
      </c>
      <c r="V384" t="s">
        <v>154</v>
      </c>
      <c r="W384" t="s">
        <v>154</v>
      </c>
      <c r="X384" t="s">
        <v>154</v>
      </c>
      <c r="AA384" t="s">
        <v>144</v>
      </c>
      <c r="AB384" t="s">
        <v>243</v>
      </c>
      <c r="AC384">
        <v>0</v>
      </c>
      <c r="AD384">
        <v>0</v>
      </c>
      <c r="AO384">
        <v>0</v>
      </c>
      <c r="AP384">
        <v>0</v>
      </c>
      <c r="AQ384">
        <v>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A384">
        <v>726565.00000000105</v>
      </c>
      <c r="BB384">
        <v>3763522</v>
      </c>
    </row>
    <row r="385" spans="1:54" x14ac:dyDescent="0.35">
      <c r="A385">
        <v>110167</v>
      </c>
      <c r="B385">
        <v>534</v>
      </c>
      <c r="C385" t="s">
        <v>135</v>
      </c>
      <c r="D385" s="15">
        <v>701012130922112</v>
      </c>
      <c r="F385">
        <v>70</v>
      </c>
      <c r="G385" t="s">
        <v>136</v>
      </c>
      <c r="H385">
        <v>7010</v>
      </c>
      <c r="I385" t="s">
        <v>137</v>
      </c>
      <c r="K385" t="s">
        <v>79</v>
      </c>
      <c r="M385">
        <v>12130922108</v>
      </c>
      <c r="N385" t="s">
        <v>139</v>
      </c>
      <c r="O385">
        <v>12130922108</v>
      </c>
      <c r="Q385" t="s">
        <v>141</v>
      </c>
      <c r="R385">
        <v>0</v>
      </c>
      <c r="T385" t="s">
        <v>146</v>
      </c>
      <c r="AA385" t="s">
        <v>144</v>
      </c>
      <c r="AB385" t="s">
        <v>243</v>
      </c>
      <c r="AC385">
        <v>0</v>
      </c>
      <c r="AD385">
        <v>0</v>
      </c>
      <c r="AE385" t="s">
        <v>147</v>
      </c>
      <c r="AF385" t="s">
        <v>148</v>
      </c>
      <c r="AG385" t="s">
        <v>149</v>
      </c>
      <c r="AH385" t="s">
        <v>244</v>
      </c>
      <c r="AJ385" t="s">
        <v>245</v>
      </c>
      <c r="AK385" t="s">
        <v>152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Z385" t="s">
        <v>246</v>
      </c>
      <c r="BA385">
        <v>726581.00000000105</v>
      </c>
      <c r="BB385">
        <v>3763545</v>
      </c>
    </row>
    <row r="386" spans="1:54" x14ac:dyDescent="0.35">
      <c r="A386">
        <v>110166</v>
      </c>
      <c r="B386">
        <v>533</v>
      </c>
      <c r="C386" t="s">
        <v>135</v>
      </c>
      <c r="D386" s="15">
        <v>701012130922111</v>
      </c>
      <c r="F386">
        <v>70</v>
      </c>
      <c r="G386" t="s">
        <v>136</v>
      </c>
      <c r="H386">
        <v>7010</v>
      </c>
      <c r="I386" t="s">
        <v>137</v>
      </c>
      <c r="K386" t="s">
        <v>138</v>
      </c>
      <c r="M386">
        <v>12130922111</v>
      </c>
      <c r="N386" t="s">
        <v>139</v>
      </c>
      <c r="O386">
        <v>12130922111</v>
      </c>
      <c r="P386" t="s">
        <v>140</v>
      </c>
      <c r="Q386" t="s">
        <v>141</v>
      </c>
      <c r="R386">
        <v>0</v>
      </c>
      <c r="S386">
        <v>36</v>
      </c>
      <c r="T386" t="s">
        <v>142</v>
      </c>
      <c r="U386" t="s">
        <v>154</v>
      </c>
      <c r="V386" t="s">
        <v>154</v>
      </c>
      <c r="W386" t="s">
        <v>154</v>
      </c>
      <c r="X386" t="s">
        <v>154</v>
      </c>
      <c r="AA386" t="s">
        <v>144</v>
      </c>
      <c r="AB386" t="s">
        <v>243</v>
      </c>
      <c r="AC386">
        <v>0</v>
      </c>
      <c r="AD386">
        <v>0</v>
      </c>
      <c r="AO386">
        <v>0</v>
      </c>
      <c r="AP386">
        <v>0</v>
      </c>
      <c r="AQ386">
        <v>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A386">
        <v>726660.00000000105</v>
      </c>
      <c r="BB386">
        <v>3763495</v>
      </c>
    </row>
    <row r="387" spans="1:54" x14ac:dyDescent="0.35">
      <c r="A387">
        <v>110165</v>
      </c>
      <c r="B387">
        <v>532</v>
      </c>
      <c r="C387" t="s">
        <v>135</v>
      </c>
      <c r="D387" s="15">
        <v>701012130922111</v>
      </c>
      <c r="F387">
        <v>70</v>
      </c>
      <c r="G387" t="s">
        <v>136</v>
      </c>
      <c r="H387">
        <v>7010</v>
      </c>
      <c r="I387" t="s">
        <v>137</v>
      </c>
      <c r="K387" t="s">
        <v>79</v>
      </c>
      <c r="M387">
        <v>12130922110</v>
      </c>
      <c r="N387" t="s">
        <v>139</v>
      </c>
      <c r="O387">
        <v>12130922110</v>
      </c>
      <c r="Q387" t="s">
        <v>141</v>
      </c>
      <c r="R387">
        <v>0</v>
      </c>
      <c r="S387">
        <v>36</v>
      </c>
      <c r="T387" t="s">
        <v>142</v>
      </c>
      <c r="AA387" t="s">
        <v>144</v>
      </c>
      <c r="AB387" t="s">
        <v>243</v>
      </c>
      <c r="AC387">
        <v>0</v>
      </c>
      <c r="AD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A387">
        <v>726626.00000000198</v>
      </c>
      <c r="BB387">
        <v>3763518</v>
      </c>
    </row>
    <row r="388" spans="1:54" x14ac:dyDescent="0.35">
      <c r="A388">
        <v>110164</v>
      </c>
      <c r="B388">
        <v>531</v>
      </c>
      <c r="C388" t="s">
        <v>135</v>
      </c>
      <c r="D388" s="15">
        <v>701012130922110</v>
      </c>
      <c r="F388">
        <v>70</v>
      </c>
      <c r="G388" t="s">
        <v>136</v>
      </c>
      <c r="H388">
        <v>7010</v>
      </c>
      <c r="I388" t="s">
        <v>137</v>
      </c>
      <c r="K388" t="s">
        <v>138</v>
      </c>
      <c r="M388">
        <v>12130922110</v>
      </c>
      <c r="N388" t="s">
        <v>139</v>
      </c>
      <c r="O388">
        <v>12130922110</v>
      </c>
      <c r="Q388" t="s">
        <v>141</v>
      </c>
      <c r="R388">
        <v>0</v>
      </c>
      <c r="S388">
        <v>36</v>
      </c>
      <c r="T388" t="s">
        <v>142</v>
      </c>
      <c r="AA388" t="s">
        <v>144</v>
      </c>
      <c r="AB388" t="s">
        <v>243</v>
      </c>
      <c r="AC388">
        <v>0</v>
      </c>
      <c r="AD388">
        <v>0</v>
      </c>
      <c r="AO388">
        <v>0</v>
      </c>
      <c r="AP388">
        <v>6</v>
      </c>
      <c r="AQ388">
        <v>8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A388">
        <v>726626.00000000198</v>
      </c>
      <c r="BB388">
        <v>3763518</v>
      </c>
    </row>
    <row r="389" spans="1:54" x14ac:dyDescent="0.35">
      <c r="A389">
        <v>110163</v>
      </c>
      <c r="B389">
        <v>530</v>
      </c>
      <c r="C389" t="s">
        <v>135</v>
      </c>
      <c r="D389" s="15">
        <v>701012130922110</v>
      </c>
      <c r="F389">
        <v>70</v>
      </c>
      <c r="G389" t="s">
        <v>136</v>
      </c>
      <c r="H389">
        <v>7010</v>
      </c>
      <c r="I389" t="s">
        <v>137</v>
      </c>
      <c r="K389" t="s">
        <v>79</v>
      </c>
      <c r="M389">
        <v>12130922109</v>
      </c>
      <c r="N389" t="s">
        <v>139</v>
      </c>
      <c r="O389">
        <v>12130922109</v>
      </c>
      <c r="Q389" t="s">
        <v>141</v>
      </c>
      <c r="R389">
        <v>0</v>
      </c>
      <c r="S389">
        <v>30</v>
      </c>
      <c r="T389" t="s">
        <v>142</v>
      </c>
      <c r="AA389" t="s">
        <v>144</v>
      </c>
      <c r="AB389" t="s">
        <v>243</v>
      </c>
      <c r="AC389">
        <v>0</v>
      </c>
      <c r="AD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A389">
        <v>726596.00000000105</v>
      </c>
      <c r="BB389">
        <v>3763547</v>
      </c>
    </row>
    <row r="390" spans="1:54" x14ac:dyDescent="0.35">
      <c r="A390">
        <v>110162</v>
      </c>
      <c r="B390">
        <v>529</v>
      </c>
      <c r="C390" t="s">
        <v>135</v>
      </c>
      <c r="D390" s="15">
        <v>701012130922101</v>
      </c>
      <c r="F390">
        <v>70</v>
      </c>
      <c r="G390" t="s">
        <v>136</v>
      </c>
      <c r="H390">
        <v>7010</v>
      </c>
      <c r="I390" t="s">
        <v>137</v>
      </c>
      <c r="K390" t="s">
        <v>138</v>
      </c>
      <c r="M390">
        <v>12130922101</v>
      </c>
      <c r="N390" t="s">
        <v>139</v>
      </c>
      <c r="O390">
        <v>12130922101</v>
      </c>
      <c r="P390" t="s">
        <v>140</v>
      </c>
      <c r="Q390" t="s">
        <v>141</v>
      </c>
      <c r="R390">
        <v>0</v>
      </c>
      <c r="S390">
        <v>36</v>
      </c>
      <c r="T390" t="s">
        <v>142</v>
      </c>
      <c r="U390" t="s">
        <v>154</v>
      </c>
      <c r="V390" t="s">
        <v>154</v>
      </c>
      <c r="W390" t="s">
        <v>154</v>
      </c>
      <c r="X390" t="s">
        <v>154</v>
      </c>
      <c r="AA390" t="s">
        <v>144</v>
      </c>
      <c r="AB390" t="s">
        <v>243</v>
      </c>
      <c r="AC390">
        <v>0</v>
      </c>
      <c r="AD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A390">
        <v>726626.00000000198</v>
      </c>
      <c r="BB390">
        <v>3763582</v>
      </c>
    </row>
    <row r="391" spans="1:54" x14ac:dyDescent="0.35">
      <c r="A391">
        <v>110161</v>
      </c>
      <c r="B391">
        <v>528</v>
      </c>
      <c r="C391" t="s">
        <v>135</v>
      </c>
      <c r="D391" s="15">
        <v>701012130922101</v>
      </c>
      <c r="F391">
        <v>70</v>
      </c>
      <c r="G391" t="s">
        <v>136</v>
      </c>
      <c r="H391">
        <v>7010</v>
      </c>
      <c r="I391" t="s">
        <v>137</v>
      </c>
      <c r="K391" t="s">
        <v>79</v>
      </c>
      <c r="M391">
        <v>12130922109</v>
      </c>
      <c r="N391" t="s">
        <v>139</v>
      </c>
      <c r="O391">
        <v>12130922109</v>
      </c>
      <c r="Q391" t="s">
        <v>141</v>
      </c>
      <c r="R391">
        <v>0</v>
      </c>
      <c r="S391">
        <v>30</v>
      </c>
      <c r="T391" t="s">
        <v>142</v>
      </c>
      <c r="AA391" t="s">
        <v>144</v>
      </c>
      <c r="AB391" t="s">
        <v>243</v>
      </c>
      <c r="AC391">
        <v>0</v>
      </c>
      <c r="AD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A391">
        <v>726596.00000000105</v>
      </c>
      <c r="BB391">
        <v>3763547</v>
      </c>
    </row>
    <row r="392" spans="1:54" x14ac:dyDescent="0.35">
      <c r="A392">
        <v>110160</v>
      </c>
      <c r="B392">
        <v>527</v>
      </c>
      <c r="C392" t="s">
        <v>135</v>
      </c>
      <c r="D392" s="15">
        <v>701012130922109</v>
      </c>
      <c r="F392">
        <v>70</v>
      </c>
      <c r="G392" t="s">
        <v>136</v>
      </c>
      <c r="H392">
        <v>7010</v>
      </c>
      <c r="I392" t="s">
        <v>137</v>
      </c>
      <c r="K392" t="s">
        <v>138</v>
      </c>
      <c r="M392">
        <v>12130922109</v>
      </c>
      <c r="N392" t="s">
        <v>139</v>
      </c>
      <c r="O392">
        <v>12130922109</v>
      </c>
      <c r="P392" t="s">
        <v>140</v>
      </c>
      <c r="Q392" t="s">
        <v>141</v>
      </c>
      <c r="R392">
        <v>0</v>
      </c>
      <c r="S392">
        <v>30</v>
      </c>
      <c r="T392" t="s">
        <v>142</v>
      </c>
      <c r="U392" t="s">
        <v>154</v>
      </c>
      <c r="V392" t="s">
        <v>154</v>
      </c>
      <c r="W392" t="s">
        <v>154</v>
      </c>
      <c r="X392" t="s">
        <v>154</v>
      </c>
      <c r="AA392" t="s">
        <v>144</v>
      </c>
      <c r="AB392" t="s">
        <v>243</v>
      </c>
      <c r="AC392">
        <v>0</v>
      </c>
      <c r="AD392">
        <v>0</v>
      </c>
      <c r="AO392">
        <v>0</v>
      </c>
      <c r="AP392">
        <v>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A392">
        <v>726596.00000000105</v>
      </c>
      <c r="BB392">
        <v>3763547</v>
      </c>
    </row>
    <row r="393" spans="1:54" x14ac:dyDescent="0.35">
      <c r="A393">
        <v>110159</v>
      </c>
      <c r="B393">
        <v>526</v>
      </c>
      <c r="C393" t="s">
        <v>135</v>
      </c>
      <c r="D393" s="15">
        <v>701012130922109</v>
      </c>
      <c r="F393">
        <v>70</v>
      </c>
      <c r="G393" t="s">
        <v>136</v>
      </c>
      <c r="H393">
        <v>7010</v>
      </c>
      <c r="I393" t="s">
        <v>137</v>
      </c>
      <c r="K393" t="s">
        <v>79</v>
      </c>
      <c r="M393">
        <v>12130922108</v>
      </c>
      <c r="N393" t="s">
        <v>139</v>
      </c>
      <c r="O393">
        <v>12130922108</v>
      </c>
      <c r="Q393" t="s">
        <v>141</v>
      </c>
      <c r="R393">
        <v>0</v>
      </c>
      <c r="T393" t="s">
        <v>146</v>
      </c>
      <c r="AA393" t="s">
        <v>144</v>
      </c>
      <c r="AB393" t="s">
        <v>243</v>
      </c>
      <c r="AC393">
        <v>0</v>
      </c>
      <c r="AD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A393">
        <v>726581.00000000105</v>
      </c>
      <c r="BB393">
        <v>3763545</v>
      </c>
    </row>
    <row r="394" spans="1:54" x14ac:dyDescent="0.35">
      <c r="A394">
        <v>110158</v>
      </c>
      <c r="B394">
        <v>525</v>
      </c>
      <c r="C394" t="s">
        <v>135</v>
      </c>
      <c r="D394" s="15">
        <v>701012130922108</v>
      </c>
      <c r="F394">
        <v>70</v>
      </c>
      <c r="G394" t="s">
        <v>136</v>
      </c>
      <c r="H394">
        <v>7010</v>
      </c>
      <c r="I394" t="s">
        <v>137</v>
      </c>
      <c r="K394" t="s">
        <v>138</v>
      </c>
      <c r="M394">
        <v>12130922108</v>
      </c>
      <c r="N394" t="s">
        <v>139</v>
      </c>
      <c r="O394">
        <v>12130922108</v>
      </c>
      <c r="P394" t="s">
        <v>140</v>
      </c>
      <c r="Q394" t="s">
        <v>141</v>
      </c>
      <c r="R394">
        <v>0</v>
      </c>
      <c r="T394" t="s">
        <v>146</v>
      </c>
      <c r="U394" t="s">
        <v>154</v>
      </c>
      <c r="V394" t="s">
        <v>154</v>
      </c>
      <c r="W394" t="s">
        <v>154</v>
      </c>
      <c r="X394" t="s">
        <v>154</v>
      </c>
      <c r="AA394" t="s">
        <v>144</v>
      </c>
      <c r="AB394" t="s">
        <v>243</v>
      </c>
      <c r="AC394">
        <v>0</v>
      </c>
      <c r="AD394">
        <v>0</v>
      </c>
      <c r="AO394">
        <v>0</v>
      </c>
      <c r="AP394">
        <v>2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A394">
        <v>726581.00000000105</v>
      </c>
      <c r="BB394">
        <v>3763545</v>
      </c>
    </row>
    <row r="395" spans="1:54" x14ac:dyDescent="0.35">
      <c r="A395">
        <v>110157</v>
      </c>
      <c r="B395">
        <v>524</v>
      </c>
      <c r="C395" t="s">
        <v>135</v>
      </c>
      <c r="D395" s="15">
        <v>701012130922108</v>
      </c>
      <c r="F395">
        <v>70</v>
      </c>
      <c r="G395" t="s">
        <v>136</v>
      </c>
      <c r="H395">
        <v>7010</v>
      </c>
      <c r="I395" t="s">
        <v>137</v>
      </c>
      <c r="K395" t="s">
        <v>79</v>
      </c>
      <c r="M395">
        <v>12130922108</v>
      </c>
      <c r="N395" t="s">
        <v>139</v>
      </c>
      <c r="O395">
        <v>12130922108</v>
      </c>
      <c r="Q395" t="s">
        <v>141</v>
      </c>
      <c r="R395">
        <v>0</v>
      </c>
      <c r="T395" t="s">
        <v>146</v>
      </c>
      <c r="AA395" t="s">
        <v>144</v>
      </c>
      <c r="AB395" t="s">
        <v>243</v>
      </c>
      <c r="AC395">
        <v>0</v>
      </c>
      <c r="AD395">
        <v>0</v>
      </c>
      <c r="AE395" t="s">
        <v>147</v>
      </c>
      <c r="AF395" t="s">
        <v>148</v>
      </c>
      <c r="AG395" t="s">
        <v>149</v>
      </c>
      <c r="AH395" t="s">
        <v>244</v>
      </c>
      <c r="AJ395" t="s">
        <v>245</v>
      </c>
      <c r="AK395" t="s">
        <v>152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Z395" t="s">
        <v>246</v>
      </c>
      <c r="BA395">
        <v>726581.00000000105</v>
      </c>
      <c r="BB395">
        <v>3763545</v>
      </c>
    </row>
    <row r="396" spans="1:54" x14ac:dyDescent="0.35">
      <c r="A396">
        <v>110156</v>
      </c>
      <c r="B396">
        <v>523</v>
      </c>
      <c r="C396" t="s">
        <v>135</v>
      </c>
      <c r="D396" s="15">
        <v>701012130922105</v>
      </c>
      <c r="F396">
        <v>70</v>
      </c>
      <c r="G396" t="s">
        <v>136</v>
      </c>
      <c r="H396">
        <v>7010</v>
      </c>
      <c r="I396" t="s">
        <v>137</v>
      </c>
      <c r="K396" t="s">
        <v>138</v>
      </c>
      <c r="M396">
        <v>12130922105</v>
      </c>
      <c r="N396" t="s">
        <v>139</v>
      </c>
      <c r="O396">
        <v>12130922105</v>
      </c>
      <c r="P396" t="s">
        <v>140</v>
      </c>
      <c r="Q396" t="s">
        <v>141</v>
      </c>
      <c r="R396">
        <v>0</v>
      </c>
      <c r="S396">
        <v>30</v>
      </c>
      <c r="T396" t="s">
        <v>142</v>
      </c>
      <c r="U396" t="s">
        <v>154</v>
      </c>
      <c r="V396" t="s">
        <v>154</v>
      </c>
      <c r="W396" t="s">
        <v>154</v>
      </c>
      <c r="X396" t="s">
        <v>154</v>
      </c>
      <c r="AA396" t="s">
        <v>144</v>
      </c>
      <c r="AB396" t="s">
        <v>247</v>
      </c>
      <c r="AC396">
        <v>0</v>
      </c>
      <c r="AD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A396">
        <v>726767.00000000105</v>
      </c>
      <c r="BB396">
        <v>3763487</v>
      </c>
    </row>
    <row r="397" spans="1:54" x14ac:dyDescent="0.35">
      <c r="A397">
        <v>110155</v>
      </c>
      <c r="B397">
        <v>522</v>
      </c>
      <c r="C397" t="s">
        <v>135</v>
      </c>
      <c r="D397" s="15">
        <v>701012130922105</v>
      </c>
      <c r="F397">
        <v>70</v>
      </c>
      <c r="G397" t="s">
        <v>136</v>
      </c>
      <c r="H397">
        <v>7010</v>
      </c>
      <c r="I397" t="s">
        <v>137</v>
      </c>
      <c r="K397" t="s">
        <v>79</v>
      </c>
      <c r="M397">
        <v>12130922104</v>
      </c>
      <c r="N397" t="s">
        <v>139</v>
      </c>
      <c r="O397">
        <v>12130922104</v>
      </c>
      <c r="Q397" t="s">
        <v>141</v>
      </c>
      <c r="R397">
        <v>0</v>
      </c>
      <c r="S397">
        <v>30</v>
      </c>
      <c r="T397" t="s">
        <v>142</v>
      </c>
      <c r="AA397" t="s">
        <v>144</v>
      </c>
      <c r="AB397" t="s">
        <v>247</v>
      </c>
      <c r="AC397">
        <v>0</v>
      </c>
      <c r="AD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A397">
        <v>726727.00000000105</v>
      </c>
      <c r="BB397">
        <v>3763513</v>
      </c>
    </row>
    <row r="398" spans="1:54" x14ac:dyDescent="0.35">
      <c r="A398">
        <v>110154</v>
      </c>
      <c r="B398">
        <v>521</v>
      </c>
      <c r="C398" t="s">
        <v>135</v>
      </c>
      <c r="D398" s="15">
        <v>701012130922104</v>
      </c>
      <c r="F398">
        <v>70</v>
      </c>
      <c r="G398" t="s">
        <v>136</v>
      </c>
      <c r="H398">
        <v>7010</v>
      </c>
      <c r="I398" t="s">
        <v>137</v>
      </c>
      <c r="K398" t="s">
        <v>138</v>
      </c>
      <c r="M398">
        <v>12130922104</v>
      </c>
      <c r="N398" t="s">
        <v>139</v>
      </c>
      <c r="O398">
        <v>12130922104</v>
      </c>
      <c r="P398" t="s">
        <v>140</v>
      </c>
      <c r="Q398" t="s">
        <v>141</v>
      </c>
      <c r="R398">
        <v>0</v>
      </c>
      <c r="S398">
        <v>30</v>
      </c>
      <c r="T398" t="s">
        <v>142</v>
      </c>
      <c r="U398" t="s">
        <v>154</v>
      </c>
      <c r="V398" t="s">
        <v>154</v>
      </c>
      <c r="W398" t="s">
        <v>154</v>
      </c>
      <c r="X398" t="s">
        <v>154</v>
      </c>
      <c r="AA398" t="s">
        <v>144</v>
      </c>
      <c r="AB398" t="s">
        <v>247</v>
      </c>
      <c r="AC398">
        <v>0</v>
      </c>
      <c r="AD398">
        <v>0</v>
      </c>
      <c r="AO398">
        <v>0</v>
      </c>
      <c r="AP398">
        <v>5</v>
      </c>
      <c r="AQ398">
        <v>5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A398">
        <v>726727.00000000105</v>
      </c>
      <c r="BB398">
        <v>3763513</v>
      </c>
    </row>
    <row r="399" spans="1:54" x14ac:dyDescent="0.35">
      <c r="A399">
        <v>110153</v>
      </c>
      <c r="B399">
        <v>520</v>
      </c>
      <c r="C399" t="s">
        <v>135</v>
      </c>
      <c r="D399" s="15">
        <v>701012130922104</v>
      </c>
      <c r="F399">
        <v>70</v>
      </c>
      <c r="G399" t="s">
        <v>136</v>
      </c>
      <c r="H399">
        <v>7010</v>
      </c>
      <c r="I399" t="s">
        <v>137</v>
      </c>
      <c r="K399" t="s">
        <v>79</v>
      </c>
      <c r="M399">
        <v>12130922103</v>
      </c>
      <c r="N399" t="s">
        <v>139</v>
      </c>
      <c r="O399">
        <v>12130922103</v>
      </c>
      <c r="Q399" t="s">
        <v>141</v>
      </c>
      <c r="R399">
        <v>0</v>
      </c>
      <c r="S399">
        <v>30</v>
      </c>
      <c r="T399" t="s">
        <v>142</v>
      </c>
      <c r="AA399" t="s">
        <v>144</v>
      </c>
      <c r="AB399" t="s">
        <v>247</v>
      </c>
      <c r="AC399">
        <v>0</v>
      </c>
      <c r="AD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A399">
        <v>726685.00000000198</v>
      </c>
      <c r="BB399">
        <v>3763539</v>
      </c>
    </row>
    <row r="400" spans="1:54" x14ac:dyDescent="0.35">
      <c r="A400">
        <v>110152</v>
      </c>
      <c r="B400">
        <v>519</v>
      </c>
      <c r="C400" t="s">
        <v>135</v>
      </c>
      <c r="D400" s="15">
        <v>701012130922103</v>
      </c>
      <c r="F400">
        <v>70</v>
      </c>
      <c r="G400" t="s">
        <v>136</v>
      </c>
      <c r="H400">
        <v>7010</v>
      </c>
      <c r="I400" t="s">
        <v>137</v>
      </c>
      <c r="K400" t="s">
        <v>138</v>
      </c>
      <c r="M400">
        <v>12130922103</v>
      </c>
      <c r="N400" t="s">
        <v>139</v>
      </c>
      <c r="O400">
        <v>12130922103</v>
      </c>
      <c r="P400" t="s">
        <v>140</v>
      </c>
      <c r="Q400" t="s">
        <v>141</v>
      </c>
      <c r="R400">
        <v>0</v>
      </c>
      <c r="S400">
        <v>30</v>
      </c>
      <c r="T400" t="s">
        <v>142</v>
      </c>
      <c r="U400" t="s">
        <v>154</v>
      </c>
      <c r="V400" t="s">
        <v>154</v>
      </c>
      <c r="W400" t="s">
        <v>154</v>
      </c>
      <c r="X400" t="s">
        <v>154</v>
      </c>
      <c r="AA400" t="s">
        <v>144</v>
      </c>
      <c r="AB400" t="s">
        <v>247</v>
      </c>
      <c r="AC400">
        <v>0</v>
      </c>
      <c r="AD400">
        <v>0</v>
      </c>
      <c r="AO400">
        <v>0</v>
      </c>
      <c r="AP400">
        <v>4</v>
      </c>
      <c r="AQ400">
        <v>4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A400">
        <v>726685.00000000198</v>
      </c>
      <c r="BB400">
        <v>3763539</v>
      </c>
    </row>
    <row r="401" spans="1:54" x14ac:dyDescent="0.35">
      <c r="A401">
        <v>110151</v>
      </c>
      <c r="B401">
        <v>518</v>
      </c>
      <c r="C401" t="s">
        <v>135</v>
      </c>
      <c r="D401" s="15">
        <v>701012130922103</v>
      </c>
      <c r="F401">
        <v>70</v>
      </c>
      <c r="G401" t="s">
        <v>136</v>
      </c>
      <c r="H401">
        <v>7010</v>
      </c>
      <c r="I401" t="s">
        <v>137</v>
      </c>
      <c r="K401" t="s">
        <v>79</v>
      </c>
      <c r="M401">
        <v>12130922102</v>
      </c>
      <c r="N401" t="s">
        <v>139</v>
      </c>
      <c r="O401">
        <v>12130922102</v>
      </c>
      <c r="Q401" t="s">
        <v>141</v>
      </c>
      <c r="R401">
        <v>0</v>
      </c>
      <c r="S401">
        <v>30</v>
      </c>
      <c r="T401" t="s">
        <v>142</v>
      </c>
      <c r="AA401" t="s">
        <v>144</v>
      </c>
      <c r="AB401" t="s">
        <v>247</v>
      </c>
      <c r="AC401">
        <v>0</v>
      </c>
      <c r="AD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A401">
        <v>726650.00000000105</v>
      </c>
      <c r="BB401">
        <v>3763565</v>
      </c>
    </row>
    <row r="402" spans="1:54" x14ac:dyDescent="0.35">
      <c r="A402">
        <v>110150</v>
      </c>
      <c r="B402">
        <v>517</v>
      </c>
      <c r="C402" t="s">
        <v>135</v>
      </c>
      <c r="D402" s="15">
        <v>701012130922102</v>
      </c>
      <c r="F402">
        <v>70</v>
      </c>
      <c r="G402" t="s">
        <v>136</v>
      </c>
      <c r="H402">
        <v>7010</v>
      </c>
      <c r="I402" t="s">
        <v>137</v>
      </c>
      <c r="K402" t="s">
        <v>138</v>
      </c>
      <c r="M402">
        <v>12130922102</v>
      </c>
      <c r="N402" t="s">
        <v>139</v>
      </c>
      <c r="O402">
        <v>12130922102</v>
      </c>
      <c r="P402" t="s">
        <v>140</v>
      </c>
      <c r="Q402" t="s">
        <v>141</v>
      </c>
      <c r="R402">
        <v>0</v>
      </c>
      <c r="S402">
        <v>30</v>
      </c>
      <c r="T402" t="s">
        <v>142</v>
      </c>
      <c r="U402" t="s">
        <v>154</v>
      </c>
      <c r="V402" t="s">
        <v>154</v>
      </c>
      <c r="W402" t="s">
        <v>154</v>
      </c>
      <c r="X402" t="s">
        <v>154</v>
      </c>
      <c r="AA402" t="s">
        <v>144</v>
      </c>
      <c r="AB402" t="s">
        <v>247</v>
      </c>
      <c r="AC402">
        <v>0</v>
      </c>
      <c r="AD402">
        <v>0</v>
      </c>
      <c r="AO402">
        <v>0</v>
      </c>
      <c r="AP402">
        <v>7</v>
      </c>
      <c r="AQ402">
        <v>5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A402">
        <v>726650.00000000105</v>
      </c>
      <c r="BB402">
        <v>3763565</v>
      </c>
    </row>
    <row r="403" spans="1:54" x14ac:dyDescent="0.35">
      <c r="A403">
        <v>110149</v>
      </c>
      <c r="B403">
        <v>516</v>
      </c>
      <c r="C403" t="s">
        <v>135</v>
      </c>
      <c r="D403" s="15">
        <v>701012130922102</v>
      </c>
      <c r="F403">
        <v>70</v>
      </c>
      <c r="G403" t="s">
        <v>136</v>
      </c>
      <c r="H403">
        <v>7010</v>
      </c>
      <c r="I403" t="s">
        <v>137</v>
      </c>
      <c r="K403" t="s">
        <v>79</v>
      </c>
      <c r="M403">
        <v>12130922101</v>
      </c>
      <c r="N403" t="s">
        <v>139</v>
      </c>
      <c r="O403">
        <v>12130922101</v>
      </c>
      <c r="Q403" t="s">
        <v>141</v>
      </c>
      <c r="R403">
        <v>0</v>
      </c>
      <c r="T403" t="s">
        <v>146</v>
      </c>
      <c r="AA403" t="s">
        <v>144</v>
      </c>
      <c r="AB403" t="s">
        <v>247</v>
      </c>
      <c r="AC403">
        <v>0</v>
      </c>
      <c r="AD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A403">
        <v>726626.00000000198</v>
      </c>
      <c r="BB403">
        <v>3763582</v>
      </c>
    </row>
    <row r="404" spans="1:54" x14ac:dyDescent="0.35">
      <c r="A404">
        <v>110148</v>
      </c>
      <c r="B404">
        <v>515</v>
      </c>
      <c r="C404" t="s">
        <v>135</v>
      </c>
      <c r="D404" s="15">
        <v>701012130922101</v>
      </c>
      <c r="F404">
        <v>70</v>
      </c>
      <c r="G404" t="s">
        <v>136</v>
      </c>
      <c r="H404">
        <v>7010</v>
      </c>
      <c r="I404" t="s">
        <v>137</v>
      </c>
      <c r="K404" t="s">
        <v>138</v>
      </c>
      <c r="M404">
        <v>12130922101</v>
      </c>
      <c r="N404" t="s">
        <v>139</v>
      </c>
      <c r="O404">
        <v>12130922101</v>
      </c>
      <c r="P404" t="s">
        <v>140</v>
      </c>
      <c r="Q404" t="s">
        <v>141</v>
      </c>
      <c r="R404">
        <v>0</v>
      </c>
      <c r="T404" t="s">
        <v>146</v>
      </c>
      <c r="U404" t="s">
        <v>154</v>
      </c>
      <c r="V404" t="s">
        <v>154</v>
      </c>
      <c r="W404" t="s">
        <v>154</v>
      </c>
      <c r="X404" t="s">
        <v>154</v>
      </c>
      <c r="AA404" t="s">
        <v>144</v>
      </c>
      <c r="AB404" t="s">
        <v>247</v>
      </c>
      <c r="AC404">
        <v>0</v>
      </c>
      <c r="AD404">
        <v>0</v>
      </c>
      <c r="AO404">
        <v>0</v>
      </c>
      <c r="AP404">
        <v>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A404">
        <v>726626.00000000198</v>
      </c>
      <c r="BB404">
        <v>3763582</v>
      </c>
    </row>
    <row r="405" spans="1:54" x14ac:dyDescent="0.35">
      <c r="A405">
        <v>110147</v>
      </c>
      <c r="B405">
        <v>514</v>
      </c>
      <c r="C405" t="s">
        <v>135</v>
      </c>
      <c r="D405" s="15">
        <v>701012130922101</v>
      </c>
      <c r="F405">
        <v>70</v>
      </c>
      <c r="G405" t="s">
        <v>136</v>
      </c>
      <c r="H405">
        <v>7010</v>
      </c>
      <c r="I405" t="s">
        <v>137</v>
      </c>
      <c r="K405" t="s">
        <v>79</v>
      </c>
      <c r="M405">
        <v>12130922101</v>
      </c>
      <c r="N405" t="s">
        <v>139</v>
      </c>
      <c r="O405">
        <v>12130922101</v>
      </c>
      <c r="Q405" t="s">
        <v>141</v>
      </c>
      <c r="R405">
        <v>0</v>
      </c>
      <c r="T405" t="s">
        <v>146</v>
      </c>
      <c r="AA405" t="s">
        <v>144</v>
      </c>
      <c r="AB405" t="s">
        <v>247</v>
      </c>
      <c r="AC405">
        <v>0</v>
      </c>
      <c r="AD405">
        <v>0</v>
      </c>
      <c r="AE405" t="s">
        <v>147</v>
      </c>
      <c r="AF405" t="s">
        <v>148</v>
      </c>
      <c r="AG405" t="s">
        <v>149</v>
      </c>
      <c r="AH405" t="s">
        <v>171</v>
      </c>
      <c r="AJ405" t="s">
        <v>248</v>
      </c>
      <c r="AK405" t="s">
        <v>152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Z405" t="s">
        <v>249</v>
      </c>
      <c r="BA405">
        <v>726626.00000000198</v>
      </c>
      <c r="BB405">
        <v>3763582</v>
      </c>
    </row>
    <row r="406" spans="1:54" x14ac:dyDescent="0.35">
      <c r="A406">
        <v>110146</v>
      </c>
      <c r="B406">
        <v>513</v>
      </c>
      <c r="C406" t="s">
        <v>135</v>
      </c>
      <c r="D406" s="15">
        <v>701012130922096</v>
      </c>
      <c r="F406">
        <v>70</v>
      </c>
      <c r="G406" t="s">
        <v>136</v>
      </c>
      <c r="H406">
        <v>7010</v>
      </c>
      <c r="I406" t="s">
        <v>137</v>
      </c>
      <c r="K406" t="s">
        <v>138</v>
      </c>
      <c r="M406">
        <v>12130922096</v>
      </c>
      <c r="N406" t="s">
        <v>139</v>
      </c>
      <c r="O406">
        <v>12130922096</v>
      </c>
      <c r="P406" t="s">
        <v>140</v>
      </c>
      <c r="Q406" t="s">
        <v>141</v>
      </c>
      <c r="R406">
        <v>0</v>
      </c>
      <c r="S406">
        <v>30</v>
      </c>
      <c r="T406" t="s">
        <v>142</v>
      </c>
      <c r="U406" t="s">
        <v>154</v>
      </c>
      <c r="V406" t="s">
        <v>154</v>
      </c>
      <c r="W406" t="s">
        <v>154</v>
      </c>
      <c r="X406" t="s">
        <v>154</v>
      </c>
      <c r="AA406" t="s">
        <v>144</v>
      </c>
      <c r="AB406" t="s">
        <v>250</v>
      </c>
      <c r="AC406">
        <v>0</v>
      </c>
      <c r="AD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A406">
        <v>726819.00000000105</v>
      </c>
      <c r="BB406">
        <v>3763583</v>
      </c>
    </row>
    <row r="407" spans="1:54" x14ac:dyDescent="0.35">
      <c r="A407">
        <v>110145</v>
      </c>
      <c r="B407">
        <v>512</v>
      </c>
      <c r="C407" t="s">
        <v>135</v>
      </c>
      <c r="D407" s="15">
        <v>701012130922096</v>
      </c>
      <c r="F407">
        <v>70</v>
      </c>
      <c r="G407" t="s">
        <v>136</v>
      </c>
      <c r="H407">
        <v>7010</v>
      </c>
      <c r="I407" t="s">
        <v>137</v>
      </c>
      <c r="K407" t="s">
        <v>79</v>
      </c>
      <c r="M407">
        <v>12130922095</v>
      </c>
      <c r="N407" t="s">
        <v>139</v>
      </c>
      <c r="O407">
        <v>12130922095</v>
      </c>
      <c r="Q407" t="s">
        <v>141</v>
      </c>
      <c r="R407">
        <v>0</v>
      </c>
      <c r="S407">
        <v>30</v>
      </c>
      <c r="T407" t="s">
        <v>142</v>
      </c>
      <c r="AA407" t="s">
        <v>144</v>
      </c>
      <c r="AB407" t="s">
        <v>250</v>
      </c>
      <c r="AC407">
        <v>0</v>
      </c>
      <c r="AD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A407">
        <v>726775.00000000105</v>
      </c>
      <c r="BB407">
        <v>3763605</v>
      </c>
    </row>
    <row r="408" spans="1:54" x14ac:dyDescent="0.35">
      <c r="A408">
        <v>110144</v>
      </c>
      <c r="B408">
        <v>511</v>
      </c>
      <c r="C408" t="s">
        <v>135</v>
      </c>
      <c r="D408" s="15">
        <v>701012130922095</v>
      </c>
      <c r="F408">
        <v>70</v>
      </c>
      <c r="G408" t="s">
        <v>136</v>
      </c>
      <c r="H408">
        <v>7010</v>
      </c>
      <c r="I408" t="s">
        <v>137</v>
      </c>
      <c r="K408" t="s">
        <v>138</v>
      </c>
      <c r="M408">
        <v>12130922095</v>
      </c>
      <c r="N408" t="s">
        <v>139</v>
      </c>
      <c r="O408">
        <v>12130922095</v>
      </c>
      <c r="P408" t="s">
        <v>140</v>
      </c>
      <c r="Q408" t="s">
        <v>141</v>
      </c>
      <c r="R408">
        <v>0</v>
      </c>
      <c r="S408">
        <v>30</v>
      </c>
      <c r="T408" t="s">
        <v>142</v>
      </c>
      <c r="U408" t="s">
        <v>154</v>
      </c>
      <c r="V408" t="s">
        <v>154</v>
      </c>
      <c r="W408" t="s">
        <v>154</v>
      </c>
      <c r="X408" t="s">
        <v>154</v>
      </c>
      <c r="AA408" t="s">
        <v>144</v>
      </c>
      <c r="AB408" t="s">
        <v>250</v>
      </c>
      <c r="AC408">
        <v>0</v>
      </c>
      <c r="AD408">
        <v>0</v>
      </c>
      <c r="AO408">
        <v>0</v>
      </c>
      <c r="AP408">
        <v>4</v>
      </c>
      <c r="AQ408">
        <v>8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A408">
        <v>726775.00000000105</v>
      </c>
      <c r="BB408">
        <v>3763605</v>
      </c>
    </row>
    <row r="409" spans="1:54" x14ac:dyDescent="0.35">
      <c r="A409">
        <v>110143</v>
      </c>
      <c r="B409">
        <v>510</v>
      </c>
      <c r="C409" t="s">
        <v>135</v>
      </c>
      <c r="D409" s="15">
        <v>701012130922095</v>
      </c>
      <c r="F409">
        <v>70</v>
      </c>
      <c r="G409" t="s">
        <v>136</v>
      </c>
      <c r="H409">
        <v>7010</v>
      </c>
      <c r="I409" t="s">
        <v>137</v>
      </c>
      <c r="K409" t="s">
        <v>79</v>
      </c>
      <c r="M409">
        <v>12130922094</v>
      </c>
      <c r="N409" t="s">
        <v>139</v>
      </c>
      <c r="O409">
        <v>12130922094</v>
      </c>
      <c r="Q409" t="s">
        <v>141</v>
      </c>
      <c r="R409">
        <v>0</v>
      </c>
      <c r="T409" t="s">
        <v>146</v>
      </c>
      <c r="AA409" t="s">
        <v>144</v>
      </c>
      <c r="AB409" t="s">
        <v>250</v>
      </c>
      <c r="AC409">
        <v>0</v>
      </c>
      <c r="AD409">
        <v>0</v>
      </c>
      <c r="AE409" t="s">
        <v>147</v>
      </c>
      <c r="AF409" t="s">
        <v>148</v>
      </c>
      <c r="AG409" t="s">
        <v>149</v>
      </c>
      <c r="AH409" t="s">
        <v>234</v>
      </c>
      <c r="AJ409" t="s">
        <v>251</v>
      </c>
      <c r="AK409" t="s">
        <v>152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Z409" t="s">
        <v>252</v>
      </c>
      <c r="BA409">
        <v>726737.20000000205</v>
      </c>
      <c r="BB409">
        <v>3763631.4</v>
      </c>
    </row>
    <row r="410" spans="1:54" x14ac:dyDescent="0.35">
      <c r="A410">
        <v>110142</v>
      </c>
      <c r="B410">
        <v>509</v>
      </c>
      <c r="C410" t="s">
        <v>135</v>
      </c>
      <c r="D410" s="15">
        <v>701012130922090</v>
      </c>
      <c r="F410">
        <v>70</v>
      </c>
      <c r="G410" t="s">
        <v>136</v>
      </c>
      <c r="H410">
        <v>7010</v>
      </c>
      <c r="I410" t="s">
        <v>137</v>
      </c>
      <c r="K410" t="s">
        <v>138</v>
      </c>
      <c r="M410">
        <v>12130922090</v>
      </c>
      <c r="N410" t="s">
        <v>139</v>
      </c>
      <c r="O410">
        <v>12130922090</v>
      </c>
      <c r="P410" t="s">
        <v>140</v>
      </c>
      <c r="Q410" t="s">
        <v>141</v>
      </c>
      <c r="R410">
        <v>0</v>
      </c>
      <c r="S410">
        <v>36</v>
      </c>
      <c r="T410" t="s">
        <v>142</v>
      </c>
      <c r="U410" t="s">
        <v>154</v>
      </c>
      <c r="V410" t="s">
        <v>154</v>
      </c>
      <c r="W410" t="s">
        <v>154</v>
      </c>
      <c r="X410" t="s">
        <v>154</v>
      </c>
      <c r="AA410" t="s">
        <v>144</v>
      </c>
      <c r="AB410" t="s">
        <v>250</v>
      </c>
      <c r="AC410">
        <v>0</v>
      </c>
      <c r="AD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A410">
        <v>726689</v>
      </c>
      <c r="BB410">
        <v>3763674</v>
      </c>
    </row>
    <row r="411" spans="1:54" x14ac:dyDescent="0.35">
      <c r="A411">
        <v>110141</v>
      </c>
      <c r="B411">
        <v>508</v>
      </c>
      <c r="C411" t="s">
        <v>135</v>
      </c>
      <c r="D411" s="15">
        <v>701012130922090</v>
      </c>
      <c r="E411">
        <v>0</v>
      </c>
      <c r="F411">
        <v>70</v>
      </c>
      <c r="G411" t="s">
        <v>136</v>
      </c>
      <c r="H411">
        <v>7010</v>
      </c>
      <c r="I411" t="s">
        <v>137</v>
      </c>
      <c r="K411" t="s">
        <v>79</v>
      </c>
      <c r="M411">
        <v>12130922091</v>
      </c>
      <c r="N411" t="s">
        <v>139</v>
      </c>
      <c r="O411">
        <v>12130922091</v>
      </c>
      <c r="Q411" t="s">
        <v>141</v>
      </c>
      <c r="R411">
        <v>0</v>
      </c>
      <c r="S411">
        <v>36</v>
      </c>
      <c r="T411" t="s">
        <v>142</v>
      </c>
      <c r="AA411" t="s">
        <v>144</v>
      </c>
      <c r="AB411" t="s">
        <v>250</v>
      </c>
      <c r="AC411">
        <v>0</v>
      </c>
      <c r="AD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A411">
        <v>726709.00000000105</v>
      </c>
      <c r="BB411">
        <v>3763660</v>
      </c>
    </row>
    <row r="412" spans="1:54" x14ac:dyDescent="0.35">
      <c r="A412">
        <v>110140</v>
      </c>
      <c r="B412">
        <v>507</v>
      </c>
      <c r="C412" t="s">
        <v>135</v>
      </c>
      <c r="D412" s="15">
        <v>701012130922091</v>
      </c>
      <c r="E412">
        <v>0</v>
      </c>
      <c r="F412">
        <v>70</v>
      </c>
      <c r="G412" t="s">
        <v>136</v>
      </c>
      <c r="H412">
        <v>7010</v>
      </c>
      <c r="I412" t="s">
        <v>137</v>
      </c>
      <c r="K412" t="s">
        <v>138</v>
      </c>
      <c r="M412">
        <v>12130922091</v>
      </c>
      <c r="N412" t="s">
        <v>139</v>
      </c>
      <c r="O412">
        <v>12130922091</v>
      </c>
      <c r="P412" t="s">
        <v>140</v>
      </c>
      <c r="Q412" t="s">
        <v>141</v>
      </c>
      <c r="R412">
        <v>0</v>
      </c>
      <c r="S412">
        <v>36</v>
      </c>
      <c r="T412" t="s">
        <v>142</v>
      </c>
      <c r="U412" t="s">
        <v>154</v>
      </c>
      <c r="V412" t="s">
        <v>154</v>
      </c>
      <c r="W412" t="s">
        <v>154</v>
      </c>
      <c r="X412" t="s">
        <v>154</v>
      </c>
      <c r="AA412" t="s">
        <v>144</v>
      </c>
      <c r="AB412" t="s">
        <v>250</v>
      </c>
      <c r="AC412">
        <v>0</v>
      </c>
      <c r="AD412">
        <v>0</v>
      </c>
      <c r="AO412">
        <v>0</v>
      </c>
      <c r="AP412">
        <v>6</v>
      </c>
      <c r="AQ412">
        <v>4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A412">
        <v>726709.00000000105</v>
      </c>
      <c r="BB412">
        <v>3763660</v>
      </c>
    </row>
    <row r="413" spans="1:54" x14ac:dyDescent="0.35">
      <c r="A413">
        <v>110139</v>
      </c>
      <c r="B413">
        <v>506</v>
      </c>
      <c r="C413" t="s">
        <v>135</v>
      </c>
      <c r="D413" s="15">
        <v>701012130922091</v>
      </c>
      <c r="F413">
        <v>70</v>
      </c>
      <c r="G413" t="s">
        <v>136</v>
      </c>
      <c r="H413">
        <v>7010</v>
      </c>
      <c r="I413" t="s">
        <v>137</v>
      </c>
      <c r="K413" t="s">
        <v>79</v>
      </c>
      <c r="M413">
        <v>12130922094</v>
      </c>
      <c r="N413" t="s">
        <v>139</v>
      </c>
      <c r="O413">
        <v>12130922094</v>
      </c>
      <c r="Q413" t="s">
        <v>141</v>
      </c>
      <c r="R413">
        <v>0</v>
      </c>
      <c r="T413" t="s">
        <v>146</v>
      </c>
      <c r="AA413" t="s">
        <v>144</v>
      </c>
      <c r="AB413" t="s">
        <v>250</v>
      </c>
      <c r="AC413">
        <v>0</v>
      </c>
      <c r="AD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A413">
        <v>726737.20000000205</v>
      </c>
      <c r="BB413">
        <v>3763631.4</v>
      </c>
    </row>
    <row r="414" spans="1:54" x14ac:dyDescent="0.35">
      <c r="A414">
        <v>110138</v>
      </c>
      <c r="B414">
        <v>505</v>
      </c>
      <c r="C414" t="s">
        <v>135</v>
      </c>
      <c r="D414" s="15">
        <v>701012130922094</v>
      </c>
      <c r="F414">
        <v>70</v>
      </c>
      <c r="G414" t="s">
        <v>136</v>
      </c>
      <c r="H414">
        <v>7010</v>
      </c>
      <c r="I414" t="s">
        <v>137</v>
      </c>
      <c r="K414" t="s">
        <v>138</v>
      </c>
      <c r="M414">
        <v>12130922094</v>
      </c>
      <c r="N414" t="s">
        <v>139</v>
      </c>
      <c r="O414">
        <v>12130922094</v>
      </c>
      <c r="P414" t="s">
        <v>140</v>
      </c>
      <c r="Q414" t="s">
        <v>141</v>
      </c>
      <c r="R414">
        <v>0</v>
      </c>
      <c r="T414" t="s">
        <v>146</v>
      </c>
      <c r="U414" t="s">
        <v>154</v>
      </c>
      <c r="V414" t="s">
        <v>154</v>
      </c>
      <c r="W414" t="s">
        <v>154</v>
      </c>
      <c r="X414" t="s">
        <v>154</v>
      </c>
      <c r="AA414" t="s">
        <v>144</v>
      </c>
      <c r="AB414" t="s">
        <v>250</v>
      </c>
      <c r="AC414">
        <v>0</v>
      </c>
      <c r="AD414">
        <v>0</v>
      </c>
      <c r="AO414">
        <v>0</v>
      </c>
      <c r="AP414">
        <v>4</v>
      </c>
      <c r="AQ414">
        <v>8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A414">
        <v>726737.20000000205</v>
      </c>
      <c r="BB414">
        <v>3763631.4</v>
      </c>
    </row>
    <row r="415" spans="1:54" x14ac:dyDescent="0.35">
      <c r="A415">
        <v>110137</v>
      </c>
      <c r="B415">
        <v>504</v>
      </c>
      <c r="C415" t="s">
        <v>135</v>
      </c>
      <c r="D415" s="15">
        <v>701012130922094</v>
      </c>
      <c r="F415">
        <v>70</v>
      </c>
      <c r="G415" t="s">
        <v>136</v>
      </c>
      <c r="H415">
        <v>7010</v>
      </c>
      <c r="I415" t="s">
        <v>137</v>
      </c>
      <c r="K415" t="s">
        <v>79</v>
      </c>
      <c r="M415">
        <v>12130922094</v>
      </c>
      <c r="N415" t="s">
        <v>139</v>
      </c>
      <c r="O415">
        <v>12130922094</v>
      </c>
      <c r="Q415" t="s">
        <v>141</v>
      </c>
      <c r="R415">
        <v>0</v>
      </c>
      <c r="T415" t="s">
        <v>146</v>
      </c>
      <c r="AA415" t="s">
        <v>144</v>
      </c>
      <c r="AB415" t="s">
        <v>250</v>
      </c>
      <c r="AC415">
        <v>0</v>
      </c>
      <c r="AD415">
        <v>0</v>
      </c>
      <c r="AE415" t="s">
        <v>147</v>
      </c>
      <c r="AF415" t="s">
        <v>148</v>
      </c>
      <c r="AG415" t="s">
        <v>149</v>
      </c>
      <c r="AH415" t="s">
        <v>234</v>
      </c>
      <c r="AJ415" t="s">
        <v>251</v>
      </c>
      <c r="AK415" t="s">
        <v>152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Z415" t="s">
        <v>252</v>
      </c>
      <c r="BA415">
        <v>726737.20000000205</v>
      </c>
      <c r="BB415">
        <v>3763631.4</v>
      </c>
    </row>
    <row r="416" spans="1:54" x14ac:dyDescent="0.35">
      <c r="A416">
        <v>110136</v>
      </c>
      <c r="B416">
        <v>503</v>
      </c>
      <c r="C416" t="s">
        <v>135</v>
      </c>
      <c r="D416" s="15">
        <v>701012130922085</v>
      </c>
      <c r="F416">
        <v>70</v>
      </c>
      <c r="G416" t="s">
        <v>136</v>
      </c>
      <c r="H416">
        <v>7010</v>
      </c>
      <c r="I416" t="s">
        <v>137</v>
      </c>
      <c r="K416" t="s">
        <v>138</v>
      </c>
      <c r="M416">
        <v>12130922085</v>
      </c>
      <c r="N416" t="s">
        <v>139</v>
      </c>
      <c r="O416">
        <v>12130922085</v>
      </c>
      <c r="P416" t="s">
        <v>140</v>
      </c>
      <c r="Q416" t="s">
        <v>141</v>
      </c>
      <c r="R416">
        <v>0</v>
      </c>
      <c r="S416">
        <v>30</v>
      </c>
      <c r="T416" t="s">
        <v>142</v>
      </c>
      <c r="U416" t="s">
        <v>154</v>
      </c>
      <c r="V416" t="s">
        <v>154</v>
      </c>
      <c r="W416" t="s">
        <v>154</v>
      </c>
      <c r="X416" t="s">
        <v>154</v>
      </c>
      <c r="AA416" t="s">
        <v>144</v>
      </c>
      <c r="AB416" t="s">
        <v>253</v>
      </c>
      <c r="AC416">
        <v>0</v>
      </c>
      <c r="AD416">
        <v>0</v>
      </c>
      <c r="AO416">
        <v>0</v>
      </c>
      <c r="AP416">
        <v>11</v>
      </c>
      <c r="AQ416">
        <v>4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A416">
        <v>726840</v>
      </c>
      <c r="BB416">
        <v>3763747</v>
      </c>
    </row>
    <row r="417" spans="1:54" x14ac:dyDescent="0.35">
      <c r="A417">
        <v>110135</v>
      </c>
      <c r="B417">
        <v>502</v>
      </c>
      <c r="C417" t="s">
        <v>135</v>
      </c>
      <c r="D417" s="15">
        <v>701012130922085</v>
      </c>
      <c r="F417">
        <v>70</v>
      </c>
      <c r="G417" t="s">
        <v>136</v>
      </c>
      <c r="H417">
        <v>7010</v>
      </c>
      <c r="I417" t="s">
        <v>137</v>
      </c>
      <c r="K417" t="s">
        <v>79</v>
      </c>
      <c r="M417">
        <v>12130922084</v>
      </c>
      <c r="N417" t="s">
        <v>139</v>
      </c>
      <c r="O417">
        <v>12130922084</v>
      </c>
      <c r="Q417" t="s">
        <v>141</v>
      </c>
      <c r="R417">
        <v>0</v>
      </c>
      <c r="S417">
        <v>30</v>
      </c>
      <c r="T417" t="s">
        <v>142</v>
      </c>
      <c r="AA417" t="s">
        <v>144</v>
      </c>
      <c r="AB417" t="s">
        <v>253</v>
      </c>
      <c r="AC417">
        <v>0</v>
      </c>
      <c r="AD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A417">
        <v>726800.00000000198</v>
      </c>
      <c r="BB417">
        <v>3763762</v>
      </c>
    </row>
    <row r="418" spans="1:54" x14ac:dyDescent="0.35">
      <c r="A418">
        <v>110134</v>
      </c>
      <c r="B418">
        <v>501</v>
      </c>
      <c r="C418" t="s">
        <v>135</v>
      </c>
      <c r="D418" s="15">
        <v>701012130922084</v>
      </c>
      <c r="F418">
        <v>70</v>
      </c>
      <c r="G418" t="s">
        <v>136</v>
      </c>
      <c r="H418">
        <v>7010</v>
      </c>
      <c r="I418" t="s">
        <v>137</v>
      </c>
      <c r="K418" t="s">
        <v>138</v>
      </c>
      <c r="M418">
        <v>12130922084</v>
      </c>
      <c r="N418" t="s">
        <v>139</v>
      </c>
      <c r="O418">
        <v>12130922084</v>
      </c>
      <c r="P418" t="s">
        <v>140</v>
      </c>
      <c r="Q418" t="s">
        <v>141</v>
      </c>
      <c r="R418">
        <v>0</v>
      </c>
      <c r="S418">
        <v>30</v>
      </c>
      <c r="T418" t="s">
        <v>142</v>
      </c>
      <c r="U418" t="s">
        <v>154</v>
      </c>
      <c r="V418" t="s">
        <v>154</v>
      </c>
      <c r="W418" t="s">
        <v>154</v>
      </c>
      <c r="X418" t="s">
        <v>154</v>
      </c>
      <c r="AA418" t="s">
        <v>144</v>
      </c>
      <c r="AB418" t="s">
        <v>253</v>
      </c>
      <c r="AC418">
        <v>0</v>
      </c>
      <c r="AD418">
        <v>0</v>
      </c>
      <c r="AO418">
        <v>0</v>
      </c>
      <c r="AP418">
        <v>5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A418">
        <v>726800.00000000198</v>
      </c>
      <c r="BB418">
        <v>3763762</v>
      </c>
    </row>
    <row r="419" spans="1:54" x14ac:dyDescent="0.35">
      <c r="A419">
        <v>110133</v>
      </c>
      <c r="B419">
        <v>500</v>
      </c>
      <c r="C419" t="s">
        <v>135</v>
      </c>
      <c r="D419" s="15">
        <v>701012130922084</v>
      </c>
      <c r="F419">
        <v>70</v>
      </c>
      <c r="G419" t="s">
        <v>136</v>
      </c>
      <c r="H419">
        <v>7010</v>
      </c>
      <c r="I419" t="s">
        <v>137</v>
      </c>
      <c r="K419" t="s">
        <v>79</v>
      </c>
      <c r="M419">
        <v>12130922083</v>
      </c>
      <c r="N419" t="s">
        <v>139</v>
      </c>
      <c r="O419">
        <v>12130922083</v>
      </c>
      <c r="P419" t="s">
        <v>140</v>
      </c>
      <c r="Q419" t="s">
        <v>141</v>
      </c>
      <c r="R419">
        <v>0</v>
      </c>
      <c r="S419">
        <v>30</v>
      </c>
      <c r="T419" t="s">
        <v>254</v>
      </c>
      <c r="AA419" t="s">
        <v>144</v>
      </c>
      <c r="AB419" t="s">
        <v>253</v>
      </c>
      <c r="AC419">
        <v>0</v>
      </c>
      <c r="AD419">
        <v>0</v>
      </c>
      <c r="AO419">
        <v>0</v>
      </c>
      <c r="AP419">
        <v>5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A419">
        <v>726762.00000000105</v>
      </c>
      <c r="BB419">
        <v>3763789</v>
      </c>
    </row>
    <row r="420" spans="1:54" x14ac:dyDescent="0.35">
      <c r="A420">
        <v>110132</v>
      </c>
      <c r="B420">
        <v>499</v>
      </c>
      <c r="C420" t="s">
        <v>135</v>
      </c>
      <c r="D420" s="15">
        <v>701012130922083</v>
      </c>
      <c r="F420">
        <v>70</v>
      </c>
      <c r="G420" t="s">
        <v>136</v>
      </c>
      <c r="H420">
        <v>7010</v>
      </c>
      <c r="I420" t="s">
        <v>137</v>
      </c>
      <c r="K420" t="s">
        <v>138</v>
      </c>
      <c r="M420">
        <v>12130922083</v>
      </c>
      <c r="N420" t="s">
        <v>139</v>
      </c>
      <c r="O420">
        <v>12130922083</v>
      </c>
      <c r="P420" t="s">
        <v>140</v>
      </c>
      <c r="Q420" t="s">
        <v>141</v>
      </c>
      <c r="R420">
        <v>0</v>
      </c>
      <c r="S420">
        <v>30</v>
      </c>
      <c r="T420" t="s">
        <v>222</v>
      </c>
      <c r="U420" t="s">
        <v>154</v>
      </c>
      <c r="V420" t="s">
        <v>154</v>
      </c>
      <c r="W420" t="s">
        <v>154</v>
      </c>
      <c r="X420" t="s">
        <v>154</v>
      </c>
      <c r="AA420" t="s">
        <v>144</v>
      </c>
      <c r="AB420" t="s">
        <v>253</v>
      </c>
      <c r="AC420">
        <v>0</v>
      </c>
      <c r="AD420">
        <v>0</v>
      </c>
      <c r="AO420">
        <v>0</v>
      </c>
      <c r="AP420">
        <v>3</v>
      </c>
      <c r="AQ420">
        <v>3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A420">
        <v>726762.00000000105</v>
      </c>
      <c r="BB420">
        <v>3763789</v>
      </c>
    </row>
    <row r="421" spans="1:54" x14ac:dyDescent="0.35">
      <c r="A421">
        <v>110131</v>
      </c>
      <c r="B421">
        <v>498</v>
      </c>
      <c r="C421" t="s">
        <v>135</v>
      </c>
      <c r="D421" s="15">
        <v>701012130922083</v>
      </c>
      <c r="F421">
        <v>70</v>
      </c>
      <c r="G421" t="s">
        <v>136</v>
      </c>
      <c r="H421">
        <v>7010</v>
      </c>
      <c r="I421" t="s">
        <v>137</v>
      </c>
      <c r="K421" t="s">
        <v>79</v>
      </c>
      <c r="M421">
        <v>12130922081</v>
      </c>
      <c r="N421" t="s">
        <v>139</v>
      </c>
      <c r="O421">
        <v>12130922081</v>
      </c>
      <c r="Q421" t="s">
        <v>141</v>
      </c>
      <c r="R421">
        <v>0</v>
      </c>
      <c r="T421" t="s">
        <v>146</v>
      </c>
      <c r="AA421" t="s">
        <v>144</v>
      </c>
      <c r="AB421" t="s">
        <v>253</v>
      </c>
      <c r="AC421">
        <v>0</v>
      </c>
      <c r="AD421">
        <v>0</v>
      </c>
      <c r="AE421" t="s">
        <v>147</v>
      </c>
      <c r="AF421" t="s">
        <v>148</v>
      </c>
      <c r="AG421" t="s">
        <v>149</v>
      </c>
      <c r="AH421" t="s">
        <v>255</v>
      </c>
      <c r="AJ421" t="s">
        <v>256</v>
      </c>
      <c r="AK421" t="s">
        <v>186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Z421" t="s">
        <v>257</v>
      </c>
      <c r="BA421">
        <v>726778.20000000205</v>
      </c>
      <c r="BB421">
        <v>3763793.5</v>
      </c>
    </row>
    <row r="422" spans="1:54" x14ac:dyDescent="0.35">
      <c r="A422">
        <v>110130</v>
      </c>
      <c r="B422">
        <v>497</v>
      </c>
      <c r="C422" t="s">
        <v>135</v>
      </c>
      <c r="D422" s="15">
        <v>701012130922082</v>
      </c>
      <c r="F422">
        <v>70</v>
      </c>
      <c r="G422" t="s">
        <v>136</v>
      </c>
      <c r="H422">
        <v>7010</v>
      </c>
      <c r="I422" t="s">
        <v>137</v>
      </c>
      <c r="K422" t="s">
        <v>138</v>
      </c>
      <c r="M422">
        <v>12130922082</v>
      </c>
      <c r="N422" t="s">
        <v>139</v>
      </c>
      <c r="O422">
        <v>12130922082</v>
      </c>
      <c r="P422" t="s">
        <v>140</v>
      </c>
      <c r="Q422" t="s">
        <v>141</v>
      </c>
      <c r="R422">
        <v>0</v>
      </c>
      <c r="S422">
        <v>30</v>
      </c>
      <c r="T422" t="s">
        <v>142</v>
      </c>
      <c r="U422" t="s">
        <v>154</v>
      </c>
      <c r="V422" t="s">
        <v>154</v>
      </c>
      <c r="W422" t="s">
        <v>154</v>
      </c>
      <c r="X422" t="s">
        <v>154</v>
      </c>
      <c r="AA422" t="s">
        <v>144</v>
      </c>
      <c r="AB422" t="s">
        <v>253</v>
      </c>
      <c r="AC422">
        <v>0</v>
      </c>
      <c r="AD422">
        <v>0</v>
      </c>
      <c r="AO422">
        <v>0</v>
      </c>
      <c r="AP422">
        <v>2</v>
      </c>
      <c r="AQ422">
        <v>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A422">
        <v>726791</v>
      </c>
      <c r="BB422">
        <v>3763818</v>
      </c>
    </row>
    <row r="423" spans="1:54" x14ac:dyDescent="0.35">
      <c r="A423">
        <v>110129</v>
      </c>
      <c r="B423">
        <v>496</v>
      </c>
      <c r="C423" t="s">
        <v>135</v>
      </c>
      <c r="D423" s="15">
        <v>701012130922082</v>
      </c>
      <c r="F423">
        <v>70</v>
      </c>
      <c r="G423" t="s">
        <v>136</v>
      </c>
      <c r="H423">
        <v>7010</v>
      </c>
      <c r="I423" t="s">
        <v>137</v>
      </c>
      <c r="K423" t="s">
        <v>79</v>
      </c>
      <c r="M423">
        <v>12130922081</v>
      </c>
      <c r="N423" t="s">
        <v>139</v>
      </c>
      <c r="O423">
        <v>12130922081</v>
      </c>
      <c r="Q423" t="s">
        <v>141</v>
      </c>
      <c r="R423">
        <v>0</v>
      </c>
      <c r="T423" t="s">
        <v>146</v>
      </c>
      <c r="AA423" t="s">
        <v>144</v>
      </c>
      <c r="AB423" t="s">
        <v>253</v>
      </c>
      <c r="AC423">
        <v>0</v>
      </c>
      <c r="AD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A423">
        <v>726778.20000000205</v>
      </c>
      <c r="BB423">
        <v>3763793.5</v>
      </c>
    </row>
    <row r="424" spans="1:54" x14ac:dyDescent="0.35">
      <c r="A424">
        <v>110128</v>
      </c>
      <c r="B424">
        <v>495</v>
      </c>
      <c r="C424" t="s">
        <v>135</v>
      </c>
      <c r="D424" s="15">
        <v>701012130922081</v>
      </c>
      <c r="F424">
        <v>70</v>
      </c>
      <c r="G424" t="s">
        <v>136</v>
      </c>
      <c r="H424">
        <v>7010</v>
      </c>
      <c r="I424" t="s">
        <v>137</v>
      </c>
      <c r="K424" t="s">
        <v>138</v>
      </c>
      <c r="M424">
        <v>12130922081</v>
      </c>
      <c r="N424" t="s">
        <v>139</v>
      </c>
      <c r="O424">
        <v>12130922081</v>
      </c>
      <c r="P424" t="s">
        <v>140</v>
      </c>
      <c r="Q424" t="s">
        <v>141</v>
      </c>
      <c r="R424">
        <v>0</v>
      </c>
      <c r="T424" t="s">
        <v>146</v>
      </c>
      <c r="U424" t="s">
        <v>188</v>
      </c>
      <c r="V424" t="s">
        <v>188</v>
      </c>
      <c r="W424" t="s">
        <v>188</v>
      </c>
      <c r="X424" t="s">
        <v>188</v>
      </c>
      <c r="AA424" t="s">
        <v>144</v>
      </c>
      <c r="AB424" t="s">
        <v>253</v>
      </c>
      <c r="AC424">
        <v>0</v>
      </c>
      <c r="AD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A424">
        <v>726778.20000000205</v>
      </c>
      <c r="BB424">
        <v>3763793.5</v>
      </c>
    </row>
    <row r="425" spans="1:54" x14ac:dyDescent="0.35">
      <c r="A425">
        <v>110127</v>
      </c>
      <c r="B425">
        <v>494</v>
      </c>
      <c r="C425" t="s">
        <v>135</v>
      </c>
      <c r="D425" s="15">
        <v>701012130922081</v>
      </c>
      <c r="F425">
        <v>70</v>
      </c>
      <c r="G425" t="s">
        <v>136</v>
      </c>
      <c r="H425">
        <v>7010</v>
      </c>
      <c r="I425" t="s">
        <v>137</v>
      </c>
      <c r="K425" t="s">
        <v>79</v>
      </c>
      <c r="M425">
        <v>12130922081</v>
      </c>
      <c r="N425" t="s">
        <v>139</v>
      </c>
      <c r="O425">
        <v>12130922081</v>
      </c>
      <c r="Q425" t="s">
        <v>141</v>
      </c>
      <c r="R425">
        <v>0</v>
      </c>
      <c r="T425" t="s">
        <v>146</v>
      </c>
      <c r="AA425" t="s">
        <v>144</v>
      </c>
      <c r="AB425" t="s">
        <v>253</v>
      </c>
      <c r="AC425">
        <v>0</v>
      </c>
      <c r="AD425">
        <v>0</v>
      </c>
      <c r="AE425" t="s">
        <v>147</v>
      </c>
      <c r="AF425" t="s">
        <v>148</v>
      </c>
      <c r="AG425" t="s">
        <v>149</v>
      </c>
      <c r="AH425" t="s">
        <v>255</v>
      </c>
      <c r="AJ425" t="s">
        <v>256</v>
      </c>
      <c r="AK425" t="s">
        <v>186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Z425" t="s">
        <v>257</v>
      </c>
      <c r="BA425">
        <v>726778.20000000205</v>
      </c>
      <c r="BB425">
        <v>3763793.5</v>
      </c>
    </row>
    <row r="426" spans="1:54" x14ac:dyDescent="0.35">
      <c r="A426">
        <v>110126</v>
      </c>
      <c r="B426">
        <v>493</v>
      </c>
      <c r="C426" t="s">
        <v>135</v>
      </c>
      <c r="D426" s="15">
        <v>701012130922078</v>
      </c>
      <c r="F426">
        <v>70</v>
      </c>
      <c r="G426" t="s">
        <v>136</v>
      </c>
      <c r="H426">
        <v>7010</v>
      </c>
      <c r="I426" t="s">
        <v>137</v>
      </c>
      <c r="K426" t="s">
        <v>138</v>
      </c>
      <c r="M426">
        <v>12130922078</v>
      </c>
      <c r="N426" t="s">
        <v>139</v>
      </c>
      <c r="O426">
        <v>12130922078</v>
      </c>
      <c r="P426" t="s">
        <v>140</v>
      </c>
      <c r="Q426" t="s">
        <v>141</v>
      </c>
      <c r="R426">
        <v>0</v>
      </c>
      <c r="S426">
        <v>30</v>
      </c>
      <c r="T426" t="s">
        <v>142</v>
      </c>
      <c r="U426" t="s">
        <v>154</v>
      </c>
      <c r="V426" t="s">
        <v>154</v>
      </c>
      <c r="W426" t="s">
        <v>154</v>
      </c>
      <c r="X426" t="s">
        <v>154</v>
      </c>
      <c r="AA426" t="s">
        <v>144</v>
      </c>
      <c r="AB426" t="s">
        <v>258</v>
      </c>
      <c r="AC426">
        <v>0</v>
      </c>
      <c r="AD426">
        <v>0</v>
      </c>
      <c r="AO426">
        <v>0</v>
      </c>
      <c r="AP426">
        <v>12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A426">
        <v>726910.00000000198</v>
      </c>
      <c r="BB426">
        <v>3763802</v>
      </c>
    </row>
    <row r="427" spans="1:54" x14ac:dyDescent="0.35">
      <c r="A427">
        <v>110125</v>
      </c>
      <c r="B427">
        <v>492</v>
      </c>
      <c r="C427" t="s">
        <v>135</v>
      </c>
      <c r="D427" s="15">
        <v>701012130922078</v>
      </c>
      <c r="F427">
        <v>70</v>
      </c>
      <c r="G427" t="s">
        <v>136</v>
      </c>
      <c r="H427">
        <v>7010</v>
      </c>
      <c r="I427" t="s">
        <v>137</v>
      </c>
      <c r="K427" t="s">
        <v>79</v>
      </c>
      <c r="M427">
        <v>12130922077</v>
      </c>
      <c r="N427" t="s">
        <v>139</v>
      </c>
      <c r="O427">
        <v>12130922077</v>
      </c>
      <c r="Q427" t="s">
        <v>141</v>
      </c>
      <c r="R427">
        <v>0</v>
      </c>
      <c r="S427">
        <v>30</v>
      </c>
      <c r="T427" t="s">
        <v>142</v>
      </c>
      <c r="AA427" t="s">
        <v>144</v>
      </c>
      <c r="AB427" t="s">
        <v>258</v>
      </c>
      <c r="AC427">
        <v>0</v>
      </c>
      <c r="AD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A427">
        <v>726878</v>
      </c>
      <c r="BB427">
        <v>3763821</v>
      </c>
    </row>
    <row r="428" spans="1:54" x14ac:dyDescent="0.35">
      <c r="A428">
        <v>110124</v>
      </c>
      <c r="B428">
        <v>491</v>
      </c>
      <c r="C428" t="s">
        <v>135</v>
      </c>
      <c r="D428" s="15">
        <v>701012130922077</v>
      </c>
      <c r="F428">
        <v>70</v>
      </c>
      <c r="G428" t="s">
        <v>136</v>
      </c>
      <c r="H428">
        <v>7010</v>
      </c>
      <c r="I428" t="s">
        <v>137</v>
      </c>
      <c r="K428" t="s">
        <v>138</v>
      </c>
      <c r="M428">
        <v>12130922077</v>
      </c>
      <c r="N428" t="s">
        <v>139</v>
      </c>
      <c r="O428">
        <v>12130922077</v>
      </c>
      <c r="P428" t="s">
        <v>140</v>
      </c>
      <c r="Q428" t="s">
        <v>141</v>
      </c>
      <c r="R428">
        <v>0</v>
      </c>
      <c r="S428">
        <v>30</v>
      </c>
      <c r="T428" t="s">
        <v>142</v>
      </c>
      <c r="U428" t="s">
        <v>154</v>
      </c>
      <c r="V428" t="s">
        <v>154</v>
      </c>
      <c r="W428" t="s">
        <v>154</v>
      </c>
      <c r="X428" t="s">
        <v>154</v>
      </c>
      <c r="AA428" t="s">
        <v>144</v>
      </c>
      <c r="AB428" t="s">
        <v>258</v>
      </c>
      <c r="AC428">
        <v>0</v>
      </c>
      <c r="AD428">
        <v>0</v>
      </c>
      <c r="AO428">
        <v>0</v>
      </c>
      <c r="AP428">
        <v>11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A428">
        <v>726878</v>
      </c>
      <c r="BB428">
        <v>3763821</v>
      </c>
    </row>
    <row r="429" spans="1:54" x14ac:dyDescent="0.35">
      <c r="A429">
        <v>110123</v>
      </c>
      <c r="B429">
        <v>490</v>
      </c>
      <c r="C429" t="s">
        <v>135</v>
      </c>
      <c r="D429" s="15">
        <v>701012130922077</v>
      </c>
      <c r="F429">
        <v>70</v>
      </c>
      <c r="G429" t="s">
        <v>136</v>
      </c>
      <c r="H429">
        <v>7010</v>
      </c>
      <c r="I429" t="s">
        <v>137</v>
      </c>
      <c r="K429" t="s">
        <v>79</v>
      </c>
      <c r="M429">
        <v>12130922076</v>
      </c>
      <c r="N429" t="s">
        <v>139</v>
      </c>
      <c r="O429">
        <v>12130922076</v>
      </c>
      <c r="Q429" t="s">
        <v>141</v>
      </c>
      <c r="R429">
        <v>0</v>
      </c>
      <c r="S429">
        <v>30</v>
      </c>
      <c r="T429" t="s">
        <v>142</v>
      </c>
      <c r="AA429" t="s">
        <v>144</v>
      </c>
      <c r="AB429" t="s">
        <v>258</v>
      </c>
      <c r="AC429">
        <v>0</v>
      </c>
      <c r="AD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A429">
        <v>726840</v>
      </c>
      <c r="BB429">
        <v>3763839</v>
      </c>
    </row>
    <row r="430" spans="1:54" x14ac:dyDescent="0.35">
      <c r="A430">
        <v>110122</v>
      </c>
      <c r="B430">
        <v>489</v>
      </c>
      <c r="C430" t="s">
        <v>135</v>
      </c>
      <c r="D430" s="15">
        <v>701012130922076</v>
      </c>
      <c r="F430">
        <v>70</v>
      </c>
      <c r="G430" t="s">
        <v>136</v>
      </c>
      <c r="H430">
        <v>7010</v>
      </c>
      <c r="I430" t="s">
        <v>137</v>
      </c>
      <c r="K430" t="s">
        <v>138</v>
      </c>
      <c r="M430">
        <v>12130922076</v>
      </c>
      <c r="N430" t="s">
        <v>139</v>
      </c>
      <c r="O430">
        <v>12130922076</v>
      </c>
      <c r="P430" t="s">
        <v>140</v>
      </c>
      <c r="Q430" t="s">
        <v>141</v>
      </c>
      <c r="R430">
        <v>0</v>
      </c>
      <c r="S430">
        <v>30</v>
      </c>
      <c r="T430" t="s">
        <v>142</v>
      </c>
      <c r="U430" t="s">
        <v>154</v>
      </c>
      <c r="V430" t="s">
        <v>154</v>
      </c>
      <c r="W430" t="s">
        <v>154</v>
      </c>
      <c r="X430" t="s">
        <v>154</v>
      </c>
      <c r="AA430" t="s">
        <v>144</v>
      </c>
      <c r="AB430" t="s">
        <v>258</v>
      </c>
      <c r="AC430">
        <v>0</v>
      </c>
      <c r="AD430">
        <v>0</v>
      </c>
      <c r="AO430">
        <v>0</v>
      </c>
      <c r="AP430">
        <v>15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A430">
        <v>726840</v>
      </c>
      <c r="BB430">
        <v>3763839</v>
      </c>
    </row>
    <row r="431" spans="1:54" x14ac:dyDescent="0.35">
      <c r="A431">
        <v>110121</v>
      </c>
      <c r="B431">
        <v>488</v>
      </c>
      <c r="C431" t="s">
        <v>135</v>
      </c>
      <c r="D431" s="15">
        <v>701012130922076</v>
      </c>
      <c r="F431">
        <v>70</v>
      </c>
      <c r="G431" t="s">
        <v>136</v>
      </c>
      <c r="H431">
        <v>7010</v>
      </c>
      <c r="I431" t="s">
        <v>137</v>
      </c>
      <c r="K431" t="s">
        <v>79</v>
      </c>
      <c r="M431">
        <v>12130922073</v>
      </c>
      <c r="N431" t="s">
        <v>139</v>
      </c>
      <c r="O431">
        <v>12130922073</v>
      </c>
      <c r="Q431" t="s">
        <v>141</v>
      </c>
      <c r="R431">
        <v>0</v>
      </c>
      <c r="T431" t="s">
        <v>146</v>
      </c>
      <c r="AA431" t="s">
        <v>144</v>
      </c>
      <c r="AB431" t="s">
        <v>258</v>
      </c>
      <c r="AC431">
        <v>0</v>
      </c>
      <c r="AD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A431">
        <v>726816.00000000105</v>
      </c>
      <c r="BB431">
        <v>3763847</v>
      </c>
    </row>
    <row r="432" spans="1:54" x14ac:dyDescent="0.35">
      <c r="A432">
        <v>110120</v>
      </c>
      <c r="B432">
        <v>487</v>
      </c>
      <c r="C432" t="s">
        <v>135</v>
      </c>
      <c r="D432" s="15">
        <v>701012130922073</v>
      </c>
      <c r="F432">
        <v>70</v>
      </c>
      <c r="G432" t="s">
        <v>136</v>
      </c>
      <c r="H432">
        <v>7010</v>
      </c>
      <c r="I432" t="s">
        <v>137</v>
      </c>
      <c r="K432" t="s">
        <v>138</v>
      </c>
      <c r="M432">
        <v>12130922073</v>
      </c>
      <c r="N432" t="s">
        <v>139</v>
      </c>
      <c r="O432">
        <v>12130922073</v>
      </c>
      <c r="P432" t="s">
        <v>140</v>
      </c>
      <c r="Q432" t="s">
        <v>141</v>
      </c>
      <c r="R432">
        <v>0</v>
      </c>
      <c r="T432" t="s">
        <v>146</v>
      </c>
      <c r="U432" t="s">
        <v>143</v>
      </c>
      <c r="V432" t="s">
        <v>143</v>
      </c>
      <c r="W432" t="s">
        <v>143</v>
      </c>
      <c r="X432" t="s">
        <v>143</v>
      </c>
      <c r="AA432" t="s">
        <v>144</v>
      </c>
      <c r="AB432" t="s">
        <v>258</v>
      </c>
      <c r="AC432">
        <v>0</v>
      </c>
      <c r="AD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 t="s">
        <v>259</v>
      </c>
      <c r="BA432">
        <v>726816.00000000105</v>
      </c>
      <c r="BB432">
        <v>3763847</v>
      </c>
    </row>
    <row r="433" spans="1:54" x14ac:dyDescent="0.35">
      <c r="A433">
        <v>110119</v>
      </c>
      <c r="B433">
        <v>486</v>
      </c>
      <c r="C433" t="s">
        <v>135</v>
      </c>
      <c r="D433" s="15">
        <v>701012130922073</v>
      </c>
      <c r="F433">
        <v>70</v>
      </c>
      <c r="G433" t="s">
        <v>136</v>
      </c>
      <c r="H433">
        <v>7010</v>
      </c>
      <c r="I433" t="s">
        <v>137</v>
      </c>
      <c r="K433" t="s">
        <v>79</v>
      </c>
      <c r="M433">
        <v>12130922073</v>
      </c>
      <c r="N433" t="s">
        <v>139</v>
      </c>
      <c r="O433">
        <v>12130922073</v>
      </c>
      <c r="Q433" t="s">
        <v>141</v>
      </c>
      <c r="R433">
        <v>0</v>
      </c>
      <c r="T433" t="s">
        <v>146</v>
      </c>
      <c r="AA433" t="s">
        <v>144</v>
      </c>
      <c r="AB433" t="s">
        <v>258</v>
      </c>
      <c r="AC433">
        <v>0</v>
      </c>
      <c r="AD433">
        <v>0</v>
      </c>
      <c r="AE433" t="s">
        <v>147</v>
      </c>
      <c r="AF433" t="s">
        <v>148</v>
      </c>
      <c r="AG433" t="s">
        <v>149</v>
      </c>
      <c r="AH433" t="s">
        <v>182</v>
      </c>
      <c r="AJ433" t="s">
        <v>260</v>
      </c>
      <c r="AK433" t="s">
        <v>152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Z433" t="s">
        <v>261</v>
      </c>
      <c r="BA433">
        <v>726816.00000000105</v>
      </c>
      <c r="BB433">
        <v>3763847</v>
      </c>
    </row>
    <row r="434" spans="1:54" x14ac:dyDescent="0.35">
      <c r="A434">
        <v>110118</v>
      </c>
      <c r="B434">
        <v>485</v>
      </c>
      <c r="C434" t="s">
        <v>135</v>
      </c>
      <c r="D434" s="15">
        <v>701012160922311</v>
      </c>
      <c r="F434">
        <v>70</v>
      </c>
      <c r="G434" t="s">
        <v>136</v>
      </c>
      <c r="H434">
        <v>7010</v>
      </c>
      <c r="I434" t="s">
        <v>137</v>
      </c>
      <c r="K434" t="s">
        <v>138</v>
      </c>
      <c r="M434">
        <v>12160922311</v>
      </c>
      <c r="N434" t="s">
        <v>139</v>
      </c>
      <c r="O434">
        <v>12160922311</v>
      </c>
      <c r="P434" t="s">
        <v>140</v>
      </c>
      <c r="Q434" t="s">
        <v>141</v>
      </c>
      <c r="R434">
        <v>0</v>
      </c>
      <c r="T434" t="s">
        <v>146</v>
      </c>
      <c r="U434" t="s">
        <v>143</v>
      </c>
      <c r="V434" t="s">
        <v>143</v>
      </c>
      <c r="W434" t="s">
        <v>143</v>
      </c>
      <c r="X434" t="s">
        <v>143</v>
      </c>
      <c r="AA434" t="s">
        <v>144</v>
      </c>
      <c r="AB434" t="s">
        <v>145</v>
      </c>
      <c r="AC434">
        <v>0</v>
      </c>
      <c r="AD434">
        <v>200</v>
      </c>
      <c r="AE434" t="s">
        <v>147</v>
      </c>
      <c r="AF434" t="s">
        <v>148</v>
      </c>
      <c r="AG434" t="s">
        <v>149</v>
      </c>
      <c r="AH434" t="s">
        <v>150</v>
      </c>
      <c r="AJ434" t="s">
        <v>151</v>
      </c>
      <c r="AK434" t="s">
        <v>152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Z434" t="s">
        <v>153</v>
      </c>
      <c r="BA434">
        <v>727157</v>
      </c>
      <c r="BB434">
        <v>3763437</v>
      </c>
    </row>
    <row r="435" spans="1:54" x14ac:dyDescent="0.35">
      <c r="A435">
        <v>110117</v>
      </c>
      <c r="B435">
        <v>484</v>
      </c>
      <c r="C435" t="s">
        <v>135</v>
      </c>
      <c r="D435" s="15">
        <v>701012160922311</v>
      </c>
      <c r="F435">
        <v>70</v>
      </c>
      <c r="G435" t="s">
        <v>136</v>
      </c>
      <c r="H435">
        <v>7010</v>
      </c>
      <c r="I435" t="s">
        <v>137</v>
      </c>
      <c r="K435" t="s">
        <v>79</v>
      </c>
      <c r="M435">
        <v>12160922310</v>
      </c>
      <c r="N435" t="s">
        <v>139</v>
      </c>
      <c r="O435">
        <v>12160922310</v>
      </c>
      <c r="Q435" t="s">
        <v>141</v>
      </c>
      <c r="R435">
        <v>0</v>
      </c>
      <c r="T435" t="s">
        <v>146</v>
      </c>
      <c r="AA435" t="s">
        <v>144</v>
      </c>
      <c r="AB435" t="s">
        <v>145</v>
      </c>
      <c r="AC435">
        <v>0</v>
      </c>
      <c r="AD435">
        <v>200</v>
      </c>
      <c r="AE435" t="s">
        <v>147</v>
      </c>
      <c r="AF435" t="s">
        <v>148</v>
      </c>
      <c r="AG435" t="s">
        <v>149</v>
      </c>
      <c r="AH435" t="s">
        <v>150</v>
      </c>
      <c r="AJ435" t="s">
        <v>151</v>
      </c>
      <c r="AK435" t="s">
        <v>152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Z435" t="s">
        <v>153</v>
      </c>
      <c r="BA435">
        <v>727156.00000000105</v>
      </c>
      <c r="BB435">
        <v>3763438</v>
      </c>
    </row>
    <row r="436" spans="1:54" x14ac:dyDescent="0.35">
      <c r="A436">
        <v>110116</v>
      </c>
      <c r="B436">
        <v>483</v>
      </c>
      <c r="C436" t="s">
        <v>135</v>
      </c>
      <c r="D436" s="15">
        <v>701012160922310</v>
      </c>
      <c r="F436">
        <v>70</v>
      </c>
      <c r="G436" t="s">
        <v>136</v>
      </c>
      <c r="H436">
        <v>7010</v>
      </c>
      <c r="I436" t="s">
        <v>137</v>
      </c>
      <c r="K436" t="s">
        <v>138</v>
      </c>
      <c r="M436">
        <v>12160922310</v>
      </c>
      <c r="N436" t="s">
        <v>160</v>
      </c>
      <c r="O436">
        <v>12160922310</v>
      </c>
      <c r="P436" t="s">
        <v>147</v>
      </c>
      <c r="Q436" t="s">
        <v>262</v>
      </c>
      <c r="R436">
        <v>0</v>
      </c>
      <c r="T436" t="s">
        <v>146</v>
      </c>
      <c r="U436" t="s">
        <v>263</v>
      </c>
      <c r="V436" t="s">
        <v>263</v>
      </c>
      <c r="W436" t="s">
        <v>263</v>
      </c>
      <c r="AA436" t="s">
        <v>264</v>
      </c>
      <c r="AB436" t="s">
        <v>145</v>
      </c>
      <c r="AC436">
        <v>0</v>
      </c>
      <c r="AD436">
        <v>200</v>
      </c>
      <c r="AE436" t="s">
        <v>147</v>
      </c>
      <c r="AF436" t="s">
        <v>148</v>
      </c>
      <c r="AG436" t="s">
        <v>149</v>
      </c>
      <c r="AH436" t="s">
        <v>150</v>
      </c>
      <c r="AJ436" t="s">
        <v>151</v>
      </c>
      <c r="AK436" t="s">
        <v>152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Z436" t="s">
        <v>153</v>
      </c>
      <c r="BA436">
        <v>727156.00000000105</v>
      </c>
      <c r="BB436">
        <v>3763438</v>
      </c>
    </row>
    <row r="437" spans="1:54" x14ac:dyDescent="0.35">
      <c r="A437">
        <v>110115</v>
      </c>
      <c r="B437">
        <v>482</v>
      </c>
      <c r="C437" t="s">
        <v>135</v>
      </c>
      <c r="D437" s="15">
        <v>701012160922310</v>
      </c>
      <c r="F437">
        <v>70</v>
      </c>
      <c r="G437" t="s">
        <v>136</v>
      </c>
      <c r="H437">
        <v>7010</v>
      </c>
      <c r="I437" t="s">
        <v>137</v>
      </c>
      <c r="K437" t="s">
        <v>79</v>
      </c>
      <c r="M437">
        <v>12160922309</v>
      </c>
      <c r="N437" t="s">
        <v>160</v>
      </c>
      <c r="O437">
        <v>12160922309</v>
      </c>
      <c r="Q437" t="s">
        <v>262</v>
      </c>
      <c r="R437">
        <v>1</v>
      </c>
      <c r="S437">
        <v>36</v>
      </c>
      <c r="T437" t="s">
        <v>142</v>
      </c>
      <c r="AA437" t="s">
        <v>265</v>
      </c>
      <c r="AC437">
        <v>0</v>
      </c>
      <c r="AD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A437">
        <v>727153.00000000198</v>
      </c>
      <c r="BB437">
        <v>3763443</v>
      </c>
    </row>
    <row r="438" spans="1:54" x14ac:dyDescent="0.35">
      <c r="A438">
        <v>110114</v>
      </c>
      <c r="B438">
        <v>481</v>
      </c>
      <c r="C438" t="s">
        <v>135</v>
      </c>
      <c r="D438" s="15">
        <v>701012160922309</v>
      </c>
      <c r="F438">
        <v>70</v>
      </c>
      <c r="G438" t="s">
        <v>136</v>
      </c>
      <c r="H438">
        <v>7010</v>
      </c>
      <c r="I438" t="s">
        <v>137</v>
      </c>
      <c r="K438" t="s">
        <v>138</v>
      </c>
      <c r="M438">
        <v>12160922309</v>
      </c>
      <c r="N438" t="s">
        <v>160</v>
      </c>
      <c r="O438">
        <v>12160922309</v>
      </c>
      <c r="P438" t="s">
        <v>147</v>
      </c>
      <c r="Q438" t="s">
        <v>262</v>
      </c>
      <c r="R438">
        <v>1</v>
      </c>
      <c r="S438">
        <v>36</v>
      </c>
      <c r="T438" t="s">
        <v>142</v>
      </c>
      <c r="U438" t="s">
        <v>263</v>
      </c>
      <c r="V438" t="s">
        <v>263</v>
      </c>
      <c r="W438" t="s">
        <v>263</v>
      </c>
      <c r="AA438" t="s">
        <v>265</v>
      </c>
      <c r="AC438">
        <v>0</v>
      </c>
      <c r="AD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A438">
        <v>727153.00000000198</v>
      </c>
      <c r="BB438">
        <v>3763443</v>
      </c>
    </row>
    <row r="439" spans="1:54" x14ac:dyDescent="0.35">
      <c r="A439">
        <v>110113</v>
      </c>
      <c r="B439">
        <v>480</v>
      </c>
      <c r="C439" t="s">
        <v>135</v>
      </c>
      <c r="D439" s="15">
        <v>701012160922309</v>
      </c>
      <c r="F439">
        <v>70</v>
      </c>
      <c r="G439" t="s">
        <v>136</v>
      </c>
      <c r="H439">
        <v>7010</v>
      </c>
      <c r="I439" t="s">
        <v>137</v>
      </c>
      <c r="K439" t="s">
        <v>79</v>
      </c>
      <c r="M439">
        <v>12160922363</v>
      </c>
      <c r="N439" t="s">
        <v>160</v>
      </c>
      <c r="O439">
        <v>12160922363</v>
      </c>
      <c r="Q439" t="s">
        <v>262</v>
      </c>
      <c r="R439">
        <v>1</v>
      </c>
      <c r="S439">
        <v>36</v>
      </c>
      <c r="T439" t="s">
        <v>142</v>
      </c>
      <c r="AA439" t="s">
        <v>265</v>
      </c>
      <c r="AC439">
        <v>0</v>
      </c>
      <c r="AD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A439">
        <v>727130.00000000105</v>
      </c>
      <c r="BB439">
        <v>3763472</v>
      </c>
    </row>
    <row r="440" spans="1:54" x14ac:dyDescent="0.35">
      <c r="A440">
        <v>110112</v>
      </c>
      <c r="B440">
        <v>479</v>
      </c>
      <c r="C440" t="s">
        <v>135</v>
      </c>
      <c r="D440" s="15">
        <v>701012160922363</v>
      </c>
      <c r="F440">
        <v>70</v>
      </c>
      <c r="G440" t="s">
        <v>136</v>
      </c>
      <c r="H440">
        <v>7010</v>
      </c>
      <c r="I440" t="s">
        <v>137</v>
      </c>
      <c r="K440" t="s">
        <v>138</v>
      </c>
      <c r="M440">
        <v>12160922363</v>
      </c>
      <c r="N440" t="s">
        <v>160</v>
      </c>
      <c r="O440">
        <v>12160922363</v>
      </c>
      <c r="P440" t="s">
        <v>147</v>
      </c>
      <c r="Q440" t="s">
        <v>262</v>
      </c>
      <c r="R440">
        <v>1</v>
      </c>
      <c r="S440">
        <v>36</v>
      </c>
      <c r="T440" t="s">
        <v>142</v>
      </c>
      <c r="U440" t="s">
        <v>263</v>
      </c>
      <c r="V440" t="s">
        <v>263</v>
      </c>
      <c r="W440" t="s">
        <v>263</v>
      </c>
      <c r="AA440" t="s">
        <v>265</v>
      </c>
      <c r="AC440">
        <v>0</v>
      </c>
      <c r="AD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A440">
        <v>727130.00000000105</v>
      </c>
      <c r="BB440">
        <v>3763472</v>
      </c>
    </row>
    <row r="441" spans="1:54" x14ac:dyDescent="0.35">
      <c r="A441">
        <v>110111</v>
      </c>
      <c r="B441">
        <v>478</v>
      </c>
      <c r="C441" t="s">
        <v>135</v>
      </c>
      <c r="D441" s="15">
        <v>701012160922363</v>
      </c>
      <c r="F441">
        <v>70</v>
      </c>
      <c r="G441" t="s">
        <v>136</v>
      </c>
      <c r="H441">
        <v>7010</v>
      </c>
      <c r="I441" t="s">
        <v>137</v>
      </c>
      <c r="K441" t="s">
        <v>79</v>
      </c>
      <c r="M441">
        <v>12160922360</v>
      </c>
      <c r="N441" t="s">
        <v>160</v>
      </c>
      <c r="O441">
        <v>12160922360</v>
      </c>
      <c r="Q441" t="s">
        <v>262</v>
      </c>
      <c r="R441">
        <v>1</v>
      </c>
      <c r="S441">
        <v>36</v>
      </c>
      <c r="T441" t="s">
        <v>142</v>
      </c>
      <c r="AA441" t="s">
        <v>265</v>
      </c>
      <c r="AC441">
        <v>0</v>
      </c>
      <c r="AD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A441">
        <v>727106</v>
      </c>
      <c r="BB441">
        <v>3763481</v>
      </c>
    </row>
    <row r="442" spans="1:54" x14ac:dyDescent="0.35">
      <c r="A442">
        <v>110110</v>
      </c>
      <c r="B442">
        <v>477</v>
      </c>
      <c r="C442" t="s">
        <v>135</v>
      </c>
      <c r="D442" s="15">
        <v>701012160922362</v>
      </c>
      <c r="F442">
        <v>70</v>
      </c>
      <c r="G442" t="s">
        <v>136</v>
      </c>
      <c r="H442">
        <v>7010</v>
      </c>
      <c r="I442" t="s">
        <v>137</v>
      </c>
      <c r="K442" t="s">
        <v>138</v>
      </c>
      <c r="M442">
        <v>12160922362</v>
      </c>
      <c r="N442" t="s">
        <v>139</v>
      </c>
      <c r="O442">
        <v>12160922362</v>
      </c>
      <c r="P442" t="s">
        <v>140</v>
      </c>
      <c r="Q442" t="s">
        <v>141</v>
      </c>
      <c r="R442">
        <v>0</v>
      </c>
      <c r="T442" t="s">
        <v>146</v>
      </c>
      <c r="U442" t="s">
        <v>143</v>
      </c>
      <c r="V442" t="s">
        <v>143</v>
      </c>
      <c r="W442" t="s">
        <v>143</v>
      </c>
      <c r="X442" t="s">
        <v>143</v>
      </c>
      <c r="AA442" t="s">
        <v>144</v>
      </c>
      <c r="AB442" t="s">
        <v>155</v>
      </c>
      <c r="AC442">
        <v>0</v>
      </c>
      <c r="AD442">
        <v>200</v>
      </c>
      <c r="AE442" t="s">
        <v>147</v>
      </c>
      <c r="AF442" t="s">
        <v>148</v>
      </c>
      <c r="AG442" t="s">
        <v>149</v>
      </c>
      <c r="AH442" t="s">
        <v>156</v>
      </c>
      <c r="AJ442" t="s">
        <v>157</v>
      </c>
      <c r="AK442" t="s">
        <v>152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Z442" t="s">
        <v>158</v>
      </c>
      <c r="BA442">
        <v>727106.200000001</v>
      </c>
      <c r="BB442">
        <v>3763481.4</v>
      </c>
    </row>
    <row r="443" spans="1:54" x14ac:dyDescent="0.35">
      <c r="A443">
        <v>110109</v>
      </c>
      <c r="B443">
        <v>476</v>
      </c>
      <c r="C443" t="s">
        <v>135</v>
      </c>
      <c r="D443" s="15">
        <v>701012160922362</v>
      </c>
      <c r="F443">
        <v>70</v>
      </c>
      <c r="G443" t="s">
        <v>136</v>
      </c>
      <c r="H443">
        <v>7010</v>
      </c>
      <c r="I443" t="s">
        <v>137</v>
      </c>
      <c r="K443" t="s">
        <v>79</v>
      </c>
      <c r="M443">
        <v>12160922361</v>
      </c>
      <c r="N443" t="s">
        <v>139</v>
      </c>
      <c r="O443">
        <v>12160922361</v>
      </c>
      <c r="Q443" t="s">
        <v>141</v>
      </c>
      <c r="R443">
        <v>0</v>
      </c>
      <c r="T443" t="s">
        <v>146</v>
      </c>
      <c r="AA443" t="s">
        <v>144</v>
      </c>
      <c r="AB443" t="s">
        <v>155</v>
      </c>
      <c r="AC443">
        <v>0</v>
      </c>
      <c r="AD443">
        <v>200</v>
      </c>
      <c r="AE443" t="s">
        <v>147</v>
      </c>
      <c r="AF443" t="s">
        <v>148</v>
      </c>
      <c r="AG443" t="s">
        <v>149</v>
      </c>
      <c r="AH443" t="s">
        <v>156</v>
      </c>
      <c r="AJ443" t="s">
        <v>157</v>
      </c>
      <c r="AK443" t="s">
        <v>152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Z443" t="s">
        <v>158</v>
      </c>
      <c r="BA443">
        <v>727106.10000000102</v>
      </c>
      <c r="BB443">
        <v>3763481.3</v>
      </c>
    </row>
    <row r="444" spans="1:54" x14ac:dyDescent="0.35">
      <c r="A444">
        <v>110108</v>
      </c>
      <c r="B444">
        <v>475</v>
      </c>
      <c r="C444" t="s">
        <v>135</v>
      </c>
      <c r="D444" s="15">
        <v>701012160922361</v>
      </c>
      <c r="F444">
        <v>70</v>
      </c>
      <c r="G444" t="s">
        <v>136</v>
      </c>
      <c r="H444">
        <v>7010</v>
      </c>
      <c r="I444" t="s">
        <v>137</v>
      </c>
      <c r="K444" t="s">
        <v>138</v>
      </c>
      <c r="M444">
        <v>12160922361</v>
      </c>
      <c r="N444" t="s">
        <v>160</v>
      </c>
      <c r="O444">
        <v>12160922361</v>
      </c>
      <c r="P444" t="s">
        <v>147</v>
      </c>
      <c r="Q444" t="s">
        <v>262</v>
      </c>
      <c r="R444">
        <v>0</v>
      </c>
      <c r="T444" t="s">
        <v>146</v>
      </c>
      <c r="U444" t="s">
        <v>263</v>
      </c>
      <c r="V444" t="s">
        <v>263</v>
      </c>
      <c r="W444" t="s">
        <v>263</v>
      </c>
      <c r="AA444" t="s">
        <v>264</v>
      </c>
      <c r="AB444" t="s">
        <v>155</v>
      </c>
      <c r="AC444">
        <v>0</v>
      </c>
      <c r="AD444">
        <v>200</v>
      </c>
      <c r="AE444" t="s">
        <v>147</v>
      </c>
      <c r="AF444" t="s">
        <v>148</v>
      </c>
      <c r="AG444" t="s">
        <v>165</v>
      </c>
      <c r="AH444" t="s">
        <v>156</v>
      </c>
      <c r="AJ444" t="s">
        <v>157</v>
      </c>
      <c r="AK444" t="s">
        <v>152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Z444" t="s">
        <v>158</v>
      </c>
      <c r="BA444">
        <v>727106.10000000102</v>
      </c>
      <c r="BB444">
        <v>3763481.3</v>
      </c>
    </row>
    <row r="445" spans="1:54" x14ac:dyDescent="0.35">
      <c r="A445">
        <v>110107</v>
      </c>
      <c r="B445">
        <v>474</v>
      </c>
      <c r="C445" t="s">
        <v>135</v>
      </c>
      <c r="D445" s="15">
        <v>701012160922361</v>
      </c>
      <c r="F445">
        <v>70</v>
      </c>
      <c r="G445" t="s">
        <v>136</v>
      </c>
      <c r="H445">
        <v>7010</v>
      </c>
      <c r="I445" t="s">
        <v>137</v>
      </c>
      <c r="K445" t="s">
        <v>79</v>
      </c>
      <c r="M445">
        <v>12160922360</v>
      </c>
      <c r="N445" t="s">
        <v>160</v>
      </c>
      <c r="O445">
        <v>12160922360</v>
      </c>
      <c r="Q445" t="s">
        <v>262</v>
      </c>
      <c r="R445">
        <v>1</v>
      </c>
      <c r="S445">
        <v>36</v>
      </c>
      <c r="T445" t="s">
        <v>142</v>
      </c>
      <c r="AA445" t="s">
        <v>265</v>
      </c>
      <c r="AC445">
        <v>0</v>
      </c>
      <c r="AD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A445">
        <v>727106</v>
      </c>
      <c r="BB445">
        <v>3763481</v>
      </c>
    </row>
    <row r="446" spans="1:54" x14ac:dyDescent="0.35">
      <c r="A446">
        <v>110106</v>
      </c>
      <c r="B446">
        <v>473</v>
      </c>
      <c r="C446" t="s">
        <v>135</v>
      </c>
      <c r="D446" s="15">
        <v>701012160922360</v>
      </c>
      <c r="F446">
        <v>70</v>
      </c>
      <c r="G446" t="s">
        <v>136</v>
      </c>
      <c r="H446">
        <v>7010</v>
      </c>
      <c r="I446" t="s">
        <v>137</v>
      </c>
      <c r="K446" t="s">
        <v>138</v>
      </c>
      <c r="M446">
        <v>12160922360</v>
      </c>
      <c r="N446" t="s">
        <v>160</v>
      </c>
      <c r="O446">
        <v>12160922360</v>
      </c>
      <c r="P446" t="s">
        <v>147</v>
      </c>
      <c r="Q446" t="s">
        <v>262</v>
      </c>
      <c r="R446">
        <v>1</v>
      </c>
      <c r="S446">
        <v>36</v>
      </c>
      <c r="T446" t="s">
        <v>142</v>
      </c>
      <c r="U446" t="s">
        <v>263</v>
      </c>
      <c r="V446" t="s">
        <v>263</v>
      </c>
      <c r="W446" t="s">
        <v>263</v>
      </c>
      <c r="AA446" t="s">
        <v>265</v>
      </c>
      <c r="AC446">
        <v>0</v>
      </c>
      <c r="AD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A446">
        <v>727106</v>
      </c>
      <c r="BB446">
        <v>3763481</v>
      </c>
    </row>
    <row r="447" spans="1:54" x14ac:dyDescent="0.35">
      <c r="A447">
        <v>110105</v>
      </c>
      <c r="B447">
        <v>472</v>
      </c>
      <c r="C447" t="s">
        <v>135</v>
      </c>
      <c r="D447" s="15">
        <v>701012160922360</v>
      </c>
      <c r="E447">
        <v>0</v>
      </c>
      <c r="F447">
        <v>70</v>
      </c>
      <c r="G447" t="s">
        <v>136</v>
      </c>
      <c r="H447">
        <v>7010</v>
      </c>
      <c r="I447" t="s">
        <v>137</v>
      </c>
      <c r="M447">
        <v>12160922359</v>
      </c>
      <c r="N447" t="s">
        <v>160</v>
      </c>
      <c r="O447">
        <v>12160922359</v>
      </c>
      <c r="Q447" t="s">
        <v>262</v>
      </c>
      <c r="R447">
        <v>1</v>
      </c>
      <c r="S447">
        <v>36</v>
      </c>
      <c r="T447" t="s">
        <v>142</v>
      </c>
      <c r="AA447" t="s">
        <v>265</v>
      </c>
      <c r="AC447">
        <v>0</v>
      </c>
      <c r="AD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A447">
        <v>727076.00000000198</v>
      </c>
      <c r="BB447">
        <v>3763496</v>
      </c>
    </row>
    <row r="448" spans="1:54" x14ac:dyDescent="0.35">
      <c r="A448">
        <v>110104</v>
      </c>
      <c r="B448">
        <v>471</v>
      </c>
      <c r="C448" t="s">
        <v>135</v>
      </c>
      <c r="D448" s="15">
        <v>701012160922360</v>
      </c>
      <c r="F448">
        <v>70</v>
      </c>
      <c r="G448" t="s">
        <v>136</v>
      </c>
      <c r="H448">
        <v>7010</v>
      </c>
      <c r="I448" t="s">
        <v>137</v>
      </c>
      <c r="K448" t="s">
        <v>79</v>
      </c>
      <c r="M448">
        <v>12160922326</v>
      </c>
      <c r="N448" t="s">
        <v>160</v>
      </c>
      <c r="O448">
        <v>12160922326</v>
      </c>
      <c r="Q448" t="s">
        <v>262</v>
      </c>
      <c r="R448">
        <v>1</v>
      </c>
      <c r="S448">
        <v>36</v>
      </c>
      <c r="T448" t="s">
        <v>142</v>
      </c>
      <c r="AA448" t="s">
        <v>265</v>
      </c>
      <c r="AC448">
        <v>0</v>
      </c>
      <c r="AD448">
        <v>0</v>
      </c>
      <c r="AN448" t="s">
        <v>266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A448">
        <v>727046.00000000105</v>
      </c>
      <c r="BB448">
        <v>3763504</v>
      </c>
    </row>
    <row r="449" spans="1:54" x14ac:dyDescent="0.35">
      <c r="A449">
        <v>110103</v>
      </c>
      <c r="B449">
        <v>470</v>
      </c>
      <c r="C449" t="s">
        <v>135</v>
      </c>
      <c r="D449" s="15">
        <v>701012160922344</v>
      </c>
      <c r="F449">
        <v>70</v>
      </c>
      <c r="G449" t="s">
        <v>136</v>
      </c>
      <c r="H449">
        <v>7010</v>
      </c>
      <c r="I449" t="s">
        <v>137</v>
      </c>
      <c r="K449" t="s">
        <v>138</v>
      </c>
      <c r="M449">
        <v>12160922344</v>
      </c>
      <c r="N449" t="s">
        <v>139</v>
      </c>
      <c r="O449">
        <v>12160922344</v>
      </c>
      <c r="P449" t="s">
        <v>140</v>
      </c>
      <c r="Q449" t="s">
        <v>141</v>
      </c>
      <c r="R449">
        <v>0</v>
      </c>
      <c r="T449" t="s">
        <v>146</v>
      </c>
      <c r="U449" t="s">
        <v>143</v>
      </c>
      <c r="V449" t="s">
        <v>143</v>
      </c>
      <c r="W449" t="s">
        <v>143</v>
      </c>
      <c r="X449" t="s">
        <v>143</v>
      </c>
      <c r="AA449" t="s">
        <v>144</v>
      </c>
      <c r="AB449" t="s">
        <v>159</v>
      </c>
      <c r="AC449">
        <v>0</v>
      </c>
      <c r="AD449">
        <v>200</v>
      </c>
      <c r="AE449" t="s">
        <v>147</v>
      </c>
      <c r="AF449" t="s">
        <v>148</v>
      </c>
      <c r="AG449" t="s">
        <v>149</v>
      </c>
      <c r="AH449" t="s">
        <v>161</v>
      </c>
      <c r="AJ449" t="s">
        <v>162</v>
      </c>
      <c r="AK449" t="s">
        <v>152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Z449" t="s">
        <v>163</v>
      </c>
      <c r="BA449">
        <v>727156.00000000105</v>
      </c>
      <c r="BB449">
        <v>3763732</v>
      </c>
    </row>
    <row r="450" spans="1:54" x14ac:dyDescent="0.35">
      <c r="A450">
        <v>110102</v>
      </c>
      <c r="B450">
        <v>469</v>
      </c>
      <c r="C450" t="s">
        <v>135</v>
      </c>
      <c r="D450" s="15">
        <v>701012160922344</v>
      </c>
      <c r="F450">
        <v>70</v>
      </c>
      <c r="G450" t="s">
        <v>136</v>
      </c>
      <c r="H450">
        <v>7010</v>
      </c>
      <c r="I450" t="s">
        <v>137</v>
      </c>
      <c r="K450" t="s">
        <v>79</v>
      </c>
      <c r="M450">
        <v>12160922343</v>
      </c>
      <c r="N450" t="s">
        <v>139</v>
      </c>
      <c r="O450">
        <v>12160922343</v>
      </c>
      <c r="Q450" t="s">
        <v>141</v>
      </c>
      <c r="R450">
        <v>0</v>
      </c>
      <c r="T450" t="s">
        <v>146</v>
      </c>
      <c r="AA450" t="s">
        <v>144</v>
      </c>
      <c r="AB450" t="s">
        <v>159</v>
      </c>
      <c r="AC450">
        <v>0</v>
      </c>
      <c r="AD450">
        <v>200</v>
      </c>
      <c r="AE450" t="s">
        <v>147</v>
      </c>
      <c r="AF450" t="s">
        <v>148</v>
      </c>
      <c r="AG450" t="s">
        <v>149</v>
      </c>
      <c r="AH450" t="s">
        <v>161</v>
      </c>
      <c r="AJ450" t="s">
        <v>162</v>
      </c>
      <c r="AK450" t="s">
        <v>152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Z450" t="s">
        <v>163</v>
      </c>
      <c r="BA450">
        <v>727157</v>
      </c>
      <c r="BB450">
        <v>3763732</v>
      </c>
    </row>
    <row r="451" spans="1:54" x14ac:dyDescent="0.35">
      <c r="A451">
        <v>110101</v>
      </c>
      <c r="B451">
        <v>468</v>
      </c>
      <c r="C451" t="s">
        <v>135</v>
      </c>
      <c r="D451" s="15">
        <v>701012160922343</v>
      </c>
      <c r="F451">
        <v>70</v>
      </c>
      <c r="G451" t="s">
        <v>136</v>
      </c>
      <c r="H451">
        <v>7010</v>
      </c>
      <c r="I451" t="s">
        <v>137</v>
      </c>
      <c r="K451" t="s">
        <v>138</v>
      </c>
      <c r="M451">
        <v>12160922343</v>
      </c>
      <c r="N451" t="s">
        <v>160</v>
      </c>
      <c r="O451">
        <v>12160922343</v>
      </c>
      <c r="P451" t="s">
        <v>147</v>
      </c>
      <c r="Q451" t="s">
        <v>262</v>
      </c>
      <c r="R451">
        <v>0</v>
      </c>
      <c r="T451" t="s">
        <v>146</v>
      </c>
      <c r="U451" t="s">
        <v>263</v>
      </c>
      <c r="V451" t="s">
        <v>263</v>
      </c>
      <c r="W451" t="s">
        <v>263</v>
      </c>
      <c r="AA451" t="s">
        <v>264</v>
      </c>
      <c r="AB451" t="s">
        <v>159</v>
      </c>
      <c r="AC451">
        <v>0</v>
      </c>
      <c r="AD451">
        <v>200</v>
      </c>
      <c r="AE451" t="s">
        <v>147</v>
      </c>
      <c r="AF451" t="s">
        <v>148</v>
      </c>
      <c r="AG451" t="s">
        <v>149</v>
      </c>
      <c r="AH451" t="s">
        <v>161</v>
      </c>
      <c r="AJ451" t="s">
        <v>162</v>
      </c>
      <c r="AK451" t="s">
        <v>152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Z451" t="s">
        <v>163</v>
      </c>
      <c r="BA451">
        <v>727157</v>
      </c>
      <c r="BB451">
        <v>3763732</v>
      </c>
    </row>
    <row r="452" spans="1:54" x14ac:dyDescent="0.35">
      <c r="A452">
        <v>110100</v>
      </c>
      <c r="B452">
        <v>467</v>
      </c>
      <c r="C452" t="s">
        <v>135</v>
      </c>
      <c r="D452" s="15">
        <v>701012160922343</v>
      </c>
      <c r="F452">
        <v>70</v>
      </c>
      <c r="G452" t="s">
        <v>136</v>
      </c>
      <c r="H452">
        <v>7010</v>
      </c>
      <c r="I452" t="s">
        <v>137</v>
      </c>
      <c r="K452" t="s">
        <v>79</v>
      </c>
      <c r="M452">
        <v>12160922342</v>
      </c>
      <c r="N452" t="s">
        <v>160</v>
      </c>
      <c r="O452">
        <v>12160922342</v>
      </c>
      <c r="Q452" t="s">
        <v>262</v>
      </c>
      <c r="R452">
        <v>1</v>
      </c>
      <c r="S452">
        <v>36</v>
      </c>
      <c r="T452" t="s">
        <v>142</v>
      </c>
      <c r="AA452" t="s">
        <v>265</v>
      </c>
      <c r="AC452">
        <v>0</v>
      </c>
      <c r="AD452">
        <v>0</v>
      </c>
      <c r="AN452" t="s">
        <v>266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A452">
        <v>727156.00000000105</v>
      </c>
      <c r="BB452">
        <v>3763733</v>
      </c>
    </row>
    <row r="453" spans="1:54" x14ac:dyDescent="0.35">
      <c r="A453">
        <v>110099</v>
      </c>
      <c r="B453">
        <v>466</v>
      </c>
      <c r="C453" t="s">
        <v>135</v>
      </c>
      <c r="D453" s="15">
        <v>701012160922342</v>
      </c>
      <c r="F453">
        <v>70</v>
      </c>
      <c r="G453" t="s">
        <v>136</v>
      </c>
      <c r="H453">
        <v>7010</v>
      </c>
      <c r="I453" t="s">
        <v>137</v>
      </c>
      <c r="K453" t="s">
        <v>138</v>
      </c>
      <c r="M453">
        <v>12160922342</v>
      </c>
      <c r="N453" t="s">
        <v>160</v>
      </c>
      <c r="O453">
        <v>12160922342</v>
      </c>
      <c r="P453" t="s">
        <v>147</v>
      </c>
      <c r="Q453" t="s">
        <v>262</v>
      </c>
      <c r="R453">
        <v>1</v>
      </c>
      <c r="S453">
        <v>36</v>
      </c>
      <c r="T453" t="s">
        <v>142</v>
      </c>
      <c r="U453" t="s">
        <v>267</v>
      </c>
      <c r="V453" t="s">
        <v>267</v>
      </c>
      <c r="W453" t="s">
        <v>267</v>
      </c>
      <c r="AA453" t="s">
        <v>265</v>
      </c>
      <c r="AC453">
        <v>0</v>
      </c>
      <c r="AD453">
        <v>0</v>
      </c>
      <c r="AN453" t="s">
        <v>266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A453">
        <v>727156.00000000105</v>
      </c>
      <c r="BB453">
        <v>3763733</v>
      </c>
    </row>
    <row r="454" spans="1:54" x14ac:dyDescent="0.35">
      <c r="A454">
        <v>110098</v>
      </c>
      <c r="B454">
        <v>465</v>
      </c>
      <c r="C454" t="s">
        <v>135</v>
      </c>
      <c r="D454" s="15">
        <v>701012160922342</v>
      </c>
      <c r="E454">
        <v>1</v>
      </c>
      <c r="F454">
        <v>70</v>
      </c>
      <c r="G454" t="s">
        <v>136</v>
      </c>
      <c r="H454">
        <v>7010</v>
      </c>
      <c r="I454" t="s">
        <v>137</v>
      </c>
      <c r="M454">
        <v>12160922341</v>
      </c>
      <c r="N454" t="s">
        <v>160</v>
      </c>
      <c r="O454">
        <v>12160922341</v>
      </c>
      <c r="Q454" t="s">
        <v>262</v>
      </c>
      <c r="R454">
        <v>1</v>
      </c>
      <c r="S454">
        <v>36</v>
      </c>
      <c r="T454" t="s">
        <v>222</v>
      </c>
      <c r="AA454" t="s">
        <v>265</v>
      </c>
      <c r="AC454">
        <v>0</v>
      </c>
      <c r="AD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A454">
        <v>727149</v>
      </c>
      <c r="BB454">
        <v>3763751</v>
      </c>
    </row>
    <row r="455" spans="1:54" x14ac:dyDescent="0.35">
      <c r="A455">
        <v>110097</v>
      </c>
      <c r="B455">
        <v>464</v>
      </c>
      <c r="C455" t="s">
        <v>135</v>
      </c>
      <c r="D455" s="15">
        <v>701012160922342</v>
      </c>
      <c r="E455">
        <v>0</v>
      </c>
      <c r="F455">
        <v>70</v>
      </c>
      <c r="G455" t="s">
        <v>136</v>
      </c>
      <c r="H455">
        <v>7010</v>
      </c>
      <c r="I455" t="s">
        <v>137</v>
      </c>
      <c r="M455">
        <v>12160922340</v>
      </c>
      <c r="N455" t="s">
        <v>160</v>
      </c>
      <c r="O455">
        <v>12160922340</v>
      </c>
      <c r="Q455" t="s">
        <v>262</v>
      </c>
      <c r="R455">
        <v>1</v>
      </c>
      <c r="S455">
        <v>36</v>
      </c>
      <c r="T455" t="s">
        <v>142</v>
      </c>
      <c r="AA455" t="s">
        <v>265</v>
      </c>
      <c r="AC455">
        <v>0</v>
      </c>
      <c r="AD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A455">
        <v>727104</v>
      </c>
      <c r="BB455">
        <v>3763774</v>
      </c>
    </row>
    <row r="456" spans="1:54" x14ac:dyDescent="0.35">
      <c r="A456">
        <v>110096</v>
      </c>
      <c r="B456">
        <v>463</v>
      </c>
      <c r="C456" t="s">
        <v>135</v>
      </c>
      <c r="D456" s="15">
        <v>701012160922342</v>
      </c>
      <c r="F456">
        <v>70</v>
      </c>
      <c r="G456" t="s">
        <v>136</v>
      </c>
      <c r="H456">
        <v>7010</v>
      </c>
      <c r="I456" t="s">
        <v>137</v>
      </c>
      <c r="K456" t="s">
        <v>79</v>
      </c>
      <c r="M456">
        <v>12160922339</v>
      </c>
      <c r="N456" t="s">
        <v>160</v>
      </c>
      <c r="O456">
        <v>12160922339</v>
      </c>
      <c r="Q456" t="s">
        <v>262</v>
      </c>
      <c r="R456">
        <v>1</v>
      </c>
      <c r="S456">
        <v>36</v>
      </c>
      <c r="T456" t="s">
        <v>142</v>
      </c>
      <c r="AA456" t="s">
        <v>265</v>
      </c>
      <c r="AC456">
        <v>0</v>
      </c>
      <c r="AD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A456">
        <v>727044.00000000105</v>
      </c>
      <c r="BB456">
        <v>3763796</v>
      </c>
    </row>
    <row r="457" spans="1:54" x14ac:dyDescent="0.35">
      <c r="A457">
        <v>110095</v>
      </c>
      <c r="B457">
        <v>462</v>
      </c>
      <c r="C457" t="s">
        <v>135</v>
      </c>
      <c r="D457" s="15">
        <v>701012160922339</v>
      </c>
      <c r="F457">
        <v>70</v>
      </c>
      <c r="G457" t="s">
        <v>136</v>
      </c>
      <c r="H457">
        <v>7010</v>
      </c>
      <c r="I457" t="s">
        <v>137</v>
      </c>
      <c r="K457" t="s">
        <v>138</v>
      </c>
      <c r="M457">
        <v>12160922339</v>
      </c>
      <c r="N457" t="s">
        <v>160</v>
      </c>
      <c r="O457">
        <v>12160922339</v>
      </c>
      <c r="P457" t="s">
        <v>147</v>
      </c>
      <c r="Q457" t="s">
        <v>262</v>
      </c>
      <c r="R457">
        <v>1</v>
      </c>
      <c r="S457">
        <v>36</v>
      </c>
      <c r="T457" t="s">
        <v>142</v>
      </c>
      <c r="U457" t="s">
        <v>267</v>
      </c>
      <c r="V457" t="s">
        <v>267</v>
      </c>
      <c r="W457" t="s">
        <v>267</v>
      </c>
      <c r="AA457" t="s">
        <v>265</v>
      </c>
      <c r="AC457">
        <v>0</v>
      </c>
      <c r="AD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A457">
        <v>727044.00000000105</v>
      </c>
      <c r="BB457">
        <v>3763796</v>
      </c>
    </row>
    <row r="458" spans="1:54" x14ac:dyDescent="0.35">
      <c r="A458">
        <v>110094</v>
      </c>
      <c r="B458">
        <v>461</v>
      </c>
      <c r="C458" t="s">
        <v>135</v>
      </c>
      <c r="D458" s="15">
        <v>701012160922339</v>
      </c>
      <c r="F458">
        <v>70</v>
      </c>
      <c r="G458" t="s">
        <v>136</v>
      </c>
      <c r="H458">
        <v>7010</v>
      </c>
      <c r="I458" t="s">
        <v>137</v>
      </c>
      <c r="K458" t="s">
        <v>79</v>
      </c>
      <c r="M458">
        <v>12160922336</v>
      </c>
      <c r="N458" t="s">
        <v>160</v>
      </c>
      <c r="O458">
        <v>12160922336</v>
      </c>
      <c r="Q458" t="s">
        <v>262</v>
      </c>
      <c r="R458">
        <v>1</v>
      </c>
      <c r="S458">
        <v>36</v>
      </c>
      <c r="T458" t="s">
        <v>142</v>
      </c>
      <c r="AA458" t="s">
        <v>265</v>
      </c>
      <c r="AC458">
        <v>0</v>
      </c>
      <c r="AD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A458">
        <v>727011.99999999895</v>
      </c>
      <c r="BB458">
        <v>3763813</v>
      </c>
    </row>
    <row r="459" spans="1:54" x14ac:dyDescent="0.35">
      <c r="A459">
        <v>110093</v>
      </c>
      <c r="B459">
        <v>460</v>
      </c>
      <c r="C459" t="s">
        <v>135</v>
      </c>
      <c r="D459" s="15">
        <v>701012160922338</v>
      </c>
      <c r="F459">
        <v>70</v>
      </c>
      <c r="G459" t="s">
        <v>136</v>
      </c>
      <c r="H459">
        <v>7010</v>
      </c>
      <c r="I459" t="s">
        <v>137</v>
      </c>
      <c r="K459" t="s">
        <v>138</v>
      </c>
      <c r="M459">
        <v>12160922338</v>
      </c>
      <c r="N459" t="s">
        <v>139</v>
      </c>
      <c r="O459">
        <v>12160922338</v>
      </c>
      <c r="P459" t="s">
        <v>140</v>
      </c>
      <c r="Q459" t="s">
        <v>141</v>
      </c>
      <c r="R459">
        <v>0</v>
      </c>
      <c r="T459" t="s">
        <v>146</v>
      </c>
      <c r="U459" t="s">
        <v>143</v>
      </c>
      <c r="V459" t="s">
        <v>143</v>
      </c>
      <c r="W459" t="s">
        <v>143</v>
      </c>
      <c r="X459" t="s">
        <v>143</v>
      </c>
      <c r="AA459" t="s">
        <v>144</v>
      </c>
      <c r="AB459" t="s">
        <v>164</v>
      </c>
      <c r="AC459">
        <v>0</v>
      </c>
      <c r="AD459">
        <v>200</v>
      </c>
      <c r="AE459" t="s">
        <v>147</v>
      </c>
      <c r="AF459" t="s">
        <v>148</v>
      </c>
      <c r="AG459" t="s">
        <v>165</v>
      </c>
      <c r="AH459" t="s">
        <v>161</v>
      </c>
      <c r="AJ459" t="s">
        <v>166</v>
      </c>
      <c r="AK459" t="s">
        <v>152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Z459" t="s">
        <v>167</v>
      </c>
      <c r="BA459">
        <v>727010.00000000105</v>
      </c>
      <c r="BB459">
        <v>3763813</v>
      </c>
    </row>
    <row r="460" spans="1:54" x14ac:dyDescent="0.35">
      <c r="A460">
        <v>110092</v>
      </c>
      <c r="B460">
        <v>459</v>
      </c>
      <c r="C460" t="s">
        <v>135</v>
      </c>
      <c r="D460" s="15">
        <v>701012160922338</v>
      </c>
      <c r="F460">
        <v>70</v>
      </c>
      <c r="G460" t="s">
        <v>136</v>
      </c>
      <c r="H460">
        <v>7010</v>
      </c>
      <c r="I460" t="s">
        <v>137</v>
      </c>
      <c r="K460" t="s">
        <v>79</v>
      </c>
      <c r="M460">
        <v>12160922337</v>
      </c>
      <c r="N460" t="s">
        <v>139</v>
      </c>
      <c r="O460">
        <v>12160922337</v>
      </c>
      <c r="Q460" t="s">
        <v>141</v>
      </c>
      <c r="R460">
        <v>0</v>
      </c>
      <c r="T460" t="s">
        <v>146</v>
      </c>
      <c r="AA460" t="s">
        <v>144</v>
      </c>
      <c r="AB460" t="s">
        <v>164</v>
      </c>
      <c r="AC460">
        <v>0</v>
      </c>
      <c r="AD460">
        <v>200</v>
      </c>
      <c r="AE460" t="s">
        <v>147</v>
      </c>
      <c r="AF460" t="s">
        <v>148</v>
      </c>
      <c r="AG460" t="s">
        <v>149</v>
      </c>
      <c r="AH460" t="s">
        <v>161</v>
      </c>
      <c r="AJ460" t="s">
        <v>166</v>
      </c>
      <c r="AK460" t="s">
        <v>152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Z460" t="s">
        <v>167</v>
      </c>
      <c r="BA460">
        <v>727011.99999999895</v>
      </c>
      <c r="BB460">
        <v>3763813</v>
      </c>
    </row>
    <row r="461" spans="1:54" x14ac:dyDescent="0.35">
      <c r="A461">
        <v>110091</v>
      </c>
      <c r="B461">
        <v>458</v>
      </c>
      <c r="C461" t="s">
        <v>135</v>
      </c>
      <c r="D461" s="15">
        <v>701012160922337</v>
      </c>
      <c r="F461">
        <v>70</v>
      </c>
      <c r="G461" t="s">
        <v>136</v>
      </c>
      <c r="H461">
        <v>7010</v>
      </c>
      <c r="I461" t="s">
        <v>137</v>
      </c>
      <c r="K461" t="s">
        <v>138</v>
      </c>
      <c r="M461">
        <v>12160922337</v>
      </c>
      <c r="N461" t="s">
        <v>160</v>
      </c>
      <c r="O461">
        <v>12160922337</v>
      </c>
      <c r="P461" t="s">
        <v>147</v>
      </c>
      <c r="Q461" t="s">
        <v>262</v>
      </c>
      <c r="R461">
        <v>0</v>
      </c>
      <c r="T461" t="s">
        <v>146</v>
      </c>
      <c r="U461" t="s">
        <v>263</v>
      </c>
      <c r="V461" t="s">
        <v>263</v>
      </c>
      <c r="W461" t="s">
        <v>263</v>
      </c>
      <c r="AA461" t="s">
        <v>264</v>
      </c>
      <c r="AB461" t="s">
        <v>164</v>
      </c>
      <c r="AC461">
        <v>0</v>
      </c>
      <c r="AD461">
        <v>200</v>
      </c>
      <c r="AE461" t="s">
        <v>147</v>
      </c>
      <c r="AF461" t="s">
        <v>148</v>
      </c>
      <c r="AG461" t="s">
        <v>149</v>
      </c>
      <c r="AH461" t="s">
        <v>161</v>
      </c>
      <c r="AJ461" t="s">
        <v>166</v>
      </c>
      <c r="AK461" t="s">
        <v>152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Z461" t="s">
        <v>167</v>
      </c>
      <c r="BA461">
        <v>727011.99999999895</v>
      </c>
      <c r="BB461">
        <v>3763813</v>
      </c>
    </row>
    <row r="462" spans="1:54" x14ac:dyDescent="0.35">
      <c r="A462">
        <v>110090</v>
      </c>
      <c r="B462">
        <v>457</v>
      </c>
      <c r="C462" t="s">
        <v>135</v>
      </c>
      <c r="D462" s="15">
        <v>701012160922337</v>
      </c>
      <c r="F462">
        <v>70</v>
      </c>
      <c r="G462" t="s">
        <v>136</v>
      </c>
      <c r="H462">
        <v>7010</v>
      </c>
      <c r="I462" t="s">
        <v>137</v>
      </c>
      <c r="K462" t="s">
        <v>79</v>
      </c>
      <c r="M462">
        <v>12160922336</v>
      </c>
      <c r="N462" t="s">
        <v>160</v>
      </c>
      <c r="O462">
        <v>12160922336</v>
      </c>
      <c r="Q462" t="s">
        <v>262</v>
      </c>
      <c r="R462">
        <v>1</v>
      </c>
      <c r="S462">
        <v>36</v>
      </c>
      <c r="T462" t="s">
        <v>142</v>
      </c>
      <c r="AA462" t="s">
        <v>265</v>
      </c>
      <c r="AC462">
        <v>0</v>
      </c>
      <c r="AD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A462">
        <v>727011.99999999895</v>
      </c>
      <c r="BB462">
        <v>3763813</v>
      </c>
    </row>
    <row r="463" spans="1:54" x14ac:dyDescent="0.35">
      <c r="A463">
        <v>110089</v>
      </c>
      <c r="B463">
        <v>456</v>
      </c>
      <c r="C463" t="s">
        <v>135</v>
      </c>
      <c r="D463" s="15">
        <v>701012160922336</v>
      </c>
      <c r="F463">
        <v>70</v>
      </c>
      <c r="G463" t="s">
        <v>136</v>
      </c>
      <c r="H463">
        <v>7010</v>
      </c>
      <c r="I463" t="s">
        <v>137</v>
      </c>
      <c r="K463" t="s">
        <v>138</v>
      </c>
      <c r="M463">
        <v>12160922336</v>
      </c>
      <c r="N463" t="s">
        <v>160</v>
      </c>
      <c r="O463">
        <v>12160922336</v>
      </c>
      <c r="P463" t="s">
        <v>147</v>
      </c>
      <c r="Q463" t="s">
        <v>262</v>
      </c>
      <c r="R463">
        <v>1</v>
      </c>
      <c r="S463">
        <v>36</v>
      </c>
      <c r="T463" t="s">
        <v>142</v>
      </c>
      <c r="U463" t="s">
        <v>267</v>
      </c>
      <c r="V463" t="s">
        <v>267</v>
      </c>
      <c r="W463" t="s">
        <v>267</v>
      </c>
      <c r="AA463" t="s">
        <v>265</v>
      </c>
      <c r="AC463">
        <v>0</v>
      </c>
      <c r="AD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A463">
        <v>727011.99999999895</v>
      </c>
      <c r="BB463">
        <v>3763813</v>
      </c>
    </row>
    <row r="464" spans="1:54" x14ac:dyDescent="0.35">
      <c r="A464">
        <v>110088</v>
      </c>
      <c r="B464">
        <v>455</v>
      </c>
      <c r="C464" t="s">
        <v>135</v>
      </c>
      <c r="D464" s="15">
        <v>701012160922336</v>
      </c>
      <c r="F464">
        <v>70</v>
      </c>
      <c r="G464" t="s">
        <v>136</v>
      </c>
      <c r="H464">
        <v>7010</v>
      </c>
      <c r="I464" t="s">
        <v>137</v>
      </c>
      <c r="K464" t="s">
        <v>79</v>
      </c>
      <c r="M464">
        <v>12140922154</v>
      </c>
      <c r="N464" t="s">
        <v>160</v>
      </c>
      <c r="O464">
        <v>12140922154</v>
      </c>
      <c r="Q464" t="s">
        <v>262</v>
      </c>
      <c r="R464">
        <v>1</v>
      </c>
      <c r="S464">
        <v>36</v>
      </c>
      <c r="T464" t="s">
        <v>142</v>
      </c>
      <c r="AA464" t="s">
        <v>265</v>
      </c>
      <c r="AC464">
        <v>0</v>
      </c>
      <c r="AD464">
        <v>0</v>
      </c>
      <c r="AN464" t="s">
        <v>266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A464">
        <v>726975.00000000105</v>
      </c>
      <c r="BB464">
        <v>3763821</v>
      </c>
    </row>
    <row r="465" spans="1:54" x14ac:dyDescent="0.35">
      <c r="A465">
        <v>110087</v>
      </c>
      <c r="B465">
        <v>454</v>
      </c>
      <c r="C465" t="s">
        <v>135</v>
      </c>
      <c r="D465" s="15">
        <v>701012160922335</v>
      </c>
      <c r="E465">
        <v>1</v>
      </c>
      <c r="F465">
        <v>70</v>
      </c>
      <c r="G465" t="s">
        <v>136</v>
      </c>
      <c r="H465">
        <v>7010</v>
      </c>
      <c r="I465" t="s">
        <v>137</v>
      </c>
      <c r="K465" t="s">
        <v>138</v>
      </c>
      <c r="M465">
        <v>12160922335</v>
      </c>
      <c r="N465" t="s">
        <v>160</v>
      </c>
      <c r="O465">
        <v>12160922335</v>
      </c>
      <c r="Q465" t="s">
        <v>262</v>
      </c>
      <c r="R465">
        <v>1</v>
      </c>
      <c r="S465">
        <v>36</v>
      </c>
      <c r="T465" t="s">
        <v>142</v>
      </c>
      <c r="U465" t="s">
        <v>267</v>
      </c>
      <c r="V465" t="s">
        <v>267</v>
      </c>
      <c r="W465" t="s">
        <v>267</v>
      </c>
      <c r="AA465" t="s">
        <v>265</v>
      </c>
      <c r="AC465">
        <v>0</v>
      </c>
      <c r="AD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A465">
        <v>727141.00000000105</v>
      </c>
      <c r="BB465">
        <v>3763697</v>
      </c>
    </row>
    <row r="466" spans="1:54" x14ac:dyDescent="0.35">
      <c r="A466">
        <v>110086</v>
      </c>
      <c r="B466">
        <v>453</v>
      </c>
      <c r="C466" t="s">
        <v>135</v>
      </c>
      <c r="D466" s="15">
        <v>701012160922335</v>
      </c>
      <c r="E466">
        <v>0</v>
      </c>
      <c r="F466">
        <v>70</v>
      </c>
      <c r="G466" t="s">
        <v>136</v>
      </c>
      <c r="H466">
        <v>7010</v>
      </c>
      <c r="I466" t="s">
        <v>137</v>
      </c>
      <c r="M466">
        <v>12160922334</v>
      </c>
      <c r="N466" t="s">
        <v>160</v>
      </c>
      <c r="O466">
        <v>12160922334</v>
      </c>
      <c r="Q466" t="s">
        <v>262</v>
      </c>
      <c r="R466">
        <v>1</v>
      </c>
      <c r="S466">
        <v>36</v>
      </c>
      <c r="T466" t="s">
        <v>142</v>
      </c>
      <c r="AA466" t="s">
        <v>265</v>
      </c>
      <c r="AC466">
        <v>0</v>
      </c>
      <c r="AD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A466">
        <v>727121.99999999895</v>
      </c>
      <c r="BB466">
        <v>3763669</v>
      </c>
    </row>
    <row r="467" spans="1:54" x14ac:dyDescent="0.35">
      <c r="A467">
        <v>110085</v>
      </c>
      <c r="B467">
        <v>452</v>
      </c>
      <c r="C467" t="s">
        <v>135</v>
      </c>
      <c r="D467" s="15">
        <v>701012160922335</v>
      </c>
      <c r="F467">
        <v>70</v>
      </c>
      <c r="G467" t="s">
        <v>136</v>
      </c>
      <c r="H467">
        <v>7010</v>
      </c>
      <c r="I467" t="s">
        <v>137</v>
      </c>
      <c r="K467" t="s">
        <v>79</v>
      </c>
      <c r="M467">
        <v>12160922329</v>
      </c>
      <c r="N467" t="s">
        <v>160</v>
      </c>
      <c r="O467">
        <v>12160922329</v>
      </c>
      <c r="Q467" t="s">
        <v>262</v>
      </c>
      <c r="R467">
        <v>1</v>
      </c>
      <c r="S467">
        <v>36</v>
      </c>
      <c r="T467" t="s">
        <v>142</v>
      </c>
      <c r="AA467" t="s">
        <v>265</v>
      </c>
      <c r="AC467">
        <v>0</v>
      </c>
      <c r="AD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A467">
        <v>727102.00000000105</v>
      </c>
      <c r="BB467">
        <v>3763613</v>
      </c>
    </row>
    <row r="468" spans="1:54" x14ac:dyDescent="0.35">
      <c r="A468">
        <v>110084</v>
      </c>
      <c r="B468">
        <v>451</v>
      </c>
      <c r="C468" t="s">
        <v>135</v>
      </c>
      <c r="D468" s="15">
        <v>701012160922329</v>
      </c>
      <c r="F468">
        <v>70</v>
      </c>
      <c r="G468" t="s">
        <v>136</v>
      </c>
      <c r="H468">
        <v>7010</v>
      </c>
      <c r="I468" t="s">
        <v>137</v>
      </c>
      <c r="K468" t="s">
        <v>138</v>
      </c>
      <c r="M468">
        <v>12160922329</v>
      </c>
      <c r="N468" t="s">
        <v>160</v>
      </c>
      <c r="O468">
        <v>12160922329</v>
      </c>
      <c r="P468" t="s">
        <v>147</v>
      </c>
      <c r="Q468" t="s">
        <v>262</v>
      </c>
      <c r="R468">
        <v>1</v>
      </c>
      <c r="S468">
        <v>36</v>
      </c>
      <c r="T468" t="s">
        <v>142</v>
      </c>
      <c r="U468" t="s">
        <v>267</v>
      </c>
      <c r="V468" t="s">
        <v>267</v>
      </c>
      <c r="W468" t="s">
        <v>267</v>
      </c>
      <c r="AA468" t="s">
        <v>265</v>
      </c>
      <c r="AC468">
        <v>0</v>
      </c>
      <c r="AD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A468">
        <v>727102.00000000105</v>
      </c>
      <c r="BB468">
        <v>3763613</v>
      </c>
    </row>
    <row r="469" spans="1:54" x14ac:dyDescent="0.35">
      <c r="A469">
        <v>110083</v>
      </c>
      <c r="B469">
        <v>450</v>
      </c>
      <c r="C469" t="s">
        <v>135</v>
      </c>
      <c r="D469" s="15">
        <v>701012160922329</v>
      </c>
      <c r="E469">
        <v>1</v>
      </c>
      <c r="F469">
        <v>70</v>
      </c>
      <c r="G469" t="s">
        <v>136</v>
      </c>
      <c r="H469">
        <v>7010</v>
      </c>
      <c r="I469" t="s">
        <v>137</v>
      </c>
      <c r="M469">
        <v>12160922328</v>
      </c>
      <c r="N469" t="s">
        <v>160</v>
      </c>
      <c r="O469">
        <v>12160922328</v>
      </c>
      <c r="Q469" t="s">
        <v>262</v>
      </c>
      <c r="R469">
        <v>1</v>
      </c>
      <c r="S469">
        <v>36</v>
      </c>
      <c r="T469" t="s">
        <v>142</v>
      </c>
      <c r="AA469" t="s">
        <v>265</v>
      </c>
      <c r="AC469">
        <v>0</v>
      </c>
      <c r="AD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A469">
        <v>727082.00000000105</v>
      </c>
      <c r="BB469">
        <v>3763577</v>
      </c>
    </row>
    <row r="470" spans="1:54" x14ac:dyDescent="0.35">
      <c r="A470">
        <v>110082</v>
      </c>
      <c r="B470">
        <v>449</v>
      </c>
      <c r="C470" t="s">
        <v>135</v>
      </c>
      <c r="D470" s="15">
        <v>701012160922329</v>
      </c>
      <c r="E470">
        <v>0</v>
      </c>
      <c r="F470">
        <v>70</v>
      </c>
      <c r="G470" t="s">
        <v>136</v>
      </c>
      <c r="H470">
        <v>7010</v>
      </c>
      <c r="I470" t="s">
        <v>137</v>
      </c>
      <c r="M470">
        <v>12160922327</v>
      </c>
      <c r="N470" t="s">
        <v>160</v>
      </c>
      <c r="O470">
        <v>12160922327</v>
      </c>
      <c r="Q470" t="s">
        <v>262</v>
      </c>
      <c r="R470">
        <v>1</v>
      </c>
      <c r="S470">
        <v>36</v>
      </c>
      <c r="T470" t="s">
        <v>142</v>
      </c>
      <c r="AA470" t="s">
        <v>265</v>
      </c>
      <c r="AC470">
        <v>0</v>
      </c>
      <c r="AD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A470">
        <v>727065</v>
      </c>
      <c r="BB470">
        <v>3763538</v>
      </c>
    </row>
    <row r="471" spans="1:54" x14ac:dyDescent="0.35">
      <c r="A471">
        <v>110081</v>
      </c>
      <c r="B471">
        <v>448</v>
      </c>
      <c r="C471" t="s">
        <v>135</v>
      </c>
      <c r="D471" s="15">
        <v>701012160922329</v>
      </c>
      <c r="F471">
        <v>70</v>
      </c>
      <c r="G471" t="s">
        <v>136</v>
      </c>
      <c r="H471">
        <v>7010</v>
      </c>
      <c r="I471" t="s">
        <v>137</v>
      </c>
      <c r="K471" t="s">
        <v>79</v>
      </c>
      <c r="M471">
        <v>12160922326</v>
      </c>
      <c r="N471" t="s">
        <v>160</v>
      </c>
      <c r="O471">
        <v>12160922326</v>
      </c>
      <c r="Q471" t="s">
        <v>262</v>
      </c>
      <c r="R471">
        <v>1</v>
      </c>
      <c r="S471">
        <v>36</v>
      </c>
      <c r="T471" t="s">
        <v>142</v>
      </c>
      <c r="AA471" t="s">
        <v>265</v>
      </c>
      <c r="AC471">
        <v>0</v>
      </c>
      <c r="AD471">
        <v>0</v>
      </c>
      <c r="AN471" t="s">
        <v>266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A471">
        <v>727046.00000000105</v>
      </c>
      <c r="BB471">
        <v>3763504</v>
      </c>
    </row>
    <row r="472" spans="1:54" x14ac:dyDescent="0.35">
      <c r="A472">
        <v>110080</v>
      </c>
      <c r="B472">
        <v>447</v>
      </c>
      <c r="C472" t="s">
        <v>135</v>
      </c>
      <c r="D472" s="15">
        <v>701012160922326</v>
      </c>
      <c r="F472">
        <v>70</v>
      </c>
      <c r="G472" t="s">
        <v>136</v>
      </c>
      <c r="H472">
        <v>7010</v>
      </c>
      <c r="I472" t="s">
        <v>137</v>
      </c>
      <c r="K472" t="s">
        <v>138</v>
      </c>
      <c r="M472">
        <v>12160922326</v>
      </c>
      <c r="N472" t="s">
        <v>160</v>
      </c>
      <c r="O472">
        <v>12160922326</v>
      </c>
      <c r="P472" t="s">
        <v>147</v>
      </c>
      <c r="Q472" t="s">
        <v>262</v>
      </c>
      <c r="R472">
        <v>1</v>
      </c>
      <c r="S472">
        <v>36</v>
      </c>
      <c r="T472" t="s">
        <v>142</v>
      </c>
      <c r="U472" t="s">
        <v>267</v>
      </c>
      <c r="V472" t="s">
        <v>267</v>
      </c>
      <c r="W472" t="s">
        <v>267</v>
      </c>
      <c r="AA472" t="s">
        <v>265</v>
      </c>
      <c r="AC472">
        <v>0</v>
      </c>
      <c r="AD472">
        <v>0</v>
      </c>
      <c r="AN472" t="s">
        <v>266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A472">
        <v>727046.00000000105</v>
      </c>
      <c r="BB472">
        <v>3763504</v>
      </c>
    </row>
    <row r="473" spans="1:54" x14ac:dyDescent="0.35">
      <c r="A473">
        <v>110079</v>
      </c>
      <c r="B473">
        <v>446</v>
      </c>
      <c r="C473" t="s">
        <v>135</v>
      </c>
      <c r="D473" s="15">
        <v>701012160922326</v>
      </c>
      <c r="F473">
        <v>70</v>
      </c>
      <c r="G473" t="s">
        <v>136</v>
      </c>
      <c r="H473">
        <v>7010</v>
      </c>
      <c r="I473" t="s">
        <v>137</v>
      </c>
      <c r="K473" t="s">
        <v>79</v>
      </c>
      <c r="M473">
        <v>12160922316</v>
      </c>
      <c r="N473" t="s">
        <v>160</v>
      </c>
      <c r="O473">
        <v>12160922316</v>
      </c>
      <c r="Q473" t="s">
        <v>262</v>
      </c>
      <c r="R473">
        <v>1</v>
      </c>
      <c r="S473">
        <v>36</v>
      </c>
      <c r="T473" t="s">
        <v>142</v>
      </c>
      <c r="AA473" t="s">
        <v>265</v>
      </c>
      <c r="AC473">
        <v>0</v>
      </c>
      <c r="AD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A473">
        <v>727026.00000000105</v>
      </c>
      <c r="BB473">
        <v>3763468</v>
      </c>
    </row>
    <row r="474" spans="1:54" x14ac:dyDescent="0.35">
      <c r="A474">
        <v>110078</v>
      </c>
      <c r="B474">
        <v>445</v>
      </c>
      <c r="C474" t="s">
        <v>135</v>
      </c>
      <c r="D474" s="15">
        <v>701012160922322</v>
      </c>
      <c r="F474">
        <v>70</v>
      </c>
      <c r="G474" t="s">
        <v>136</v>
      </c>
      <c r="H474">
        <v>7010</v>
      </c>
      <c r="I474" t="s">
        <v>137</v>
      </c>
      <c r="K474" t="s">
        <v>138</v>
      </c>
      <c r="M474">
        <v>12160922322</v>
      </c>
      <c r="N474" t="s">
        <v>139</v>
      </c>
      <c r="O474">
        <v>12160922322</v>
      </c>
      <c r="P474" t="s">
        <v>140</v>
      </c>
      <c r="Q474" t="s">
        <v>141</v>
      </c>
      <c r="R474">
        <v>0</v>
      </c>
      <c r="T474" t="s">
        <v>146</v>
      </c>
      <c r="U474" t="s">
        <v>154</v>
      </c>
      <c r="V474" t="s">
        <v>154</v>
      </c>
      <c r="W474" t="s">
        <v>154</v>
      </c>
      <c r="X474" t="s">
        <v>154</v>
      </c>
      <c r="AA474" t="s">
        <v>144</v>
      </c>
      <c r="AB474" t="s">
        <v>268</v>
      </c>
      <c r="AC474">
        <v>0</v>
      </c>
      <c r="AD474">
        <v>100</v>
      </c>
      <c r="AE474" t="s">
        <v>147</v>
      </c>
      <c r="AF474" t="s">
        <v>148</v>
      </c>
      <c r="AG474" t="s">
        <v>165</v>
      </c>
      <c r="AH474" t="s">
        <v>171</v>
      </c>
      <c r="AJ474" t="s">
        <v>269</v>
      </c>
      <c r="AK474" t="s">
        <v>152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Z474" t="s">
        <v>270</v>
      </c>
      <c r="BA474">
        <v>726986</v>
      </c>
      <c r="BB474">
        <v>3763499</v>
      </c>
    </row>
    <row r="475" spans="1:54" x14ac:dyDescent="0.35">
      <c r="A475">
        <v>110077</v>
      </c>
      <c r="B475">
        <v>444</v>
      </c>
      <c r="C475" t="s">
        <v>135</v>
      </c>
      <c r="D475" s="15">
        <v>701012160922322</v>
      </c>
      <c r="F475">
        <v>70</v>
      </c>
      <c r="G475" t="s">
        <v>136</v>
      </c>
      <c r="H475">
        <v>7010</v>
      </c>
      <c r="I475" t="s">
        <v>137</v>
      </c>
      <c r="K475" t="s">
        <v>79</v>
      </c>
      <c r="M475">
        <v>12160922321</v>
      </c>
      <c r="N475" t="s">
        <v>139</v>
      </c>
      <c r="O475">
        <v>12160922321</v>
      </c>
      <c r="Q475" t="s">
        <v>141</v>
      </c>
      <c r="R475">
        <v>0</v>
      </c>
      <c r="T475" t="s">
        <v>146</v>
      </c>
      <c r="AA475" t="s">
        <v>144</v>
      </c>
      <c r="AB475" t="s">
        <v>268</v>
      </c>
      <c r="AC475">
        <v>0</v>
      </c>
      <c r="AD475">
        <v>100</v>
      </c>
      <c r="AE475" t="s">
        <v>147</v>
      </c>
      <c r="AF475" t="s">
        <v>148</v>
      </c>
      <c r="AG475" t="s">
        <v>165</v>
      </c>
      <c r="AH475" t="s">
        <v>171</v>
      </c>
      <c r="AJ475" t="s">
        <v>269</v>
      </c>
      <c r="AK475" t="s">
        <v>152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Z475" t="s">
        <v>270</v>
      </c>
      <c r="BA475">
        <v>726985.00000000105</v>
      </c>
      <c r="BB475">
        <v>3763498</v>
      </c>
    </row>
    <row r="476" spans="1:54" x14ac:dyDescent="0.35">
      <c r="A476">
        <v>110076</v>
      </c>
      <c r="B476">
        <v>443</v>
      </c>
      <c r="C476" t="s">
        <v>135</v>
      </c>
      <c r="D476" s="15">
        <v>701012160922321</v>
      </c>
      <c r="F476">
        <v>70</v>
      </c>
      <c r="G476" t="s">
        <v>136</v>
      </c>
      <c r="H476">
        <v>7010</v>
      </c>
      <c r="I476" t="s">
        <v>137</v>
      </c>
      <c r="K476" t="s">
        <v>138</v>
      </c>
      <c r="M476">
        <v>12160922321</v>
      </c>
      <c r="N476" t="s">
        <v>160</v>
      </c>
      <c r="O476">
        <v>12160922321</v>
      </c>
      <c r="P476" t="s">
        <v>147</v>
      </c>
      <c r="Q476" t="s">
        <v>262</v>
      </c>
      <c r="R476">
        <v>0</v>
      </c>
      <c r="T476" t="s">
        <v>146</v>
      </c>
      <c r="U476" t="s">
        <v>263</v>
      </c>
      <c r="V476" t="s">
        <v>263</v>
      </c>
      <c r="W476" t="s">
        <v>263</v>
      </c>
      <c r="AA476" t="s">
        <v>264</v>
      </c>
      <c r="AB476" t="s">
        <v>268</v>
      </c>
      <c r="AC476">
        <v>0</v>
      </c>
      <c r="AD476">
        <v>100</v>
      </c>
      <c r="AE476" t="s">
        <v>147</v>
      </c>
      <c r="AF476" t="s">
        <v>148</v>
      </c>
      <c r="AG476" t="s">
        <v>165</v>
      </c>
      <c r="AH476" t="s">
        <v>171</v>
      </c>
      <c r="AJ476" t="s">
        <v>269</v>
      </c>
      <c r="AK476" t="s">
        <v>152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Z476" t="s">
        <v>270</v>
      </c>
      <c r="BA476">
        <v>726985.00000000105</v>
      </c>
      <c r="BB476">
        <v>3763498</v>
      </c>
    </row>
    <row r="477" spans="1:54" x14ac:dyDescent="0.35">
      <c r="A477">
        <v>110075</v>
      </c>
      <c r="B477">
        <v>442</v>
      </c>
      <c r="C477" t="s">
        <v>135</v>
      </c>
      <c r="D477" s="15">
        <v>701012160922321</v>
      </c>
      <c r="F477">
        <v>70</v>
      </c>
      <c r="G477" t="s">
        <v>136</v>
      </c>
      <c r="H477">
        <v>7010</v>
      </c>
      <c r="I477" t="s">
        <v>137</v>
      </c>
      <c r="K477" t="s">
        <v>79</v>
      </c>
      <c r="M477">
        <v>12160922320</v>
      </c>
      <c r="N477" t="s">
        <v>160</v>
      </c>
      <c r="O477">
        <v>12160922320</v>
      </c>
      <c r="Q477" t="s">
        <v>262</v>
      </c>
      <c r="R477">
        <v>1</v>
      </c>
      <c r="S477">
        <v>36</v>
      </c>
      <c r="T477" t="s">
        <v>142</v>
      </c>
      <c r="AA477" t="s">
        <v>265</v>
      </c>
      <c r="AC477">
        <v>0</v>
      </c>
      <c r="AD477">
        <v>0</v>
      </c>
      <c r="AN477" t="s">
        <v>266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A477">
        <v>726984.00000000198</v>
      </c>
      <c r="BB477">
        <v>3763497</v>
      </c>
    </row>
    <row r="478" spans="1:54" x14ac:dyDescent="0.35">
      <c r="A478">
        <v>110074</v>
      </c>
      <c r="B478">
        <v>441</v>
      </c>
      <c r="C478" t="s">
        <v>135</v>
      </c>
      <c r="D478" s="15">
        <v>701012160922320</v>
      </c>
      <c r="F478">
        <v>70</v>
      </c>
      <c r="G478" t="s">
        <v>136</v>
      </c>
      <c r="H478">
        <v>7010</v>
      </c>
      <c r="I478" t="s">
        <v>137</v>
      </c>
      <c r="K478" t="s">
        <v>138</v>
      </c>
      <c r="M478">
        <v>12160922320</v>
      </c>
      <c r="N478" t="s">
        <v>160</v>
      </c>
      <c r="O478">
        <v>12160922320</v>
      </c>
      <c r="P478" t="s">
        <v>147</v>
      </c>
      <c r="Q478" t="s">
        <v>262</v>
      </c>
      <c r="R478">
        <v>1</v>
      </c>
      <c r="S478">
        <v>36</v>
      </c>
      <c r="T478" t="s">
        <v>142</v>
      </c>
      <c r="U478" t="s">
        <v>263</v>
      </c>
      <c r="V478" t="s">
        <v>263</v>
      </c>
      <c r="W478" t="s">
        <v>263</v>
      </c>
      <c r="AA478" t="s">
        <v>265</v>
      </c>
      <c r="AC478">
        <v>0</v>
      </c>
      <c r="AD478">
        <v>0</v>
      </c>
      <c r="AN478" t="s">
        <v>266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A478">
        <v>726984.00000000198</v>
      </c>
      <c r="BB478">
        <v>3763497</v>
      </c>
    </row>
    <row r="479" spans="1:54" x14ac:dyDescent="0.35">
      <c r="A479">
        <v>110073</v>
      </c>
      <c r="B479">
        <v>440</v>
      </c>
      <c r="C479" t="s">
        <v>135</v>
      </c>
      <c r="D479" s="15">
        <v>701012160922320</v>
      </c>
      <c r="F479">
        <v>70</v>
      </c>
      <c r="G479" t="s">
        <v>136</v>
      </c>
      <c r="H479">
        <v>7010</v>
      </c>
      <c r="I479" t="s">
        <v>137</v>
      </c>
      <c r="K479" t="s">
        <v>79</v>
      </c>
      <c r="M479">
        <v>12160922319</v>
      </c>
      <c r="N479" t="s">
        <v>160</v>
      </c>
      <c r="O479">
        <v>12160922319</v>
      </c>
      <c r="Q479" t="s">
        <v>262</v>
      </c>
      <c r="R479">
        <v>1</v>
      </c>
      <c r="S479">
        <v>36</v>
      </c>
      <c r="T479" t="s">
        <v>142</v>
      </c>
      <c r="AA479" t="s">
        <v>265</v>
      </c>
      <c r="AC479">
        <v>0</v>
      </c>
      <c r="AD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A479">
        <v>726975.00000000105</v>
      </c>
      <c r="BB479">
        <v>3763474</v>
      </c>
    </row>
    <row r="480" spans="1:54" x14ac:dyDescent="0.35">
      <c r="A480">
        <v>110072</v>
      </c>
      <c r="B480">
        <v>439</v>
      </c>
      <c r="C480" t="s">
        <v>135</v>
      </c>
      <c r="D480" s="15">
        <v>701012160922319</v>
      </c>
      <c r="F480">
        <v>70</v>
      </c>
      <c r="G480" t="s">
        <v>136</v>
      </c>
      <c r="H480">
        <v>7010</v>
      </c>
      <c r="I480" t="s">
        <v>137</v>
      </c>
      <c r="K480" t="s">
        <v>138</v>
      </c>
      <c r="M480">
        <v>12160922319</v>
      </c>
      <c r="N480" t="s">
        <v>160</v>
      </c>
      <c r="O480">
        <v>12160922319</v>
      </c>
      <c r="P480" t="s">
        <v>147</v>
      </c>
      <c r="Q480" t="s">
        <v>262</v>
      </c>
      <c r="R480">
        <v>1</v>
      </c>
      <c r="S480">
        <v>36</v>
      </c>
      <c r="T480" t="s">
        <v>142</v>
      </c>
      <c r="U480" t="s">
        <v>263</v>
      </c>
      <c r="V480" t="s">
        <v>263</v>
      </c>
      <c r="W480" t="s">
        <v>263</v>
      </c>
      <c r="AA480" t="s">
        <v>265</v>
      </c>
      <c r="AC480">
        <v>0</v>
      </c>
      <c r="AD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A480">
        <v>726975.00000000105</v>
      </c>
      <c r="BB480">
        <v>3763474</v>
      </c>
    </row>
    <row r="481" spans="1:54" x14ac:dyDescent="0.35">
      <c r="A481">
        <v>110071</v>
      </c>
      <c r="B481">
        <v>438</v>
      </c>
      <c r="C481" t="s">
        <v>135</v>
      </c>
      <c r="D481" s="15">
        <v>701012160922319</v>
      </c>
      <c r="F481">
        <v>70</v>
      </c>
      <c r="G481" t="s">
        <v>136</v>
      </c>
      <c r="H481">
        <v>7010</v>
      </c>
      <c r="I481" t="s">
        <v>137</v>
      </c>
      <c r="K481" t="s">
        <v>79</v>
      </c>
      <c r="M481">
        <v>12160922316</v>
      </c>
      <c r="N481" t="s">
        <v>160</v>
      </c>
      <c r="O481">
        <v>12160922316</v>
      </c>
      <c r="Q481" t="s">
        <v>262</v>
      </c>
      <c r="R481">
        <v>1</v>
      </c>
      <c r="S481">
        <v>36</v>
      </c>
      <c r="T481" t="s">
        <v>142</v>
      </c>
      <c r="AA481" t="s">
        <v>265</v>
      </c>
      <c r="AC481">
        <v>0</v>
      </c>
      <c r="AD481">
        <v>0</v>
      </c>
      <c r="AN481" t="s">
        <v>271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A481">
        <v>727026.00000000105</v>
      </c>
      <c r="BB481">
        <v>3763468</v>
      </c>
    </row>
    <row r="482" spans="1:54" x14ac:dyDescent="0.35">
      <c r="A482">
        <v>110070</v>
      </c>
      <c r="B482">
        <v>437</v>
      </c>
      <c r="C482" t="s">
        <v>135</v>
      </c>
      <c r="D482" s="15">
        <v>701012160922318</v>
      </c>
      <c r="F482">
        <v>70</v>
      </c>
      <c r="G482" t="s">
        <v>136</v>
      </c>
      <c r="H482">
        <v>7010</v>
      </c>
      <c r="I482" t="s">
        <v>137</v>
      </c>
      <c r="K482" t="s">
        <v>138</v>
      </c>
      <c r="M482">
        <v>12160922318</v>
      </c>
      <c r="N482" t="s">
        <v>139</v>
      </c>
      <c r="O482">
        <v>12160922318</v>
      </c>
      <c r="P482" t="s">
        <v>140</v>
      </c>
      <c r="Q482" t="s">
        <v>141</v>
      </c>
      <c r="R482">
        <v>0</v>
      </c>
      <c r="T482" t="s">
        <v>146</v>
      </c>
      <c r="U482" t="s">
        <v>154</v>
      </c>
      <c r="V482" t="s">
        <v>154</v>
      </c>
      <c r="W482" t="s">
        <v>154</v>
      </c>
      <c r="X482" t="s">
        <v>154</v>
      </c>
      <c r="AA482" t="s">
        <v>144</v>
      </c>
      <c r="AB482" t="s">
        <v>170</v>
      </c>
      <c r="AC482">
        <v>0</v>
      </c>
      <c r="AD482">
        <v>100</v>
      </c>
      <c r="AE482" t="s">
        <v>147</v>
      </c>
      <c r="AF482" t="s">
        <v>148</v>
      </c>
      <c r="AG482" t="s">
        <v>149</v>
      </c>
      <c r="AH482" t="s">
        <v>171</v>
      </c>
      <c r="AJ482" t="s">
        <v>172</v>
      </c>
      <c r="AK482" t="s">
        <v>152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Z482" t="s">
        <v>173</v>
      </c>
      <c r="BA482">
        <v>727026.20000000205</v>
      </c>
      <c r="BB482">
        <v>3763468.4</v>
      </c>
    </row>
    <row r="483" spans="1:54" x14ac:dyDescent="0.35">
      <c r="A483">
        <v>110069</v>
      </c>
      <c r="B483">
        <v>436</v>
      </c>
      <c r="C483" t="s">
        <v>135</v>
      </c>
      <c r="D483" s="15">
        <v>701012160922318</v>
      </c>
      <c r="F483">
        <v>70</v>
      </c>
      <c r="G483" t="s">
        <v>136</v>
      </c>
      <c r="H483">
        <v>7010</v>
      </c>
      <c r="I483" t="s">
        <v>137</v>
      </c>
      <c r="K483" t="s">
        <v>79</v>
      </c>
      <c r="M483">
        <v>12160922317</v>
      </c>
      <c r="N483" t="s">
        <v>139</v>
      </c>
      <c r="O483">
        <v>12160922317</v>
      </c>
      <c r="Q483" t="s">
        <v>141</v>
      </c>
      <c r="R483">
        <v>0</v>
      </c>
      <c r="T483" t="s">
        <v>146</v>
      </c>
      <c r="AA483" t="s">
        <v>144</v>
      </c>
      <c r="AB483" t="s">
        <v>170</v>
      </c>
      <c r="AC483">
        <v>0</v>
      </c>
      <c r="AD483">
        <v>100</v>
      </c>
      <c r="AE483" t="s">
        <v>147</v>
      </c>
      <c r="AF483" t="s">
        <v>148</v>
      </c>
      <c r="AG483" t="s">
        <v>149</v>
      </c>
      <c r="AH483" t="s">
        <v>171</v>
      </c>
      <c r="AJ483" t="s">
        <v>172</v>
      </c>
      <c r="AK483" t="s">
        <v>152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Z483" t="s">
        <v>173</v>
      </c>
      <c r="BA483">
        <v>727026.10000000102</v>
      </c>
      <c r="BB483">
        <v>3763468.3</v>
      </c>
    </row>
    <row r="484" spans="1:54" x14ac:dyDescent="0.35">
      <c r="A484">
        <v>110068</v>
      </c>
      <c r="B484">
        <v>435</v>
      </c>
      <c r="C484" t="s">
        <v>135</v>
      </c>
      <c r="D484" s="15">
        <v>701012160922317</v>
      </c>
      <c r="F484">
        <v>70</v>
      </c>
      <c r="G484" t="s">
        <v>136</v>
      </c>
      <c r="H484">
        <v>7010</v>
      </c>
      <c r="I484" t="s">
        <v>137</v>
      </c>
      <c r="K484" t="s">
        <v>138</v>
      </c>
      <c r="M484">
        <v>12160922317</v>
      </c>
      <c r="N484" t="s">
        <v>160</v>
      </c>
      <c r="O484">
        <v>12160922317</v>
      </c>
      <c r="P484" t="s">
        <v>147</v>
      </c>
      <c r="Q484" t="s">
        <v>262</v>
      </c>
      <c r="R484">
        <v>0</v>
      </c>
      <c r="T484" t="s">
        <v>146</v>
      </c>
      <c r="U484" t="s">
        <v>263</v>
      </c>
      <c r="V484" t="s">
        <v>263</v>
      </c>
      <c r="W484" t="s">
        <v>263</v>
      </c>
      <c r="AA484" t="s">
        <v>264</v>
      </c>
      <c r="AB484" t="s">
        <v>170</v>
      </c>
      <c r="AC484">
        <v>0</v>
      </c>
      <c r="AD484">
        <v>100</v>
      </c>
      <c r="AE484" t="s">
        <v>147</v>
      </c>
      <c r="AF484" t="s">
        <v>148</v>
      </c>
      <c r="AG484" t="s">
        <v>149</v>
      </c>
      <c r="AH484" t="s">
        <v>171</v>
      </c>
      <c r="AJ484" t="s">
        <v>172</v>
      </c>
      <c r="AK484" t="s">
        <v>152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Z484" t="s">
        <v>173</v>
      </c>
      <c r="BA484">
        <v>727026.10000000102</v>
      </c>
      <c r="BB484">
        <v>3763468.3</v>
      </c>
    </row>
    <row r="485" spans="1:54" x14ac:dyDescent="0.35">
      <c r="A485">
        <v>110067</v>
      </c>
      <c r="B485">
        <v>434</v>
      </c>
      <c r="C485" t="s">
        <v>135</v>
      </c>
      <c r="D485" s="15">
        <v>701012160922317</v>
      </c>
      <c r="F485">
        <v>70</v>
      </c>
      <c r="G485" t="s">
        <v>136</v>
      </c>
      <c r="H485">
        <v>7010</v>
      </c>
      <c r="I485" t="s">
        <v>137</v>
      </c>
      <c r="K485" t="s">
        <v>79</v>
      </c>
      <c r="M485">
        <v>12160922316</v>
      </c>
      <c r="N485" t="s">
        <v>160</v>
      </c>
      <c r="O485">
        <v>12160922316</v>
      </c>
      <c r="Q485" t="s">
        <v>262</v>
      </c>
      <c r="R485">
        <v>1</v>
      </c>
      <c r="S485">
        <v>36</v>
      </c>
      <c r="T485" t="s">
        <v>142</v>
      </c>
      <c r="AA485" t="s">
        <v>265</v>
      </c>
      <c r="AC485">
        <v>0</v>
      </c>
      <c r="AD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A485">
        <v>727026.00000000105</v>
      </c>
      <c r="BB485">
        <v>3763468</v>
      </c>
    </row>
    <row r="486" spans="1:54" x14ac:dyDescent="0.35">
      <c r="A486">
        <v>110066</v>
      </c>
      <c r="B486">
        <v>433</v>
      </c>
      <c r="C486" t="s">
        <v>135</v>
      </c>
      <c r="D486" s="15">
        <v>701012160922316</v>
      </c>
      <c r="F486">
        <v>70</v>
      </c>
      <c r="G486" t="s">
        <v>136</v>
      </c>
      <c r="H486">
        <v>7010</v>
      </c>
      <c r="I486" t="s">
        <v>137</v>
      </c>
      <c r="K486" t="s">
        <v>138</v>
      </c>
      <c r="M486">
        <v>12160922316</v>
      </c>
      <c r="N486" t="s">
        <v>160</v>
      </c>
      <c r="O486">
        <v>12160922316</v>
      </c>
      <c r="P486" t="s">
        <v>147</v>
      </c>
      <c r="Q486" t="s">
        <v>262</v>
      </c>
      <c r="R486">
        <v>1</v>
      </c>
      <c r="S486">
        <v>36</v>
      </c>
      <c r="T486" t="s">
        <v>142</v>
      </c>
      <c r="U486" t="s">
        <v>263</v>
      </c>
      <c r="V486" t="s">
        <v>263</v>
      </c>
      <c r="W486" t="s">
        <v>263</v>
      </c>
      <c r="AA486" t="s">
        <v>265</v>
      </c>
      <c r="AC486">
        <v>0</v>
      </c>
      <c r="AD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A486">
        <v>727026.00000000105</v>
      </c>
      <c r="BB486">
        <v>3763468</v>
      </c>
    </row>
    <row r="487" spans="1:54" x14ac:dyDescent="0.35">
      <c r="A487">
        <v>110065</v>
      </c>
      <c r="B487">
        <v>432</v>
      </c>
      <c r="C487" t="s">
        <v>135</v>
      </c>
      <c r="D487" s="15">
        <v>701012160922316</v>
      </c>
      <c r="F487">
        <v>70</v>
      </c>
      <c r="G487" t="s">
        <v>136</v>
      </c>
      <c r="H487">
        <v>7010</v>
      </c>
      <c r="I487" t="s">
        <v>137</v>
      </c>
      <c r="K487" t="s">
        <v>79</v>
      </c>
      <c r="M487">
        <v>12160922315</v>
      </c>
      <c r="N487" t="s">
        <v>160</v>
      </c>
      <c r="O487">
        <v>12160922315</v>
      </c>
      <c r="Q487" t="s">
        <v>262</v>
      </c>
      <c r="R487">
        <v>1</v>
      </c>
      <c r="S487">
        <v>36</v>
      </c>
      <c r="T487" t="s">
        <v>142</v>
      </c>
      <c r="AA487" t="s">
        <v>265</v>
      </c>
      <c r="AC487">
        <v>0</v>
      </c>
      <c r="AD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A487">
        <v>727007.00000000198</v>
      </c>
      <c r="BB487">
        <v>3763426</v>
      </c>
    </row>
    <row r="488" spans="1:54" x14ac:dyDescent="0.35">
      <c r="A488">
        <v>110064</v>
      </c>
      <c r="B488">
        <v>431</v>
      </c>
      <c r="C488" t="s">
        <v>135</v>
      </c>
      <c r="D488" s="15">
        <v>701012160922315</v>
      </c>
      <c r="F488">
        <v>70</v>
      </c>
      <c r="G488" t="s">
        <v>136</v>
      </c>
      <c r="H488">
        <v>7010</v>
      </c>
      <c r="I488" t="s">
        <v>137</v>
      </c>
      <c r="K488" t="s">
        <v>138</v>
      </c>
      <c r="M488">
        <v>12160922315</v>
      </c>
      <c r="N488" t="s">
        <v>160</v>
      </c>
      <c r="O488">
        <v>12160922315</v>
      </c>
      <c r="P488" t="s">
        <v>147</v>
      </c>
      <c r="Q488" t="s">
        <v>262</v>
      </c>
      <c r="R488">
        <v>1</v>
      </c>
      <c r="S488">
        <v>36</v>
      </c>
      <c r="T488" t="s">
        <v>142</v>
      </c>
      <c r="U488" t="s">
        <v>263</v>
      </c>
      <c r="V488" t="s">
        <v>263</v>
      </c>
      <c r="W488" t="s">
        <v>263</v>
      </c>
      <c r="AA488" t="s">
        <v>265</v>
      </c>
      <c r="AC488">
        <v>0</v>
      </c>
      <c r="AD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A488">
        <v>727007.00000000198</v>
      </c>
      <c r="BB488">
        <v>3763426</v>
      </c>
    </row>
    <row r="489" spans="1:54" x14ac:dyDescent="0.35">
      <c r="A489">
        <v>110063</v>
      </c>
      <c r="B489">
        <v>430</v>
      </c>
      <c r="C489" t="s">
        <v>135</v>
      </c>
      <c r="D489" s="15">
        <v>701012160922315</v>
      </c>
      <c r="F489">
        <v>70</v>
      </c>
      <c r="G489" t="s">
        <v>136</v>
      </c>
      <c r="H489">
        <v>7010</v>
      </c>
      <c r="I489" t="s">
        <v>137</v>
      </c>
      <c r="K489" t="s">
        <v>79</v>
      </c>
      <c r="M489">
        <v>12160922312</v>
      </c>
      <c r="N489" t="s">
        <v>160</v>
      </c>
      <c r="O489">
        <v>12160922312</v>
      </c>
      <c r="Q489" t="s">
        <v>262</v>
      </c>
      <c r="R489">
        <v>1</v>
      </c>
      <c r="S489">
        <v>36</v>
      </c>
      <c r="T489" t="s">
        <v>142</v>
      </c>
      <c r="AA489" t="s">
        <v>265</v>
      </c>
      <c r="AC489">
        <v>0</v>
      </c>
      <c r="AD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A489">
        <v>726988</v>
      </c>
      <c r="BB489">
        <v>3763379</v>
      </c>
    </row>
    <row r="490" spans="1:54" x14ac:dyDescent="0.35">
      <c r="A490">
        <v>110062</v>
      </c>
      <c r="B490">
        <v>429</v>
      </c>
      <c r="C490" t="s">
        <v>135</v>
      </c>
      <c r="D490" s="15">
        <v>701012160922314</v>
      </c>
      <c r="F490">
        <v>70</v>
      </c>
      <c r="G490" t="s">
        <v>136</v>
      </c>
      <c r="H490">
        <v>7010</v>
      </c>
      <c r="I490" t="s">
        <v>137</v>
      </c>
      <c r="K490" t="s">
        <v>138</v>
      </c>
      <c r="M490">
        <v>12160922314</v>
      </c>
      <c r="N490" t="s">
        <v>139</v>
      </c>
      <c r="O490">
        <v>12160922314</v>
      </c>
      <c r="P490" t="s">
        <v>140</v>
      </c>
      <c r="Q490" t="s">
        <v>141</v>
      </c>
      <c r="R490">
        <v>0</v>
      </c>
      <c r="T490" t="s">
        <v>146</v>
      </c>
      <c r="U490" t="s">
        <v>143</v>
      </c>
      <c r="V490" t="s">
        <v>143</v>
      </c>
      <c r="W490" t="s">
        <v>143</v>
      </c>
      <c r="X490" t="s">
        <v>143</v>
      </c>
      <c r="AA490" t="s">
        <v>144</v>
      </c>
      <c r="AB490" t="s">
        <v>174</v>
      </c>
      <c r="AC490">
        <v>0</v>
      </c>
      <c r="AD490">
        <v>200</v>
      </c>
      <c r="AE490" t="s">
        <v>147</v>
      </c>
      <c r="AF490" t="s">
        <v>148</v>
      </c>
      <c r="AG490" t="s">
        <v>149</v>
      </c>
      <c r="AH490" t="s">
        <v>150</v>
      </c>
      <c r="AJ490" t="s">
        <v>176</v>
      </c>
      <c r="AK490" t="s">
        <v>152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Z490" t="s">
        <v>177</v>
      </c>
      <c r="BA490">
        <v>726990.00000000105</v>
      </c>
      <c r="BB490">
        <v>3763380</v>
      </c>
    </row>
    <row r="491" spans="1:54" x14ac:dyDescent="0.35">
      <c r="A491">
        <v>110061</v>
      </c>
      <c r="B491">
        <v>428</v>
      </c>
      <c r="C491" t="s">
        <v>135</v>
      </c>
      <c r="D491" s="15">
        <v>701012160922314</v>
      </c>
      <c r="F491">
        <v>70</v>
      </c>
      <c r="G491" t="s">
        <v>136</v>
      </c>
      <c r="H491">
        <v>7010</v>
      </c>
      <c r="I491" t="s">
        <v>137</v>
      </c>
      <c r="K491" t="s">
        <v>79</v>
      </c>
      <c r="M491">
        <v>12160922313</v>
      </c>
      <c r="N491" t="s">
        <v>139</v>
      </c>
      <c r="O491">
        <v>12160922313</v>
      </c>
      <c r="Q491" t="s">
        <v>141</v>
      </c>
      <c r="R491">
        <v>0</v>
      </c>
      <c r="T491" t="s">
        <v>146</v>
      </c>
      <c r="AA491" t="s">
        <v>144</v>
      </c>
      <c r="AB491" t="s">
        <v>174</v>
      </c>
      <c r="AC491">
        <v>0</v>
      </c>
      <c r="AD491">
        <v>200</v>
      </c>
      <c r="AE491" t="s">
        <v>147</v>
      </c>
      <c r="AF491" t="s">
        <v>148</v>
      </c>
      <c r="AG491" t="s">
        <v>149</v>
      </c>
      <c r="AH491" t="s">
        <v>150</v>
      </c>
      <c r="AJ491" t="s">
        <v>176</v>
      </c>
      <c r="AK491" t="s">
        <v>152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Z491" t="s">
        <v>177</v>
      </c>
      <c r="BA491">
        <v>726988.99999999895</v>
      </c>
      <c r="BB491">
        <v>3763380</v>
      </c>
    </row>
    <row r="492" spans="1:54" x14ac:dyDescent="0.35">
      <c r="A492">
        <v>110060</v>
      </c>
      <c r="B492">
        <v>427</v>
      </c>
      <c r="C492" t="s">
        <v>135</v>
      </c>
      <c r="D492" s="15">
        <v>701012160922313</v>
      </c>
      <c r="F492">
        <v>70</v>
      </c>
      <c r="G492" t="s">
        <v>136</v>
      </c>
      <c r="H492">
        <v>7010</v>
      </c>
      <c r="I492" t="s">
        <v>137</v>
      </c>
      <c r="K492" t="s">
        <v>138</v>
      </c>
      <c r="M492">
        <v>12160922313</v>
      </c>
      <c r="N492" t="s">
        <v>160</v>
      </c>
      <c r="O492">
        <v>12160922313</v>
      </c>
      <c r="P492" t="s">
        <v>147</v>
      </c>
      <c r="Q492" t="s">
        <v>262</v>
      </c>
      <c r="R492">
        <v>0</v>
      </c>
      <c r="T492" t="s">
        <v>146</v>
      </c>
      <c r="U492" t="s">
        <v>263</v>
      </c>
      <c r="V492" t="s">
        <v>263</v>
      </c>
      <c r="W492" t="s">
        <v>263</v>
      </c>
      <c r="AA492" t="s">
        <v>264</v>
      </c>
      <c r="AB492" t="s">
        <v>174</v>
      </c>
      <c r="AC492">
        <v>0</v>
      </c>
      <c r="AD492">
        <v>200</v>
      </c>
      <c r="AE492" t="s">
        <v>147</v>
      </c>
      <c r="AF492" t="s">
        <v>148</v>
      </c>
      <c r="AG492" t="s">
        <v>149</v>
      </c>
      <c r="AH492" t="s">
        <v>150</v>
      </c>
      <c r="AJ492" t="s">
        <v>176</v>
      </c>
      <c r="AK492" t="s">
        <v>152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Z492" t="s">
        <v>177</v>
      </c>
      <c r="BA492">
        <v>726988.99999999895</v>
      </c>
      <c r="BB492">
        <v>3763380</v>
      </c>
    </row>
    <row r="493" spans="1:54" x14ac:dyDescent="0.35">
      <c r="A493">
        <v>110059</v>
      </c>
      <c r="B493">
        <v>426</v>
      </c>
      <c r="C493" t="s">
        <v>135</v>
      </c>
      <c r="D493" s="15">
        <v>701012160922313</v>
      </c>
      <c r="F493">
        <v>70</v>
      </c>
      <c r="G493" t="s">
        <v>136</v>
      </c>
      <c r="H493">
        <v>7010</v>
      </c>
      <c r="I493" t="s">
        <v>137</v>
      </c>
      <c r="K493" t="s">
        <v>79</v>
      </c>
      <c r="M493">
        <v>12160922312</v>
      </c>
      <c r="N493" t="s">
        <v>160</v>
      </c>
      <c r="O493">
        <v>12160922312</v>
      </c>
      <c r="Q493" t="s">
        <v>262</v>
      </c>
      <c r="R493">
        <v>1</v>
      </c>
      <c r="S493">
        <v>36</v>
      </c>
      <c r="T493" t="s">
        <v>142</v>
      </c>
      <c r="AA493" t="s">
        <v>265</v>
      </c>
      <c r="AC493">
        <v>0</v>
      </c>
      <c r="AD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A493">
        <v>726988</v>
      </c>
      <c r="BB493">
        <v>3763379</v>
      </c>
    </row>
    <row r="494" spans="1:54" x14ac:dyDescent="0.35">
      <c r="A494">
        <v>110058</v>
      </c>
      <c r="B494">
        <v>425</v>
      </c>
      <c r="C494" t="s">
        <v>135</v>
      </c>
      <c r="D494" s="15">
        <v>701012160922312</v>
      </c>
      <c r="F494">
        <v>70</v>
      </c>
      <c r="G494" t="s">
        <v>136</v>
      </c>
      <c r="H494">
        <v>7010</v>
      </c>
      <c r="I494" t="s">
        <v>137</v>
      </c>
      <c r="K494" t="s">
        <v>138</v>
      </c>
      <c r="M494">
        <v>12160922312</v>
      </c>
      <c r="N494" t="s">
        <v>160</v>
      </c>
      <c r="O494">
        <v>12160922312</v>
      </c>
      <c r="P494" t="s">
        <v>147</v>
      </c>
      <c r="Q494" t="s">
        <v>262</v>
      </c>
      <c r="R494">
        <v>1</v>
      </c>
      <c r="S494">
        <v>36</v>
      </c>
      <c r="T494" t="s">
        <v>142</v>
      </c>
      <c r="U494" t="s">
        <v>267</v>
      </c>
      <c r="V494" t="s">
        <v>267</v>
      </c>
      <c r="W494" t="s">
        <v>267</v>
      </c>
      <c r="AA494" t="s">
        <v>265</v>
      </c>
      <c r="AC494">
        <v>0</v>
      </c>
      <c r="AD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A494">
        <v>726988</v>
      </c>
      <c r="BB494">
        <v>3763379</v>
      </c>
    </row>
    <row r="495" spans="1:54" x14ac:dyDescent="0.35">
      <c r="A495">
        <v>110057</v>
      </c>
      <c r="B495">
        <v>424</v>
      </c>
      <c r="C495" t="s">
        <v>135</v>
      </c>
      <c r="D495" s="15">
        <v>701012160922312</v>
      </c>
      <c r="F495">
        <v>70</v>
      </c>
      <c r="G495" t="s">
        <v>136</v>
      </c>
      <c r="H495">
        <v>7010</v>
      </c>
      <c r="I495" t="s">
        <v>137</v>
      </c>
      <c r="K495" t="s">
        <v>79</v>
      </c>
      <c r="M495">
        <v>12160922279</v>
      </c>
      <c r="N495" t="s">
        <v>160</v>
      </c>
      <c r="O495">
        <v>12160922279</v>
      </c>
      <c r="Q495" t="s">
        <v>262</v>
      </c>
      <c r="R495">
        <v>1</v>
      </c>
      <c r="S495">
        <v>36</v>
      </c>
      <c r="T495" t="s">
        <v>142</v>
      </c>
      <c r="AA495" t="s">
        <v>265</v>
      </c>
      <c r="AC495">
        <v>0</v>
      </c>
      <c r="AD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A495">
        <v>726968</v>
      </c>
      <c r="BB495">
        <v>3763337</v>
      </c>
    </row>
    <row r="496" spans="1:54" x14ac:dyDescent="0.35">
      <c r="A496">
        <v>110056</v>
      </c>
      <c r="B496">
        <v>423</v>
      </c>
      <c r="C496" t="s">
        <v>135</v>
      </c>
      <c r="D496" s="15">
        <v>701012160922303</v>
      </c>
      <c r="F496">
        <v>70</v>
      </c>
      <c r="G496" t="s">
        <v>136</v>
      </c>
      <c r="H496">
        <v>7010</v>
      </c>
      <c r="I496" t="s">
        <v>137</v>
      </c>
      <c r="K496" t="s">
        <v>138</v>
      </c>
      <c r="M496">
        <v>12160922303</v>
      </c>
      <c r="N496" t="s">
        <v>139</v>
      </c>
      <c r="O496">
        <v>12160922303</v>
      </c>
      <c r="P496" t="s">
        <v>140</v>
      </c>
      <c r="Q496" t="s">
        <v>141</v>
      </c>
      <c r="R496">
        <v>0</v>
      </c>
      <c r="T496" t="s">
        <v>146</v>
      </c>
      <c r="U496" t="s">
        <v>143</v>
      </c>
      <c r="V496" t="s">
        <v>143</v>
      </c>
      <c r="W496" t="s">
        <v>143</v>
      </c>
      <c r="X496" t="s">
        <v>143</v>
      </c>
      <c r="AA496" t="s">
        <v>144</v>
      </c>
      <c r="AB496" t="s">
        <v>179</v>
      </c>
      <c r="AC496">
        <v>0</v>
      </c>
      <c r="AD496">
        <v>200</v>
      </c>
      <c r="AE496" t="s">
        <v>147</v>
      </c>
      <c r="AF496" t="s">
        <v>148</v>
      </c>
      <c r="AG496" t="s">
        <v>149</v>
      </c>
      <c r="AH496" t="s">
        <v>156</v>
      </c>
      <c r="AJ496" t="s">
        <v>166</v>
      </c>
      <c r="AK496" t="s">
        <v>152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Z496" t="s">
        <v>180</v>
      </c>
      <c r="BA496">
        <v>727087.00000000105</v>
      </c>
      <c r="BB496">
        <v>3763315</v>
      </c>
    </row>
    <row r="497" spans="1:54" x14ac:dyDescent="0.35">
      <c r="A497">
        <v>110055</v>
      </c>
      <c r="B497">
        <v>422</v>
      </c>
      <c r="C497" t="s">
        <v>135</v>
      </c>
      <c r="D497" s="15">
        <v>701012160922303</v>
      </c>
      <c r="F497">
        <v>70</v>
      </c>
      <c r="G497" t="s">
        <v>136</v>
      </c>
      <c r="H497">
        <v>7010</v>
      </c>
      <c r="I497" t="s">
        <v>137</v>
      </c>
      <c r="K497" t="s">
        <v>79</v>
      </c>
      <c r="M497">
        <v>12160922302</v>
      </c>
      <c r="N497" t="s">
        <v>139</v>
      </c>
      <c r="O497">
        <v>12160922302</v>
      </c>
      <c r="Q497" t="s">
        <v>141</v>
      </c>
      <c r="R497">
        <v>0</v>
      </c>
      <c r="T497" t="s">
        <v>146</v>
      </c>
      <c r="AA497" t="s">
        <v>144</v>
      </c>
      <c r="AB497" t="s">
        <v>179</v>
      </c>
      <c r="AC497">
        <v>0</v>
      </c>
      <c r="AD497">
        <v>200</v>
      </c>
      <c r="AE497" t="s">
        <v>147</v>
      </c>
      <c r="AF497" t="s">
        <v>148</v>
      </c>
      <c r="AG497" t="s">
        <v>149</v>
      </c>
      <c r="AH497" t="s">
        <v>156</v>
      </c>
      <c r="AJ497" t="s">
        <v>166</v>
      </c>
      <c r="AK497" t="s">
        <v>152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Z497" t="s">
        <v>180</v>
      </c>
      <c r="BA497">
        <v>727087.00000000105</v>
      </c>
      <c r="BB497">
        <v>3763317</v>
      </c>
    </row>
    <row r="498" spans="1:54" x14ac:dyDescent="0.35">
      <c r="A498">
        <v>110054</v>
      </c>
      <c r="B498">
        <v>421</v>
      </c>
      <c r="C498" t="s">
        <v>135</v>
      </c>
      <c r="D498" s="15">
        <v>701012160922302</v>
      </c>
      <c r="F498">
        <v>70</v>
      </c>
      <c r="G498" t="s">
        <v>136</v>
      </c>
      <c r="H498">
        <v>7010</v>
      </c>
      <c r="I498" t="s">
        <v>137</v>
      </c>
      <c r="K498" t="s">
        <v>138</v>
      </c>
      <c r="M498">
        <v>12160922302</v>
      </c>
      <c r="N498" t="s">
        <v>160</v>
      </c>
      <c r="O498">
        <v>12160922302</v>
      </c>
      <c r="P498" t="s">
        <v>147</v>
      </c>
      <c r="Q498" t="s">
        <v>262</v>
      </c>
      <c r="R498">
        <v>0</v>
      </c>
      <c r="T498" t="s">
        <v>146</v>
      </c>
      <c r="U498" t="s">
        <v>263</v>
      </c>
      <c r="V498" t="s">
        <v>263</v>
      </c>
      <c r="W498" t="s">
        <v>263</v>
      </c>
      <c r="AA498" t="s">
        <v>264</v>
      </c>
      <c r="AB498" t="s">
        <v>179</v>
      </c>
      <c r="AC498">
        <v>0</v>
      </c>
      <c r="AD498">
        <v>200</v>
      </c>
      <c r="AE498" t="s">
        <v>147</v>
      </c>
      <c r="AF498" t="s">
        <v>148</v>
      </c>
      <c r="AG498" t="s">
        <v>149</v>
      </c>
      <c r="AH498" t="s">
        <v>156</v>
      </c>
      <c r="AJ498" t="s">
        <v>166</v>
      </c>
      <c r="AK498" t="s">
        <v>152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Z498" t="s">
        <v>180</v>
      </c>
      <c r="BA498">
        <v>727087.00000000105</v>
      </c>
      <c r="BB498">
        <v>3763317</v>
      </c>
    </row>
    <row r="499" spans="1:54" x14ac:dyDescent="0.35">
      <c r="A499">
        <v>110053</v>
      </c>
      <c r="B499">
        <v>420</v>
      </c>
      <c r="C499" t="s">
        <v>135</v>
      </c>
      <c r="D499" s="15">
        <v>701012160922302</v>
      </c>
      <c r="F499">
        <v>70</v>
      </c>
      <c r="G499" t="s">
        <v>136</v>
      </c>
      <c r="H499">
        <v>7010</v>
      </c>
      <c r="I499" t="s">
        <v>137</v>
      </c>
      <c r="K499" t="s">
        <v>79</v>
      </c>
      <c r="M499">
        <v>12160922301</v>
      </c>
      <c r="N499" t="s">
        <v>160</v>
      </c>
      <c r="O499">
        <v>12160922301</v>
      </c>
      <c r="Q499" t="s">
        <v>262</v>
      </c>
      <c r="R499">
        <v>1</v>
      </c>
      <c r="S499">
        <v>36</v>
      </c>
      <c r="T499" t="s">
        <v>142</v>
      </c>
      <c r="AA499" t="s">
        <v>265</v>
      </c>
      <c r="AC499">
        <v>0</v>
      </c>
      <c r="AD499">
        <v>0</v>
      </c>
      <c r="AN499" t="s">
        <v>266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A499">
        <v>727086</v>
      </c>
      <c r="BB499">
        <v>3763315</v>
      </c>
    </row>
    <row r="500" spans="1:54" x14ac:dyDescent="0.35">
      <c r="A500">
        <v>110052</v>
      </c>
      <c r="B500">
        <v>419</v>
      </c>
      <c r="C500" t="s">
        <v>135</v>
      </c>
      <c r="D500" s="15">
        <v>701012160922301</v>
      </c>
      <c r="F500">
        <v>70</v>
      </c>
      <c r="G500" t="s">
        <v>136</v>
      </c>
      <c r="H500">
        <v>7010</v>
      </c>
      <c r="I500" t="s">
        <v>137</v>
      </c>
      <c r="K500" t="s">
        <v>138</v>
      </c>
      <c r="M500">
        <v>12160922301</v>
      </c>
      <c r="N500" t="s">
        <v>160</v>
      </c>
      <c r="O500">
        <v>12160922301</v>
      </c>
      <c r="P500" t="s">
        <v>147</v>
      </c>
      <c r="Q500" t="s">
        <v>262</v>
      </c>
      <c r="R500">
        <v>1</v>
      </c>
      <c r="S500">
        <v>36</v>
      </c>
      <c r="T500" t="s">
        <v>142</v>
      </c>
      <c r="U500" t="s">
        <v>263</v>
      </c>
      <c r="V500" t="s">
        <v>263</v>
      </c>
      <c r="W500" t="s">
        <v>263</v>
      </c>
      <c r="AA500" t="s">
        <v>265</v>
      </c>
      <c r="AC500">
        <v>0</v>
      </c>
      <c r="AD500">
        <v>0</v>
      </c>
      <c r="AN500" t="s">
        <v>266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A500">
        <v>727086</v>
      </c>
      <c r="BB500">
        <v>3763315</v>
      </c>
    </row>
    <row r="501" spans="1:54" x14ac:dyDescent="0.35">
      <c r="A501">
        <v>110051</v>
      </c>
      <c r="B501">
        <v>418</v>
      </c>
      <c r="C501" t="s">
        <v>135</v>
      </c>
      <c r="D501" s="15">
        <v>701012160922301</v>
      </c>
      <c r="E501">
        <v>0</v>
      </c>
      <c r="F501">
        <v>70</v>
      </c>
      <c r="G501" t="s">
        <v>136</v>
      </c>
      <c r="H501">
        <v>7010</v>
      </c>
      <c r="I501" t="s">
        <v>137</v>
      </c>
      <c r="K501" t="s">
        <v>79</v>
      </c>
      <c r="M501">
        <v>12160922288</v>
      </c>
      <c r="N501" t="s">
        <v>160</v>
      </c>
      <c r="O501">
        <v>12160922288</v>
      </c>
      <c r="Q501" t="s">
        <v>262</v>
      </c>
      <c r="R501">
        <v>1</v>
      </c>
      <c r="S501">
        <v>36</v>
      </c>
      <c r="T501" t="s">
        <v>142</v>
      </c>
      <c r="AA501" t="s">
        <v>265</v>
      </c>
      <c r="AC501">
        <v>0</v>
      </c>
      <c r="AD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A501">
        <v>727074.00000000105</v>
      </c>
      <c r="BB501">
        <v>3763287</v>
      </c>
    </row>
    <row r="502" spans="1:54" x14ac:dyDescent="0.35">
      <c r="A502">
        <v>110050</v>
      </c>
      <c r="B502">
        <v>417</v>
      </c>
      <c r="C502" t="s">
        <v>135</v>
      </c>
      <c r="D502" s="15">
        <v>701012160922293</v>
      </c>
      <c r="F502">
        <v>70</v>
      </c>
      <c r="G502" t="s">
        <v>136</v>
      </c>
      <c r="H502">
        <v>7010</v>
      </c>
      <c r="I502" t="s">
        <v>137</v>
      </c>
      <c r="K502" t="s">
        <v>138</v>
      </c>
      <c r="M502">
        <v>12160922293</v>
      </c>
      <c r="N502" t="s">
        <v>139</v>
      </c>
      <c r="O502">
        <v>12160922293</v>
      </c>
      <c r="P502" t="s">
        <v>140</v>
      </c>
      <c r="Q502" t="s">
        <v>141</v>
      </c>
      <c r="R502">
        <v>0</v>
      </c>
      <c r="T502" t="s">
        <v>146</v>
      </c>
      <c r="U502" t="s">
        <v>188</v>
      </c>
      <c r="V502" t="s">
        <v>188</v>
      </c>
      <c r="W502" t="s">
        <v>188</v>
      </c>
      <c r="X502" t="s">
        <v>188</v>
      </c>
      <c r="AA502" t="s">
        <v>144</v>
      </c>
      <c r="AB502" t="s">
        <v>272</v>
      </c>
      <c r="AC502">
        <v>0</v>
      </c>
      <c r="AD502">
        <v>100</v>
      </c>
      <c r="AE502" t="s">
        <v>147</v>
      </c>
      <c r="AF502" t="s">
        <v>273</v>
      </c>
      <c r="AG502" t="s">
        <v>149</v>
      </c>
      <c r="AH502" t="s">
        <v>234</v>
      </c>
      <c r="AJ502" t="s">
        <v>162</v>
      </c>
      <c r="AK502" t="s">
        <v>152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Z502" t="s">
        <v>274</v>
      </c>
      <c r="BA502">
        <v>727091</v>
      </c>
      <c r="BB502">
        <v>3763285</v>
      </c>
    </row>
    <row r="503" spans="1:54" x14ac:dyDescent="0.35">
      <c r="A503">
        <v>110049</v>
      </c>
      <c r="B503">
        <v>416</v>
      </c>
      <c r="C503" t="s">
        <v>135</v>
      </c>
      <c r="D503" s="15">
        <v>701012160922293</v>
      </c>
      <c r="F503">
        <v>70</v>
      </c>
      <c r="G503" t="s">
        <v>136</v>
      </c>
      <c r="H503">
        <v>7010</v>
      </c>
      <c r="I503" t="s">
        <v>137</v>
      </c>
      <c r="K503" t="s">
        <v>79</v>
      </c>
      <c r="M503">
        <v>12160922292</v>
      </c>
      <c r="N503" t="s">
        <v>139</v>
      </c>
      <c r="O503">
        <v>12160922292</v>
      </c>
      <c r="Q503" t="s">
        <v>141</v>
      </c>
      <c r="R503">
        <v>0</v>
      </c>
      <c r="T503" t="s">
        <v>146</v>
      </c>
      <c r="AA503" t="s">
        <v>144</v>
      </c>
      <c r="AB503" t="s">
        <v>272</v>
      </c>
      <c r="AC503">
        <v>0</v>
      </c>
      <c r="AD503">
        <v>100</v>
      </c>
      <c r="AE503" t="s">
        <v>147</v>
      </c>
      <c r="AF503" t="s">
        <v>273</v>
      </c>
      <c r="AG503" t="s">
        <v>149</v>
      </c>
      <c r="AH503" t="s">
        <v>234</v>
      </c>
      <c r="AJ503" t="s">
        <v>162</v>
      </c>
      <c r="AK503" t="s">
        <v>152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Z503" t="s">
        <v>274</v>
      </c>
      <c r="BA503">
        <v>727090.00000000105</v>
      </c>
      <c r="BB503">
        <v>3763285</v>
      </c>
    </row>
    <row r="504" spans="1:54" x14ac:dyDescent="0.35">
      <c r="A504">
        <v>110048</v>
      </c>
      <c r="B504">
        <v>415</v>
      </c>
      <c r="C504" t="s">
        <v>135</v>
      </c>
      <c r="D504" s="15">
        <v>701012160922292</v>
      </c>
      <c r="F504">
        <v>70</v>
      </c>
      <c r="G504" t="s">
        <v>136</v>
      </c>
      <c r="H504">
        <v>7010</v>
      </c>
      <c r="I504" t="s">
        <v>137</v>
      </c>
      <c r="K504" t="s">
        <v>138</v>
      </c>
      <c r="M504">
        <v>12160922292</v>
      </c>
      <c r="N504" t="s">
        <v>160</v>
      </c>
      <c r="O504">
        <v>12160922292</v>
      </c>
      <c r="P504" t="s">
        <v>147</v>
      </c>
      <c r="Q504" t="s">
        <v>262</v>
      </c>
      <c r="R504">
        <v>0</v>
      </c>
      <c r="T504" t="s">
        <v>146</v>
      </c>
      <c r="U504" t="s">
        <v>263</v>
      </c>
      <c r="V504" t="s">
        <v>263</v>
      </c>
      <c r="W504" t="s">
        <v>263</v>
      </c>
      <c r="AA504" t="s">
        <v>264</v>
      </c>
      <c r="AB504" t="s">
        <v>272</v>
      </c>
      <c r="AC504">
        <v>0</v>
      </c>
      <c r="AD504">
        <v>100</v>
      </c>
      <c r="AE504" t="s">
        <v>147</v>
      </c>
      <c r="AF504" t="s">
        <v>273</v>
      </c>
      <c r="AG504" t="s">
        <v>149</v>
      </c>
      <c r="AH504" t="s">
        <v>234</v>
      </c>
      <c r="AJ504" t="s">
        <v>162</v>
      </c>
      <c r="AK504" t="s">
        <v>152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Z504" t="s">
        <v>274</v>
      </c>
      <c r="BA504">
        <v>727090.00000000105</v>
      </c>
      <c r="BB504">
        <v>3763285</v>
      </c>
    </row>
    <row r="505" spans="1:54" x14ac:dyDescent="0.35">
      <c r="A505">
        <v>110047</v>
      </c>
      <c r="B505">
        <v>414</v>
      </c>
      <c r="C505" t="s">
        <v>135</v>
      </c>
      <c r="D505" s="15">
        <v>701012160922292</v>
      </c>
      <c r="F505">
        <v>70</v>
      </c>
      <c r="G505" t="s">
        <v>136</v>
      </c>
      <c r="H505">
        <v>7010</v>
      </c>
      <c r="I505" t="s">
        <v>137</v>
      </c>
      <c r="K505" t="s">
        <v>79</v>
      </c>
      <c r="M505">
        <v>12160922289</v>
      </c>
      <c r="N505" t="s">
        <v>160</v>
      </c>
      <c r="O505">
        <v>12160922289</v>
      </c>
      <c r="Q505" t="s">
        <v>262</v>
      </c>
      <c r="R505">
        <v>1</v>
      </c>
      <c r="S505">
        <v>36</v>
      </c>
      <c r="T505" t="s">
        <v>142</v>
      </c>
      <c r="AA505" t="s">
        <v>265</v>
      </c>
      <c r="AC505">
        <v>0</v>
      </c>
      <c r="AD505">
        <v>0</v>
      </c>
      <c r="AN505" t="s">
        <v>266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A505">
        <v>727086</v>
      </c>
      <c r="BB505">
        <v>3763284</v>
      </c>
    </row>
    <row r="506" spans="1:54" x14ac:dyDescent="0.35">
      <c r="A506">
        <v>110046</v>
      </c>
      <c r="B506">
        <v>413</v>
      </c>
      <c r="C506" t="s">
        <v>135</v>
      </c>
      <c r="D506" s="15">
        <v>701012160922291</v>
      </c>
      <c r="F506">
        <v>70</v>
      </c>
      <c r="G506" t="s">
        <v>136</v>
      </c>
      <c r="H506">
        <v>7010</v>
      </c>
      <c r="I506" t="s">
        <v>137</v>
      </c>
      <c r="K506" t="s">
        <v>138</v>
      </c>
      <c r="M506">
        <v>12160922291</v>
      </c>
      <c r="N506" t="s">
        <v>139</v>
      </c>
      <c r="O506">
        <v>12160922291</v>
      </c>
      <c r="P506" t="s">
        <v>140</v>
      </c>
      <c r="Q506" t="s">
        <v>141</v>
      </c>
      <c r="R506">
        <v>0</v>
      </c>
      <c r="T506" t="s">
        <v>146</v>
      </c>
      <c r="U506" t="s">
        <v>154</v>
      </c>
      <c r="V506" t="s">
        <v>154</v>
      </c>
      <c r="W506" t="s">
        <v>154</v>
      </c>
      <c r="X506" t="s">
        <v>154</v>
      </c>
      <c r="AA506" t="s">
        <v>144</v>
      </c>
      <c r="AB506" t="s">
        <v>181</v>
      </c>
      <c r="AC506">
        <v>0</v>
      </c>
      <c r="AD506">
        <v>100</v>
      </c>
      <c r="AE506" t="s">
        <v>147</v>
      </c>
      <c r="AF506" t="s">
        <v>148</v>
      </c>
      <c r="AG506" t="s">
        <v>149</v>
      </c>
      <c r="AH506" t="s">
        <v>182</v>
      </c>
      <c r="AJ506" t="s">
        <v>162</v>
      </c>
      <c r="AK506" t="s">
        <v>152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Z506" t="s">
        <v>183</v>
      </c>
      <c r="BA506">
        <v>727089.00000000198</v>
      </c>
      <c r="BB506">
        <v>3763285</v>
      </c>
    </row>
    <row r="507" spans="1:54" x14ac:dyDescent="0.35">
      <c r="A507">
        <v>110045</v>
      </c>
      <c r="B507">
        <v>412</v>
      </c>
      <c r="C507" t="s">
        <v>135</v>
      </c>
      <c r="D507" s="15">
        <v>701012160922291</v>
      </c>
      <c r="F507">
        <v>70</v>
      </c>
      <c r="G507" t="s">
        <v>136</v>
      </c>
      <c r="H507">
        <v>7010</v>
      </c>
      <c r="I507" t="s">
        <v>137</v>
      </c>
      <c r="K507" t="s">
        <v>79</v>
      </c>
      <c r="M507">
        <v>12160922290</v>
      </c>
      <c r="N507" t="s">
        <v>139</v>
      </c>
      <c r="O507">
        <v>12160922290</v>
      </c>
      <c r="Q507" t="s">
        <v>141</v>
      </c>
      <c r="R507">
        <v>0</v>
      </c>
      <c r="T507" t="s">
        <v>146</v>
      </c>
      <c r="AA507" t="s">
        <v>144</v>
      </c>
      <c r="AB507" t="s">
        <v>181</v>
      </c>
      <c r="AC507">
        <v>0</v>
      </c>
      <c r="AD507">
        <v>100</v>
      </c>
      <c r="AE507" t="s">
        <v>147</v>
      </c>
      <c r="AF507" t="s">
        <v>148</v>
      </c>
      <c r="AG507" t="s">
        <v>149</v>
      </c>
      <c r="AH507" t="s">
        <v>182</v>
      </c>
      <c r="AJ507" t="s">
        <v>162</v>
      </c>
      <c r="AK507" t="s">
        <v>152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Z507" t="s">
        <v>183</v>
      </c>
      <c r="BA507">
        <v>727088</v>
      </c>
      <c r="BB507">
        <v>3763285</v>
      </c>
    </row>
    <row r="508" spans="1:54" x14ac:dyDescent="0.35">
      <c r="A508">
        <v>110044</v>
      </c>
      <c r="B508">
        <v>411</v>
      </c>
      <c r="C508" t="s">
        <v>135</v>
      </c>
      <c r="D508" s="15">
        <v>701012160922290</v>
      </c>
      <c r="F508">
        <v>70</v>
      </c>
      <c r="G508" t="s">
        <v>136</v>
      </c>
      <c r="H508">
        <v>7010</v>
      </c>
      <c r="I508" t="s">
        <v>137</v>
      </c>
      <c r="K508" t="s">
        <v>138</v>
      </c>
      <c r="M508">
        <v>12160922290</v>
      </c>
      <c r="N508" t="s">
        <v>160</v>
      </c>
      <c r="O508">
        <v>12160922290</v>
      </c>
      <c r="P508" t="s">
        <v>147</v>
      </c>
      <c r="Q508" t="s">
        <v>262</v>
      </c>
      <c r="R508">
        <v>0</v>
      </c>
      <c r="T508" t="s">
        <v>146</v>
      </c>
      <c r="U508" t="s">
        <v>263</v>
      </c>
      <c r="V508" t="s">
        <v>263</v>
      </c>
      <c r="W508" t="s">
        <v>263</v>
      </c>
      <c r="AA508" t="s">
        <v>264</v>
      </c>
      <c r="AB508" t="s">
        <v>181</v>
      </c>
      <c r="AC508">
        <v>0</v>
      </c>
      <c r="AD508">
        <v>100</v>
      </c>
      <c r="AE508" t="s">
        <v>147</v>
      </c>
      <c r="AF508" t="s">
        <v>148</v>
      </c>
      <c r="AG508" t="s">
        <v>149</v>
      </c>
      <c r="AH508" t="s">
        <v>182</v>
      </c>
      <c r="AJ508" t="s">
        <v>162</v>
      </c>
      <c r="AK508" t="s">
        <v>152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Z508" t="s">
        <v>183</v>
      </c>
      <c r="BA508">
        <v>727088</v>
      </c>
      <c r="BB508">
        <v>3763285</v>
      </c>
    </row>
    <row r="509" spans="1:54" x14ac:dyDescent="0.35">
      <c r="A509">
        <v>110043</v>
      </c>
      <c r="B509">
        <v>410</v>
      </c>
      <c r="C509" t="s">
        <v>135</v>
      </c>
      <c r="D509" s="15">
        <v>701012160922290</v>
      </c>
      <c r="F509">
        <v>70</v>
      </c>
      <c r="G509" t="s">
        <v>136</v>
      </c>
      <c r="H509">
        <v>7010</v>
      </c>
      <c r="I509" t="s">
        <v>137</v>
      </c>
      <c r="K509" t="s">
        <v>79</v>
      </c>
      <c r="M509">
        <v>12160922289</v>
      </c>
      <c r="N509" t="s">
        <v>160</v>
      </c>
      <c r="O509">
        <v>12160922289</v>
      </c>
      <c r="Q509" t="s">
        <v>262</v>
      </c>
      <c r="R509">
        <v>1</v>
      </c>
      <c r="S509">
        <v>36</v>
      </c>
      <c r="T509" t="s">
        <v>142</v>
      </c>
      <c r="AA509" t="s">
        <v>265</v>
      </c>
      <c r="AC509">
        <v>0</v>
      </c>
      <c r="AD509">
        <v>0</v>
      </c>
      <c r="AN509" t="s">
        <v>266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A509">
        <v>727086</v>
      </c>
      <c r="BB509">
        <v>3763284</v>
      </c>
    </row>
    <row r="510" spans="1:54" x14ac:dyDescent="0.35">
      <c r="A510">
        <v>110042</v>
      </c>
      <c r="B510">
        <v>409</v>
      </c>
      <c r="C510" t="s">
        <v>135</v>
      </c>
      <c r="D510" s="15">
        <v>701012160922289</v>
      </c>
      <c r="F510">
        <v>70</v>
      </c>
      <c r="G510" t="s">
        <v>136</v>
      </c>
      <c r="H510">
        <v>7010</v>
      </c>
      <c r="I510" t="s">
        <v>137</v>
      </c>
      <c r="K510" t="s">
        <v>138</v>
      </c>
      <c r="M510">
        <v>12160922289</v>
      </c>
      <c r="N510" t="s">
        <v>160</v>
      </c>
      <c r="O510">
        <v>12160922289</v>
      </c>
      <c r="P510" t="s">
        <v>147</v>
      </c>
      <c r="Q510" t="s">
        <v>262</v>
      </c>
      <c r="R510">
        <v>1</v>
      </c>
      <c r="S510">
        <v>36</v>
      </c>
      <c r="T510" t="s">
        <v>142</v>
      </c>
      <c r="U510" t="s">
        <v>267</v>
      </c>
      <c r="V510" t="s">
        <v>267</v>
      </c>
      <c r="W510" t="s">
        <v>267</v>
      </c>
      <c r="AA510" t="s">
        <v>265</v>
      </c>
      <c r="AC510">
        <v>0</v>
      </c>
      <c r="AD510">
        <v>0</v>
      </c>
      <c r="AN510" t="s">
        <v>266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A510">
        <v>727086</v>
      </c>
      <c r="BB510">
        <v>3763284</v>
      </c>
    </row>
    <row r="511" spans="1:54" x14ac:dyDescent="0.35">
      <c r="A511">
        <v>110041</v>
      </c>
      <c r="B511">
        <v>408</v>
      </c>
      <c r="C511" t="s">
        <v>135</v>
      </c>
      <c r="D511" s="15">
        <v>701012160922289</v>
      </c>
      <c r="E511">
        <v>0</v>
      </c>
      <c r="F511">
        <v>70</v>
      </c>
      <c r="G511" t="s">
        <v>136</v>
      </c>
      <c r="H511">
        <v>7010</v>
      </c>
      <c r="I511" t="s">
        <v>137</v>
      </c>
      <c r="K511" t="s">
        <v>79</v>
      </c>
      <c r="M511">
        <v>12160922288</v>
      </c>
      <c r="N511" t="s">
        <v>160</v>
      </c>
      <c r="O511">
        <v>12160922288</v>
      </c>
      <c r="Q511" t="s">
        <v>262</v>
      </c>
      <c r="R511">
        <v>1</v>
      </c>
      <c r="S511">
        <v>36</v>
      </c>
      <c r="T511" t="s">
        <v>142</v>
      </c>
      <c r="AA511" t="s">
        <v>265</v>
      </c>
      <c r="AC511">
        <v>0</v>
      </c>
      <c r="AD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A511">
        <v>727074.00000000105</v>
      </c>
      <c r="BB511">
        <v>3763287</v>
      </c>
    </row>
    <row r="512" spans="1:54" x14ac:dyDescent="0.35">
      <c r="A512">
        <v>110040</v>
      </c>
      <c r="B512">
        <v>407</v>
      </c>
      <c r="C512" t="s">
        <v>135</v>
      </c>
      <c r="D512" s="15">
        <v>701012160922288</v>
      </c>
      <c r="F512">
        <v>70</v>
      </c>
      <c r="G512" t="s">
        <v>136</v>
      </c>
      <c r="H512">
        <v>7010</v>
      </c>
      <c r="I512" t="s">
        <v>137</v>
      </c>
      <c r="K512" t="s">
        <v>138</v>
      </c>
      <c r="M512">
        <v>12160922288</v>
      </c>
      <c r="N512" t="s">
        <v>160</v>
      </c>
      <c r="O512">
        <v>12160922288</v>
      </c>
      <c r="P512" t="s">
        <v>147</v>
      </c>
      <c r="Q512" t="s">
        <v>262</v>
      </c>
      <c r="R512">
        <v>1</v>
      </c>
      <c r="S512">
        <v>36</v>
      </c>
      <c r="T512" t="s">
        <v>142</v>
      </c>
      <c r="U512" t="s">
        <v>267</v>
      </c>
      <c r="V512" t="s">
        <v>267</v>
      </c>
      <c r="W512" t="s">
        <v>267</v>
      </c>
      <c r="AA512" t="s">
        <v>265</v>
      </c>
      <c r="AC512">
        <v>0</v>
      </c>
      <c r="AD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A512">
        <v>727074.00000000105</v>
      </c>
      <c r="BB512">
        <v>3763287</v>
      </c>
    </row>
    <row r="513" spans="1:54" x14ac:dyDescent="0.35">
      <c r="A513">
        <v>110039</v>
      </c>
      <c r="B513">
        <v>406</v>
      </c>
      <c r="C513" t="s">
        <v>135</v>
      </c>
      <c r="D513" s="15">
        <v>701012160922288</v>
      </c>
      <c r="E513">
        <v>0</v>
      </c>
      <c r="F513">
        <v>70</v>
      </c>
      <c r="G513" t="s">
        <v>136</v>
      </c>
      <c r="H513">
        <v>7010</v>
      </c>
      <c r="I513" t="s">
        <v>137</v>
      </c>
      <c r="M513">
        <v>12160922287</v>
      </c>
      <c r="N513" t="s">
        <v>160</v>
      </c>
      <c r="O513">
        <v>12160922287</v>
      </c>
      <c r="Q513" t="s">
        <v>262</v>
      </c>
      <c r="R513">
        <v>1</v>
      </c>
      <c r="S513">
        <v>36</v>
      </c>
      <c r="T513" t="s">
        <v>142</v>
      </c>
      <c r="AA513" t="s">
        <v>265</v>
      </c>
      <c r="AC513">
        <v>0</v>
      </c>
      <c r="AD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A513">
        <v>727056.00000000105</v>
      </c>
      <c r="BB513">
        <v>3763292</v>
      </c>
    </row>
    <row r="514" spans="1:54" x14ac:dyDescent="0.35">
      <c r="A514">
        <v>110038</v>
      </c>
      <c r="B514">
        <v>405</v>
      </c>
      <c r="C514" t="s">
        <v>135</v>
      </c>
      <c r="D514" s="15">
        <v>701012160922288</v>
      </c>
      <c r="F514">
        <v>70</v>
      </c>
      <c r="G514" t="s">
        <v>136</v>
      </c>
      <c r="H514">
        <v>7010</v>
      </c>
      <c r="I514" t="s">
        <v>137</v>
      </c>
      <c r="K514" t="s">
        <v>79</v>
      </c>
      <c r="M514">
        <v>12160922281</v>
      </c>
      <c r="N514" t="s">
        <v>160</v>
      </c>
      <c r="O514">
        <v>12160922281</v>
      </c>
      <c r="Q514" t="s">
        <v>262</v>
      </c>
      <c r="R514">
        <v>1</v>
      </c>
      <c r="S514">
        <v>36</v>
      </c>
      <c r="T514" t="s">
        <v>142</v>
      </c>
      <c r="AA514" t="s">
        <v>265</v>
      </c>
      <c r="AC514">
        <v>0</v>
      </c>
      <c r="AD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A514">
        <v>727022</v>
      </c>
      <c r="BB514">
        <v>3763313</v>
      </c>
    </row>
    <row r="515" spans="1:54" x14ac:dyDescent="0.35">
      <c r="A515">
        <v>110037</v>
      </c>
      <c r="B515">
        <v>404</v>
      </c>
      <c r="C515" t="s">
        <v>135</v>
      </c>
      <c r="D515" s="15">
        <v>701012160922284</v>
      </c>
      <c r="F515">
        <v>70</v>
      </c>
      <c r="G515" t="s">
        <v>136</v>
      </c>
      <c r="H515">
        <v>7010</v>
      </c>
      <c r="I515" t="s">
        <v>137</v>
      </c>
      <c r="K515" t="s">
        <v>138</v>
      </c>
      <c r="M515">
        <v>12160922284</v>
      </c>
      <c r="N515" t="s">
        <v>139</v>
      </c>
      <c r="O515">
        <v>12160922284</v>
      </c>
      <c r="P515" t="s">
        <v>140</v>
      </c>
      <c r="Q515" t="s">
        <v>141</v>
      </c>
      <c r="R515">
        <v>0</v>
      </c>
      <c r="T515" t="s">
        <v>146</v>
      </c>
      <c r="U515" t="s">
        <v>188</v>
      </c>
      <c r="V515" t="s">
        <v>188</v>
      </c>
      <c r="W515" t="s">
        <v>188</v>
      </c>
      <c r="X515" t="s">
        <v>188</v>
      </c>
      <c r="AA515" t="s">
        <v>144</v>
      </c>
      <c r="AB515" t="s">
        <v>184</v>
      </c>
      <c r="AC515">
        <v>0</v>
      </c>
      <c r="AD515">
        <v>100</v>
      </c>
      <c r="AE515" t="s">
        <v>147</v>
      </c>
      <c r="AF515" t="s">
        <v>148</v>
      </c>
      <c r="AG515" t="s">
        <v>149</v>
      </c>
      <c r="AH515" t="s">
        <v>171</v>
      </c>
      <c r="AJ515" t="s">
        <v>185</v>
      </c>
      <c r="AK515" t="s">
        <v>186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Z515" t="s">
        <v>187</v>
      </c>
      <c r="BA515">
        <v>727037.200000001</v>
      </c>
      <c r="BB515">
        <v>3763349.4</v>
      </c>
    </row>
    <row r="516" spans="1:54" x14ac:dyDescent="0.35">
      <c r="A516">
        <v>110036</v>
      </c>
      <c r="B516">
        <v>403</v>
      </c>
      <c r="C516" t="s">
        <v>135</v>
      </c>
      <c r="D516" s="15">
        <v>701012160922284</v>
      </c>
      <c r="F516">
        <v>70</v>
      </c>
      <c r="G516" t="s">
        <v>136</v>
      </c>
      <c r="H516">
        <v>7010</v>
      </c>
      <c r="I516" t="s">
        <v>137</v>
      </c>
      <c r="K516" t="s">
        <v>79</v>
      </c>
      <c r="M516">
        <v>12160922283</v>
      </c>
      <c r="N516" t="s">
        <v>139</v>
      </c>
      <c r="O516">
        <v>12160922283</v>
      </c>
      <c r="Q516" t="s">
        <v>141</v>
      </c>
      <c r="R516">
        <v>0</v>
      </c>
      <c r="T516" t="s">
        <v>146</v>
      </c>
      <c r="AA516" t="s">
        <v>144</v>
      </c>
      <c r="AB516" t="s">
        <v>184</v>
      </c>
      <c r="AC516">
        <v>0</v>
      </c>
      <c r="AD516">
        <v>100</v>
      </c>
      <c r="AE516" t="s">
        <v>147</v>
      </c>
      <c r="AF516" t="s">
        <v>148</v>
      </c>
      <c r="AG516" t="s">
        <v>149</v>
      </c>
      <c r="AH516" t="s">
        <v>171</v>
      </c>
      <c r="AJ516" t="s">
        <v>185</v>
      </c>
      <c r="AK516" t="s">
        <v>186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Z516" t="s">
        <v>187</v>
      </c>
      <c r="BA516">
        <v>727037.10000000102</v>
      </c>
      <c r="BB516">
        <v>3763349.3</v>
      </c>
    </row>
    <row r="517" spans="1:54" x14ac:dyDescent="0.35">
      <c r="A517">
        <v>110035</v>
      </c>
      <c r="B517">
        <v>402</v>
      </c>
      <c r="C517" t="s">
        <v>135</v>
      </c>
      <c r="D517" s="15">
        <v>701012160922283</v>
      </c>
      <c r="F517">
        <v>70</v>
      </c>
      <c r="G517" t="s">
        <v>136</v>
      </c>
      <c r="H517">
        <v>7010</v>
      </c>
      <c r="I517" t="s">
        <v>137</v>
      </c>
      <c r="K517" t="s">
        <v>138</v>
      </c>
      <c r="M517">
        <v>12160922283</v>
      </c>
      <c r="N517" t="s">
        <v>160</v>
      </c>
      <c r="O517">
        <v>12160922283</v>
      </c>
      <c r="P517" t="s">
        <v>147</v>
      </c>
      <c r="Q517" t="s">
        <v>262</v>
      </c>
      <c r="R517">
        <v>0</v>
      </c>
      <c r="T517" t="s">
        <v>146</v>
      </c>
      <c r="U517" t="s">
        <v>263</v>
      </c>
      <c r="V517" t="s">
        <v>263</v>
      </c>
      <c r="W517" t="s">
        <v>263</v>
      </c>
      <c r="AA517" t="s">
        <v>264</v>
      </c>
      <c r="AB517" t="s">
        <v>184</v>
      </c>
      <c r="AC517">
        <v>0</v>
      </c>
      <c r="AD517">
        <v>100</v>
      </c>
      <c r="AE517" t="s">
        <v>147</v>
      </c>
      <c r="AF517" t="s">
        <v>148</v>
      </c>
      <c r="AG517" t="s">
        <v>149</v>
      </c>
      <c r="AH517" t="s">
        <v>171</v>
      </c>
      <c r="AJ517" t="s">
        <v>185</v>
      </c>
      <c r="AK517" t="s">
        <v>186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Z517" t="s">
        <v>187</v>
      </c>
      <c r="BA517">
        <v>727037.10000000102</v>
      </c>
      <c r="BB517">
        <v>3763349.3</v>
      </c>
    </row>
    <row r="518" spans="1:54" x14ac:dyDescent="0.35">
      <c r="A518">
        <v>110034</v>
      </c>
      <c r="B518">
        <v>401</v>
      </c>
      <c r="C518" t="s">
        <v>135</v>
      </c>
      <c r="D518" s="15">
        <v>701012160922283</v>
      </c>
      <c r="F518">
        <v>70</v>
      </c>
      <c r="G518" t="s">
        <v>136</v>
      </c>
      <c r="H518">
        <v>7010</v>
      </c>
      <c r="I518" t="s">
        <v>137</v>
      </c>
      <c r="K518" t="s">
        <v>79</v>
      </c>
      <c r="M518">
        <v>12160922282</v>
      </c>
      <c r="N518" t="s">
        <v>160</v>
      </c>
      <c r="O518">
        <v>12160922282</v>
      </c>
      <c r="Q518" t="s">
        <v>262</v>
      </c>
      <c r="R518">
        <v>1</v>
      </c>
      <c r="S518">
        <v>36</v>
      </c>
      <c r="T518" t="s">
        <v>142</v>
      </c>
      <c r="AA518" t="s">
        <v>265</v>
      </c>
      <c r="AC518">
        <v>0</v>
      </c>
      <c r="AD518">
        <v>0</v>
      </c>
      <c r="AN518" t="s">
        <v>266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A518">
        <v>727037</v>
      </c>
      <c r="BB518">
        <v>3763349</v>
      </c>
    </row>
    <row r="519" spans="1:54" x14ac:dyDescent="0.35">
      <c r="A519">
        <v>110033</v>
      </c>
      <c r="B519">
        <v>400</v>
      </c>
      <c r="C519" t="s">
        <v>135</v>
      </c>
      <c r="D519" s="15">
        <v>701012160922282</v>
      </c>
      <c r="F519">
        <v>70</v>
      </c>
      <c r="G519" t="s">
        <v>136</v>
      </c>
      <c r="H519">
        <v>7010</v>
      </c>
      <c r="I519" t="s">
        <v>137</v>
      </c>
      <c r="K519" t="s">
        <v>138</v>
      </c>
      <c r="M519">
        <v>12160922282</v>
      </c>
      <c r="N519" t="s">
        <v>160</v>
      </c>
      <c r="O519">
        <v>12160922282</v>
      </c>
      <c r="P519" t="s">
        <v>147</v>
      </c>
      <c r="Q519" t="s">
        <v>262</v>
      </c>
      <c r="R519">
        <v>1</v>
      </c>
      <c r="S519">
        <v>36</v>
      </c>
      <c r="T519" t="s">
        <v>142</v>
      </c>
      <c r="U519" t="s">
        <v>263</v>
      </c>
      <c r="V519" t="s">
        <v>263</v>
      </c>
      <c r="W519" t="s">
        <v>263</v>
      </c>
      <c r="AA519" t="s">
        <v>265</v>
      </c>
      <c r="AC519">
        <v>0</v>
      </c>
      <c r="AD519">
        <v>0</v>
      </c>
      <c r="AN519" t="s">
        <v>266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A519">
        <v>727037</v>
      </c>
      <c r="BB519">
        <v>3763349</v>
      </c>
    </row>
    <row r="520" spans="1:54" x14ac:dyDescent="0.35">
      <c r="A520">
        <v>110032</v>
      </c>
      <c r="B520">
        <v>399</v>
      </c>
      <c r="C520" t="s">
        <v>135</v>
      </c>
      <c r="D520" s="15">
        <v>701012160922282</v>
      </c>
      <c r="F520">
        <v>70</v>
      </c>
      <c r="G520" t="s">
        <v>136</v>
      </c>
      <c r="H520">
        <v>7010</v>
      </c>
      <c r="I520" t="s">
        <v>137</v>
      </c>
      <c r="K520" t="s">
        <v>79</v>
      </c>
      <c r="M520">
        <v>12160922281</v>
      </c>
      <c r="N520" t="s">
        <v>160</v>
      </c>
      <c r="O520">
        <v>12160922281</v>
      </c>
      <c r="Q520" t="s">
        <v>262</v>
      </c>
      <c r="R520">
        <v>1</v>
      </c>
      <c r="S520">
        <v>36</v>
      </c>
      <c r="T520" t="s">
        <v>142</v>
      </c>
      <c r="AA520" t="s">
        <v>265</v>
      </c>
      <c r="AC520">
        <v>0</v>
      </c>
      <c r="AD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A520">
        <v>727022</v>
      </c>
      <c r="BB520">
        <v>3763313</v>
      </c>
    </row>
    <row r="521" spans="1:54" x14ac:dyDescent="0.35">
      <c r="A521">
        <v>110031</v>
      </c>
      <c r="B521">
        <v>398</v>
      </c>
      <c r="C521" t="s">
        <v>135</v>
      </c>
      <c r="D521" s="15">
        <v>701012160922281</v>
      </c>
      <c r="F521">
        <v>70</v>
      </c>
      <c r="G521" t="s">
        <v>136</v>
      </c>
      <c r="H521">
        <v>7010</v>
      </c>
      <c r="I521" t="s">
        <v>137</v>
      </c>
      <c r="K521" t="s">
        <v>138</v>
      </c>
      <c r="M521">
        <v>12160922281</v>
      </c>
      <c r="N521" t="s">
        <v>160</v>
      </c>
      <c r="O521">
        <v>12160922281</v>
      </c>
      <c r="P521" t="s">
        <v>147</v>
      </c>
      <c r="Q521" t="s">
        <v>262</v>
      </c>
      <c r="R521">
        <v>1</v>
      </c>
      <c r="S521">
        <v>36</v>
      </c>
      <c r="T521" t="s">
        <v>142</v>
      </c>
      <c r="U521" t="s">
        <v>267</v>
      </c>
      <c r="V521" t="s">
        <v>267</v>
      </c>
      <c r="W521" t="s">
        <v>267</v>
      </c>
      <c r="AA521" t="s">
        <v>265</v>
      </c>
      <c r="AC521">
        <v>0</v>
      </c>
      <c r="AD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A521">
        <v>727022</v>
      </c>
      <c r="BB521">
        <v>3763313</v>
      </c>
    </row>
    <row r="522" spans="1:54" x14ac:dyDescent="0.35">
      <c r="A522">
        <v>110030</v>
      </c>
      <c r="B522">
        <v>397</v>
      </c>
      <c r="C522" t="s">
        <v>135</v>
      </c>
      <c r="D522" s="15">
        <v>701012160922281</v>
      </c>
      <c r="F522">
        <v>70</v>
      </c>
      <c r="G522" t="s">
        <v>136</v>
      </c>
      <c r="H522">
        <v>7010</v>
      </c>
      <c r="I522" t="s">
        <v>137</v>
      </c>
      <c r="K522" t="s">
        <v>79</v>
      </c>
      <c r="M522">
        <v>12160922279</v>
      </c>
      <c r="N522" t="s">
        <v>160</v>
      </c>
      <c r="O522">
        <v>12160922279</v>
      </c>
      <c r="Q522" t="s">
        <v>262</v>
      </c>
      <c r="R522">
        <v>1</v>
      </c>
      <c r="S522">
        <v>36</v>
      </c>
      <c r="T522" t="s">
        <v>142</v>
      </c>
      <c r="AA522" t="s">
        <v>265</v>
      </c>
      <c r="AC522">
        <v>0</v>
      </c>
      <c r="AD522">
        <v>0</v>
      </c>
      <c r="AN522" t="s">
        <v>271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A522">
        <v>726968</v>
      </c>
      <c r="BB522">
        <v>3763337</v>
      </c>
    </row>
    <row r="523" spans="1:54" x14ac:dyDescent="0.35">
      <c r="A523">
        <v>110029</v>
      </c>
      <c r="B523">
        <v>396</v>
      </c>
      <c r="C523" t="s">
        <v>135</v>
      </c>
      <c r="D523" s="15">
        <v>701012150922224</v>
      </c>
      <c r="E523">
        <v>2</v>
      </c>
      <c r="F523">
        <v>70</v>
      </c>
      <c r="G523" t="s">
        <v>136</v>
      </c>
      <c r="H523">
        <v>7010</v>
      </c>
      <c r="I523" t="s">
        <v>137</v>
      </c>
      <c r="K523" t="s">
        <v>138</v>
      </c>
      <c r="M523">
        <v>12150922224</v>
      </c>
      <c r="N523" t="s">
        <v>160</v>
      </c>
      <c r="O523">
        <v>12150922224</v>
      </c>
      <c r="Q523" t="s">
        <v>262</v>
      </c>
      <c r="R523">
        <v>1</v>
      </c>
      <c r="S523">
        <v>36</v>
      </c>
      <c r="T523" t="s">
        <v>142</v>
      </c>
      <c r="U523" t="s">
        <v>267</v>
      </c>
      <c r="V523" t="s">
        <v>267</v>
      </c>
      <c r="W523" t="s">
        <v>267</v>
      </c>
      <c r="AA523" t="s">
        <v>265</v>
      </c>
      <c r="AC523">
        <v>0</v>
      </c>
      <c r="AD523">
        <v>0</v>
      </c>
      <c r="AN523" t="s">
        <v>266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A523">
        <v>726831.00000000105</v>
      </c>
      <c r="BB523">
        <v>3763398</v>
      </c>
    </row>
    <row r="524" spans="1:54" x14ac:dyDescent="0.35">
      <c r="A524">
        <v>110028</v>
      </c>
      <c r="B524">
        <v>395</v>
      </c>
      <c r="C524" t="s">
        <v>135</v>
      </c>
      <c r="D524" s="15">
        <v>701012150922224</v>
      </c>
      <c r="E524">
        <v>1</v>
      </c>
      <c r="F524">
        <v>70</v>
      </c>
      <c r="G524" t="s">
        <v>136</v>
      </c>
      <c r="H524">
        <v>7010</v>
      </c>
      <c r="I524" t="s">
        <v>137</v>
      </c>
      <c r="M524">
        <v>12150922225</v>
      </c>
      <c r="N524" t="s">
        <v>160</v>
      </c>
      <c r="O524">
        <v>12150922225</v>
      </c>
      <c r="Q524" t="s">
        <v>262</v>
      </c>
      <c r="R524">
        <v>1</v>
      </c>
      <c r="S524">
        <v>36</v>
      </c>
      <c r="T524" t="s">
        <v>142</v>
      </c>
      <c r="AA524" t="s">
        <v>265</v>
      </c>
      <c r="AC524">
        <v>0</v>
      </c>
      <c r="AD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A524">
        <v>726873</v>
      </c>
      <c r="BB524">
        <v>3763383</v>
      </c>
    </row>
    <row r="525" spans="1:54" x14ac:dyDescent="0.35">
      <c r="A525">
        <v>110027</v>
      </c>
      <c r="B525">
        <v>394</v>
      </c>
      <c r="C525" t="s">
        <v>135</v>
      </c>
      <c r="D525" s="15">
        <v>701012150922224</v>
      </c>
      <c r="E525">
        <v>0</v>
      </c>
      <c r="F525">
        <v>70</v>
      </c>
      <c r="G525" t="s">
        <v>136</v>
      </c>
      <c r="H525">
        <v>7010</v>
      </c>
      <c r="I525" t="s">
        <v>137</v>
      </c>
      <c r="M525">
        <v>12150922226</v>
      </c>
      <c r="N525" t="s">
        <v>160</v>
      </c>
      <c r="O525">
        <v>12150922226</v>
      </c>
      <c r="Q525" t="s">
        <v>262</v>
      </c>
      <c r="R525">
        <v>1</v>
      </c>
      <c r="S525">
        <v>36</v>
      </c>
      <c r="T525" t="s">
        <v>142</v>
      </c>
      <c r="AA525" t="s">
        <v>265</v>
      </c>
      <c r="AC525">
        <v>0</v>
      </c>
      <c r="AD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A525">
        <v>726913.00000000105</v>
      </c>
      <c r="BB525">
        <v>3763361</v>
      </c>
    </row>
    <row r="526" spans="1:54" x14ac:dyDescent="0.35">
      <c r="A526">
        <v>110026</v>
      </c>
      <c r="B526">
        <v>393</v>
      </c>
      <c r="C526" t="s">
        <v>135</v>
      </c>
      <c r="D526" s="15">
        <v>701012150922224</v>
      </c>
      <c r="F526">
        <v>70</v>
      </c>
      <c r="G526" t="s">
        <v>136</v>
      </c>
      <c r="H526">
        <v>7010</v>
      </c>
      <c r="I526" t="s">
        <v>137</v>
      </c>
      <c r="K526" t="s">
        <v>79</v>
      </c>
      <c r="M526">
        <v>12160922279</v>
      </c>
      <c r="N526" t="s">
        <v>160</v>
      </c>
      <c r="O526">
        <v>12160922279</v>
      </c>
      <c r="Q526" t="s">
        <v>262</v>
      </c>
      <c r="R526">
        <v>1</v>
      </c>
      <c r="S526">
        <v>36</v>
      </c>
      <c r="T526" t="s">
        <v>142</v>
      </c>
      <c r="AA526" t="s">
        <v>265</v>
      </c>
      <c r="AC526">
        <v>0</v>
      </c>
      <c r="AD526">
        <v>0</v>
      </c>
      <c r="AN526" t="s">
        <v>271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A526">
        <v>726968</v>
      </c>
      <c r="BB526">
        <v>3763337</v>
      </c>
    </row>
    <row r="527" spans="1:54" x14ac:dyDescent="0.35">
      <c r="A527">
        <v>110025</v>
      </c>
      <c r="B527">
        <v>392</v>
      </c>
      <c r="C527" t="s">
        <v>135</v>
      </c>
      <c r="D527" s="15">
        <v>701012160922279</v>
      </c>
      <c r="F527">
        <v>70</v>
      </c>
      <c r="G527" t="s">
        <v>136</v>
      </c>
      <c r="H527">
        <v>7010</v>
      </c>
      <c r="I527" t="s">
        <v>137</v>
      </c>
      <c r="K527" t="s">
        <v>138</v>
      </c>
      <c r="M527">
        <v>12160922279</v>
      </c>
      <c r="N527" t="s">
        <v>160</v>
      </c>
      <c r="O527">
        <v>12160922279</v>
      </c>
      <c r="P527" t="s">
        <v>147</v>
      </c>
      <c r="Q527" t="s">
        <v>262</v>
      </c>
      <c r="R527">
        <v>1</v>
      </c>
      <c r="S527">
        <v>36</v>
      </c>
      <c r="T527" t="s">
        <v>142</v>
      </c>
      <c r="U527" t="s">
        <v>267</v>
      </c>
      <c r="V527" t="s">
        <v>267</v>
      </c>
      <c r="W527" t="s">
        <v>267</v>
      </c>
      <c r="AA527" t="s">
        <v>265</v>
      </c>
      <c r="AC527">
        <v>0</v>
      </c>
      <c r="AD527">
        <v>0</v>
      </c>
      <c r="AN527" t="s">
        <v>271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A527">
        <v>726968</v>
      </c>
      <c r="BB527">
        <v>3763337</v>
      </c>
    </row>
    <row r="528" spans="1:54" x14ac:dyDescent="0.35">
      <c r="A528">
        <v>110024</v>
      </c>
      <c r="B528">
        <v>391</v>
      </c>
      <c r="C528" t="s">
        <v>135</v>
      </c>
      <c r="D528" s="15">
        <v>701012160922279</v>
      </c>
      <c r="F528">
        <v>70</v>
      </c>
      <c r="G528" t="s">
        <v>136</v>
      </c>
      <c r="H528">
        <v>7010</v>
      </c>
      <c r="I528" t="s">
        <v>137</v>
      </c>
      <c r="K528" t="s">
        <v>79</v>
      </c>
      <c r="M528">
        <v>12160922255</v>
      </c>
      <c r="N528" t="s">
        <v>160</v>
      </c>
      <c r="O528">
        <v>12160922255</v>
      </c>
      <c r="Q528" t="s">
        <v>262</v>
      </c>
      <c r="R528">
        <v>1</v>
      </c>
      <c r="S528">
        <v>36</v>
      </c>
      <c r="T528" t="s">
        <v>142</v>
      </c>
      <c r="AA528" t="s">
        <v>265</v>
      </c>
      <c r="AC528">
        <v>0</v>
      </c>
      <c r="AD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A528">
        <v>726941.00000000105</v>
      </c>
      <c r="BB528">
        <v>3763279</v>
      </c>
    </row>
    <row r="529" spans="1:54" x14ac:dyDescent="0.35">
      <c r="A529">
        <v>110023</v>
      </c>
      <c r="B529">
        <v>390</v>
      </c>
      <c r="C529" t="s">
        <v>135</v>
      </c>
      <c r="D529" s="15">
        <v>701012160922275</v>
      </c>
      <c r="F529">
        <v>70</v>
      </c>
      <c r="G529" t="s">
        <v>136</v>
      </c>
      <c r="H529">
        <v>7010</v>
      </c>
      <c r="I529" t="s">
        <v>137</v>
      </c>
      <c r="K529" t="s">
        <v>138</v>
      </c>
      <c r="M529">
        <v>12160922275</v>
      </c>
      <c r="N529" t="s">
        <v>139</v>
      </c>
      <c r="O529">
        <v>12160922275</v>
      </c>
      <c r="P529" t="s">
        <v>140</v>
      </c>
      <c r="Q529" t="s">
        <v>141</v>
      </c>
      <c r="R529">
        <v>0</v>
      </c>
      <c r="T529" t="s">
        <v>146</v>
      </c>
      <c r="U529" t="s">
        <v>154</v>
      </c>
      <c r="V529" t="s">
        <v>154</v>
      </c>
      <c r="W529" t="s">
        <v>154</v>
      </c>
      <c r="X529" t="s">
        <v>154</v>
      </c>
      <c r="AA529" t="s">
        <v>144</v>
      </c>
      <c r="AB529" t="s">
        <v>189</v>
      </c>
      <c r="AC529">
        <v>0</v>
      </c>
      <c r="AD529">
        <v>100</v>
      </c>
      <c r="AE529" t="s">
        <v>147</v>
      </c>
      <c r="AF529" t="s">
        <v>148</v>
      </c>
      <c r="AG529" t="s">
        <v>149</v>
      </c>
      <c r="AH529" t="s">
        <v>171</v>
      </c>
      <c r="AJ529" t="s">
        <v>190</v>
      </c>
      <c r="AK529" t="s">
        <v>152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Z529" t="s">
        <v>191</v>
      </c>
      <c r="BA529">
        <v>727041.00000000105</v>
      </c>
      <c r="BB529">
        <v>3763142</v>
      </c>
    </row>
    <row r="530" spans="1:54" x14ac:dyDescent="0.35">
      <c r="A530">
        <v>110022</v>
      </c>
      <c r="B530">
        <v>389</v>
      </c>
      <c r="C530" t="s">
        <v>135</v>
      </c>
      <c r="D530" s="15">
        <v>701012160922275</v>
      </c>
      <c r="F530">
        <v>70</v>
      </c>
      <c r="G530" t="s">
        <v>136</v>
      </c>
      <c r="H530">
        <v>7010</v>
      </c>
      <c r="I530" t="s">
        <v>137</v>
      </c>
      <c r="K530" t="s">
        <v>79</v>
      </c>
      <c r="M530">
        <v>12160922274</v>
      </c>
      <c r="N530" t="s">
        <v>139</v>
      </c>
      <c r="O530">
        <v>12160922274</v>
      </c>
      <c r="Q530" t="s">
        <v>141</v>
      </c>
      <c r="R530">
        <v>0</v>
      </c>
      <c r="T530" t="s">
        <v>146</v>
      </c>
      <c r="AA530" t="s">
        <v>144</v>
      </c>
      <c r="AB530" t="s">
        <v>189</v>
      </c>
      <c r="AC530">
        <v>0</v>
      </c>
      <c r="AD530">
        <v>100</v>
      </c>
      <c r="AE530" t="s">
        <v>147</v>
      </c>
      <c r="AF530" t="s">
        <v>148</v>
      </c>
      <c r="AG530" t="s">
        <v>149</v>
      </c>
      <c r="AH530" t="s">
        <v>171</v>
      </c>
      <c r="AJ530" t="s">
        <v>190</v>
      </c>
      <c r="AK530" t="s">
        <v>152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Z530" t="s">
        <v>191</v>
      </c>
      <c r="BA530">
        <v>727041.00000000105</v>
      </c>
      <c r="BB530">
        <v>3763140</v>
      </c>
    </row>
    <row r="531" spans="1:54" x14ac:dyDescent="0.35">
      <c r="A531">
        <v>110021</v>
      </c>
      <c r="B531">
        <v>388</v>
      </c>
      <c r="C531" t="s">
        <v>135</v>
      </c>
      <c r="D531" s="15">
        <v>701012160922274</v>
      </c>
      <c r="F531">
        <v>70</v>
      </c>
      <c r="G531" t="s">
        <v>136</v>
      </c>
      <c r="H531">
        <v>7010</v>
      </c>
      <c r="I531" t="s">
        <v>137</v>
      </c>
      <c r="K531" t="s">
        <v>138</v>
      </c>
      <c r="M531">
        <v>12160922274</v>
      </c>
      <c r="N531" t="s">
        <v>160</v>
      </c>
      <c r="O531">
        <v>12160922274</v>
      </c>
      <c r="P531" t="s">
        <v>147</v>
      </c>
      <c r="Q531" t="s">
        <v>262</v>
      </c>
      <c r="R531">
        <v>0</v>
      </c>
      <c r="T531" t="s">
        <v>146</v>
      </c>
      <c r="U531" t="s">
        <v>263</v>
      </c>
      <c r="V531" t="s">
        <v>263</v>
      </c>
      <c r="W531" t="s">
        <v>263</v>
      </c>
      <c r="AA531" t="s">
        <v>264</v>
      </c>
      <c r="AB531" t="s">
        <v>189</v>
      </c>
      <c r="AC531">
        <v>0</v>
      </c>
      <c r="AD531">
        <v>100</v>
      </c>
      <c r="AE531" t="s">
        <v>147</v>
      </c>
      <c r="AF531" t="s">
        <v>148</v>
      </c>
      <c r="AG531" t="s">
        <v>149</v>
      </c>
      <c r="AH531" t="s">
        <v>171</v>
      </c>
      <c r="AJ531" t="s">
        <v>190</v>
      </c>
      <c r="AK531" t="s">
        <v>152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Z531" t="s">
        <v>191</v>
      </c>
      <c r="BA531">
        <v>727041.00000000105</v>
      </c>
      <c r="BB531">
        <v>3763140</v>
      </c>
    </row>
    <row r="532" spans="1:54" x14ac:dyDescent="0.35">
      <c r="A532">
        <v>110020</v>
      </c>
      <c r="B532">
        <v>387</v>
      </c>
      <c r="C532" t="s">
        <v>135</v>
      </c>
      <c r="D532" s="15">
        <v>701012160922274</v>
      </c>
      <c r="F532">
        <v>70</v>
      </c>
      <c r="G532" t="s">
        <v>136</v>
      </c>
      <c r="H532">
        <v>7010</v>
      </c>
      <c r="I532" t="s">
        <v>137</v>
      </c>
      <c r="K532" t="s">
        <v>79</v>
      </c>
      <c r="M532">
        <v>12160922273</v>
      </c>
      <c r="N532" t="s">
        <v>160</v>
      </c>
      <c r="O532">
        <v>12160922273</v>
      </c>
      <c r="Q532" t="s">
        <v>262</v>
      </c>
      <c r="R532">
        <v>1</v>
      </c>
      <c r="S532">
        <v>36</v>
      </c>
      <c r="T532" t="s">
        <v>142</v>
      </c>
      <c r="AA532" t="s">
        <v>265</v>
      </c>
      <c r="AC532">
        <v>0</v>
      </c>
      <c r="AD532">
        <v>0</v>
      </c>
      <c r="AN532" t="s">
        <v>266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A532">
        <v>727041.00000000105</v>
      </c>
      <c r="BB532">
        <v>3763143</v>
      </c>
    </row>
    <row r="533" spans="1:54" x14ac:dyDescent="0.35">
      <c r="A533">
        <v>110019</v>
      </c>
      <c r="B533">
        <v>386</v>
      </c>
      <c r="C533" t="s">
        <v>135</v>
      </c>
      <c r="D533" s="15">
        <v>701012160922273</v>
      </c>
      <c r="F533">
        <v>70</v>
      </c>
      <c r="G533" t="s">
        <v>136</v>
      </c>
      <c r="H533">
        <v>7010</v>
      </c>
      <c r="I533" t="s">
        <v>137</v>
      </c>
      <c r="K533" t="s">
        <v>138</v>
      </c>
      <c r="M533">
        <v>12160922273</v>
      </c>
      <c r="N533" t="s">
        <v>160</v>
      </c>
      <c r="O533">
        <v>12160922273</v>
      </c>
      <c r="P533" t="s">
        <v>147</v>
      </c>
      <c r="Q533" t="s">
        <v>262</v>
      </c>
      <c r="R533">
        <v>1</v>
      </c>
      <c r="S533">
        <v>36</v>
      </c>
      <c r="T533" t="s">
        <v>142</v>
      </c>
      <c r="U533" t="s">
        <v>263</v>
      </c>
      <c r="V533" t="s">
        <v>263</v>
      </c>
      <c r="W533" t="s">
        <v>263</v>
      </c>
      <c r="AA533" t="s">
        <v>265</v>
      </c>
      <c r="AC533">
        <v>0</v>
      </c>
      <c r="AD533">
        <v>0</v>
      </c>
      <c r="AN533" t="s">
        <v>266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A533">
        <v>727041.00000000105</v>
      </c>
      <c r="BB533">
        <v>3763143</v>
      </c>
    </row>
    <row r="534" spans="1:54" x14ac:dyDescent="0.35">
      <c r="A534">
        <v>110018</v>
      </c>
      <c r="B534">
        <v>385</v>
      </c>
      <c r="C534" t="s">
        <v>135</v>
      </c>
      <c r="D534" s="15">
        <v>701012160922273</v>
      </c>
      <c r="F534">
        <v>70</v>
      </c>
      <c r="G534" t="s">
        <v>136</v>
      </c>
      <c r="H534">
        <v>7010</v>
      </c>
      <c r="I534" t="s">
        <v>137</v>
      </c>
      <c r="K534" t="s">
        <v>79</v>
      </c>
      <c r="M534">
        <v>12160922269</v>
      </c>
      <c r="N534" t="s">
        <v>160</v>
      </c>
      <c r="O534">
        <v>12160922269</v>
      </c>
      <c r="Q534" t="s">
        <v>262</v>
      </c>
      <c r="R534">
        <v>1</v>
      </c>
      <c r="S534">
        <v>36</v>
      </c>
      <c r="T534" t="s">
        <v>142</v>
      </c>
      <c r="AA534" t="s">
        <v>265</v>
      </c>
      <c r="AC534">
        <v>0</v>
      </c>
      <c r="AD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A534">
        <v>727057.99999999895</v>
      </c>
      <c r="BB534">
        <v>3763176</v>
      </c>
    </row>
    <row r="535" spans="1:54" x14ac:dyDescent="0.35">
      <c r="A535">
        <v>110017</v>
      </c>
      <c r="B535">
        <v>384</v>
      </c>
      <c r="C535" t="s">
        <v>135</v>
      </c>
      <c r="D535" s="15">
        <v>701012160922271</v>
      </c>
      <c r="F535">
        <v>70</v>
      </c>
      <c r="G535" t="s">
        <v>136</v>
      </c>
      <c r="H535">
        <v>7010</v>
      </c>
      <c r="I535" t="s">
        <v>137</v>
      </c>
      <c r="K535" t="s">
        <v>138</v>
      </c>
      <c r="M535">
        <v>12160922271</v>
      </c>
      <c r="N535" t="s">
        <v>139</v>
      </c>
      <c r="O535">
        <v>12160922271</v>
      </c>
      <c r="P535" t="s">
        <v>140</v>
      </c>
      <c r="Q535" t="s">
        <v>141</v>
      </c>
      <c r="R535">
        <v>0</v>
      </c>
      <c r="T535" t="s">
        <v>146</v>
      </c>
      <c r="U535" t="s">
        <v>275</v>
      </c>
      <c r="V535" t="s">
        <v>275</v>
      </c>
      <c r="W535" t="s">
        <v>275</v>
      </c>
      <c r="X535" t="s">
        <v>275</v>
      </c>
      <c r="AA535" t="s">
        <v>144</v>
      </c>
      <c r="AB535" t="s">
        <v>276</v>
      </c>
      <c r="AC535">
        <v>0</v>
      </c>
      <c r="AD535">
        <v>100</v>
      </c>
      <c r="AE535" t="s">
        <v>147</v>
      </c>
      <c r="AF535" t="s">
        <v>273</v>
      </c>
      <c r="AG535" t="s">
        <v>149</v>
      </c>
      <c r="AH535" t="s">
        <v>150</v>
      </c>
      <c r="AJ535" t="s">
        <v>277</v>
      </c>
      <c r="AK535" t="s">
        <v>186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Z535" t="s">
        <v>278</v>
      </c>
      <c r="BA535">
        <v>727058.200000001</v>
      </c>
      <c r="BB535">
        <v>3763176.4</v>
      </c>
    </row>
    <row r="536" spans="1:54" x14ac:dyDescent="0.35">
      <c r="A536">
        <v>110016</v>
      </c>
      <c r="B536">
        <v>383</v>
      </c>
      <c r="C536" t="s">
        <v>135</v>
      </c>
      <c r="D536" s="15">
        <v>701012160922271</v>
      </c>
      <c r="F536">
        <v>70</v>
      </c>
      <c r="G536" t="s">
        <v>136</v>
      </c>
      <c r="H536">
        <v>7010</v>
      </c>
      <c r="I536" t="s">
        <v>137</v>
      </c>
      <c r="K536" t="s">
        <v>79</v>
      </c>
      <c r="M536">
        <v>12160922270</v>
      </c>
      <c r="N536" t="s">
        <v>139</v>
      </c>
      <c r="O536">
        <v>12160922270</v>
      </c>
      <c r="Q536" t="s">
        <v>141</v>
      </c>
      <c r="R536">
        <v>0</v>
      </c>
      <c r="T536" t="s">
        <v>146</v>
      </c>
      <c r="AA536" t="s">
        <v>144</v>
      </c>
      <c r="AB536" t="s">
        <v>276</v>
      </c>
      <c r="AC536">
        <v>0</v>
      </c>
      <c r="AD536">
        <v>100</v>
      </c>
      <c r="AE536" t="s">
        <v>147</v>
      </c>
      <c r="AF536" t="s">
        <v>273</v>
      </c>
      <c r="AG536" t="s">
        <v>149</v>
      </c>
      <c r="AH536" t="s">
        <v>150</v>
      </c>
      <c r="AJ536" t="s">
        <v>277</v>
      </c>
      <c r="AK536" t="s">
        <v>186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Z536" t="s">
        <v>278</v>
      </c>
      <c r="BA536">
        <v>727058.1</v>
      </c>
      <c r="BB536">
        <v>3763176.3</v>
      </c>
    </row>
    <row r="537" spans="1:54" x14ac:dyDescent="0.35">
      <c r="A537">
        <v>110015</v>
      </c>
      <c r="B537">
        <v>382</v>
      </c>
      <c r="C537" t="s">
        <v>135</v>
      </c>
      <c r="D537" s="15">
        <v>701012160922270</v>
      </c>
      <c r="F537">
        <v>70</v>
      </c>
      <c r="G537" t="s">
        <v>136</v>
      </c>
      <c r="H537">
        <v>7010</v>
      </c>
      <c r="I537" t="s">
        <v>137</v>
      </c>
      <c r="K537" t="s">
        <v>138</v>
      </c>
      <c r="M537">
        <v>12160922270</v>
      </c>
      <c r="N537" t="s">
        <v>160</v>
      </c>
      <c r="O537">
        <v>12160922270</v>
      </c>
      <c r="P537" t="s">
        <v>147</v>
      </c>
      <c r="Q537" t="s">
        <v>262</v>
      </c>
      <c r="R537">
        <v>0</v>
      </c>
      <c r="T537" t="s">
        <v>146</v>
      </c>
      <c r="U537" t="s">
        <v>263</v>
      </c>
      <c r="V537" t="s">
        <v>263</v>
      </c>
      <c r="W537" t="s">
        <v>263</v>
      </c>
      <c r="AA537" t="s">
        <v>264</v>
      </c>
      <c r="AB537" t="s">
        <v>276</v>
      </c>
      <c r="AC537">
        <v>0</v>
      </c>
      <c r="AD537">
        <v>100</v>
      </c>
      <c r="AE537" t="s">
        <v>147</v>
      </c>
      <c r="AF537" t="s">
        <v>273</v>
      </c>
      <c r="AG537" t="s">
        <v>149</v>
      </c>
      <c r="AH537" t="s">
        <v>150</v>
      </c>
      <c r="AJ537" t="s">
        <v>277</v>
      </c>
      <c r="AK537" t="s">
        <v>186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Z537" t="s">
        <v>278</v>
      </c>
      <c r="BA537">
        <v>727058.1</v>
      </c>
      <c r="BB537">
        <v>3763176.3</v>
      </c>
    </row>
    <row r="538" spans="1:54" x14ac:dyDescent="0.35">
      <c r="A538">
        <v>110014</v>
      </c>
      <c r="B538">
        <v>381</v>
      </c>
      <c r="C538" t="s">
        <v>135</v>
      </c>
      <c r="D538" s="15">
        <v>701012160922270</v>
      </c>
      <c r="F538">
        <v>70</v>
      </c>
      <c r="G538" t="s">
        <v>136</v>
      </c>
      <c r="H538">
        <v>7010</v>
      </c>
      <c r="I538" t="s">
        <v>137</v>
      </c>
      <c r="K538" t="s">
        <v>79</v>
      </c>
      <c r="M538">
        <v>12160922269</v>
      </c>
      <c r="N538" t="s">
        <v>160</v>
      </c>
      <c r="O538">
        <v>12160922269</v>
      </c>
      <c r="Q538" t="s">
        <v>262</v>
      </c>
      <c r="R538">
        <v>0</v>
      </c>
      <c r="S538">
        <v>36</v>
      </c>
      <c r="T538" t="s">
        <v>142</v>
      </c>
      <c r="AA538" t="s">
        <v>265</v>
      </c>
      <c r="AC538">
        <v>0</v>
      </c>
      <c r="AD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A538">
        <v>727057.99999999895</v>
      </c>
      <c r="BB538">
        <v>3763176</v>
      </c>
    </row>
    <row r="539" spans="1:54" x14ac:dyDescent="0.35">
      <c r="A539">
        <v>110013</v>
      </c>
      <c r="B539">
        <v>380</v>
      </c>
      <c r="C539" t="s">
        <v>135</v>
      </c>
      <c r="D539" s="15">
        <v>701012160922269</v>
      </c>
      <c r="F539">
        <v>70</v>
      </c>
      <c r="G539" t="s">
        <v>136</v>
      </c>
      <c r="H539">
        <v>7010</v>
      </c>
      <c r="I539" t="s">
        <v>137</v>
      </c>
      <c r="K539" t="s">
        <v>138</v>
      </c>
      <c r="M539">
        <v>12160922269</v>
      </c>
      <c r="N539" t="s">
        <v>160</v>
      </c>
      <c r="O539">
        <v>12160922269</v>
      </c>
      <c r="P539" t="s">
        <v>147</v>
      </c>
      <c r="Q539" t="s">
        <v>262</v>
      </c>
      <c r="R539">
        <v>0</v>
      </c>
      <c r="S539">
        <v>36</v>
      </c>
      <c r="T539" t="s">
        <v>142</v>
      </c>
      <c r="U539" t="s">
        <v>263</v>
      </c>
      <c r="V539" t="s">
        <v>263</v>
      </c>
      <c r="W539" t="s">
        <v>263</v>
      </c>
      <c r="AA539" t="s">
        <v>265</v>
      </c>
      <c r="AC539">
        <v>0</v>
      </c>
      <c r="AD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A539">
        <v>727057.99999999895</v>
      </c>
      <c r="BB539">
        <v>3763176</v>
      </c>
    </row>
    <row r="540" spans="1:54" x14ac:dyDescent="0.35">
      <c r="A540">
        <v>110012</v>
      </c>
      <c r="B540">
        <v>379</v>
      </c>
      <c r="C540" t="s">
        <v>135</v>
      </c>
      <c r="D540" s="15">
        <v>701012160922269</v>
      </c>
      <c r="F540">
        <v>70</v>
      </c>
      <c r="G540" t="s">
        <v>136</v>
      </c>
      <c r="H540">
        <v>7010</v>
      </c>
      <c r="I540" t="s">
        <v>137</v>
      </c>
      <c r="K540" t="s">
        <v>79</v>
      </c>
      <c r="M540">
        <v>12160922264</v>
      </c>
      <c r="N540" t="s">
        <v>160</v>
      </c>
      <c r="O540">
        <v>12160922264</v>
      </c>
      <c r="Q540" t="s">
        <v>262</v>
      </c>
      <c r="R540">
        <v>0</v>
      </c>
      <c r="S540">
        <v>36</v>
      </c>
      <c r="T540" t="s">
        <v>142</v>
      </c>
      <c r="AA540" t="s">
        <v>265</v>
      </c>
      <c r="AC540">
        <v>0</v>
      </c>
      <c r="AD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A540">
        <v>727074.00000000105</v>
      </c>
      <c r="BB540">
        <v>3763215</v>
      </c>
    </row>
    <row r="541" spans="1:54" x14ac:dyDescent="0.35">
      <c r="A541">
        <v>110011</v>
      </c>
      <c r="B541">
        <v>378</v>
      </c>
      <c r="C541" t="s">
        <v>135</v>
      </c>
      <c r="D541" s="15">
        <v>701012160922267</v>
      </c>
      <c r="F541">
        <v>70</v>
      </c>
      <c r="G541" t="s">
        <v>136</v>
      </c>
      <c r="H541">
        <v>7010</v>
      </c>
      <c r="I541" t="s">
        <v>137</v>
      </c>
      <c r="K541" t="s">
        <v>138</v>
      </c>
      <c r="M541">
        <v>12160922267</v>
      </c>
      <c r="N541" t="s">
        <v>160</v>
      </c>
      <c r="O541">
        <v>12160922267</v>
      </c>
      <c r="P541" t="s">
        <v>147</v>
      </c>
      <c r="Q541" t="s">
        <v>262</v>
      </c>
      <c r="R541">
        <v>0</v>
      </c>
      <c r="S541">
        <v>36</v>
      </c>
      <c r="T541" t="s">
        <v>142</v>
      </c>
      <c r="U541" t="s">
        <v>267</v>
      </c>
      <c r="V541" t="s">
        <v>267</v>
      </c>
      <c r="W541" t="s">
        <v>267</v>
      </c>
      <c r="AA541" t="s">
        <v>265</v>
      </c>
      <c r="AC541">
        <v>0</v>
      </c>
      <c r="AD541">
        <v>0</v>
      </c>
      <c r="AN541" t="s">
        <v>266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A541">
        <v>727123.00000000105</v>
      </c>
      <c r="BB541">
        <v>3763192</v>
      </c>
    </row>
    <row r="542" spans="1:54" x14ac:dyDescent="0.35">
      <c r="A542">
        <v>110010</v>
      </c>
      <c r="B542">
        <v>377</v>
      </c>
      <c r="C542" t="s">
        <v>135</v>
      </c>
      <c r="D542" s="15">
        <v>701012160922267</v>
      </c>
      <c r="F542">
        <v>70</v>
      </c>
      <c r="G542" t="s">
        <v>136</v>
      </c>
      <c r="H542">
        <v>7010</v>
      </c>
      <c r="I542" t="s">
        <v>137</v>
      </c>
      <c r="K542" t="s">
        <v>79</v>
      </c>
      <c r="M542">
        <v>12160922264</v>
      </c>
      <c r="N542" t="s">
        <v>160</v>
      </c>
      <c r="O542">
        <v>12160922264</v>
      </c>
      <c r="Q542" t="s">
        <v>262</v>
      </c>
      <c r="R542">
        <v>0</v>
      </c>
      <c r="S542">
        <v>36</v>
      </c>
      <c r="T542" t="s">
        <v>142</v>
      </c>
      <c r="AA542" t="s">
        <v>265</v>
      </c>
      <c r="AC542">
        <v>0</v>
      </c>
      <c r="AD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A542">
        <v>727074.00000000105</v>
      </c>
      <c r="BB542">
        <v>3763215</v>
      </c>
    </row>
    <row r="543" spans="1:54" x14ac:dyDescent="0.35">
      <c r="A543">
        <v>110009</v>
      </c>
      <c r="B543">
        <v>376</v>
      </c>
      <c r="C543" t="s">
        <v>135</v>
      </c>
      <c r="D543" s="15">
        <v>701012160922266</v>
      </c>
      <c r="F543">
        <v>70</v>
      </c>
      <c r="G543" t="s">
        <v>136</v>
      </c>
      <c r="H543">
        <v>7010</v>
      </c>
      <c r="I543" t="s">
        <v>137</v>
      </c>
      <c r="K543" t="s">
        <v>138</v>
      </c>
      <c r="M543">
        <v>12160922266</v>
      </c>
      <c r="N543" t="s">
        <v>139</v>
      </c>
      <c r="O543">
        <v>12160922266</v>
      </c>
      <c r="P543" t="s">
        <v>140</v>
      </c>
      <c r="Q543" t="s">
        <v>141</v>
      </c>
      <c r="R543">
        <v>0</v>
      </c>
      <c r="T543" t="s">
        <v>146</v>
      </c>
      <c r="U543" t="s">
        <v>143</v>
      </c>
      <c r="V543" t="s">
        <v>143</v>
      </c>
      <c r="W543" t="s">
        <v>143</v>
      </c>
      <c r="X543" t="s">
        <v>143</v>
      </c>
      <c r="AA543" t="s">
        <v>144</v>
      </c>
      <c r="AB543" t="s">
        <v>192</v>
      </c>
      <c r="AC543">
        <v>0</v>
      </c>
      <c r="AD543">
        <v>200</v>
      </c>
      <c r="AE543" t="s">
        <v>147</v>
      </c>
      <c r="AF543" t="s">
        <v>148</v>
      </c>
      <c r="AG543" t="s">
        <v>149</v>
      </c>
      <c r="AH543" t="s">
        <v>161</v>
      </c>
      <c r="AJ543" t="s">
        <v>193</v>
      </c>
      <c r="AK543" t="s">
        <v>152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Z543" t="s">
        <v>194</v>
      </c>
      <c r="BA543">
        <v>727073</v>
      </c>
      <c r="BB543">
        <v>3763216</v>
      </c>
    </row>
    <row r="544" spans="1:54" x14ac:dyDescent="0.35">
      <c r="A544">
        <v>110008</v>
      </c>
      <c r="B544">
        <v>375</v>
      </c>
      <c r="C544" t="s">
        <v>135</v>
      </c>
      <c r="D544" s="15">
        <v>701012160922266</v>
      </c>
      <c r="F544">
        <v>70</v>
      </c>
      <c r="G544" t="s">
        <v>136</v>
      </c>
      <c r="H544">
        <v>7010</v>
      </c>
      <c r="I544" t="s">
        <v>137</v>
      </c>
      <c r="K544" t="s">
        <v>79</v>
      </c>
      <c r="M544">
        <v>12160922265</v>
      </c>
      <c r="N544" t="s">
        <v>139</v>
      </c>
      <c r="O544">
        <v>12160922265</v>
      </c>
      <c r="Q544" t="s">
        <v>141</v>
      </c>
      <c r="R544">
        <v>0</v>
      </c>
      <c r="T544" t="s">
        <v>146</v>
      </c>
      <c r="AA544" t="s">
        <v>144</v>
      </c>
      <c r="AB544" t="s">
        <v>192</v>
      </c>
      <c r="AC544">
        <v>0</v>
      </c>
      <c r="AD544">
        <v>200</v>
      </c>
      <c r="AE544" t="s">
        <v>147</v>
      </c>
      <c r="AF544" t="s">
        <v>148</v>
      </c>
      <c r="AG544" t="s">
        <v>149</v>
      </c>
      <c r="AH544" t="s">
        <v>161</v>
      </c>
      <c r="AJ544" t="s">
        <v>193</v>
      </c>
      <c r="AK544" t="s">
        <v>152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Z544" t="s">
        <v>194</v>
      </c>
      <c r="BA544">
        <v>727075</v>
      </c>
      <c r="BB544">
        <v>3763215</v>
      </c>
    </row>
    <row r="545" spans="1:54" x14ac:dyDescent="0.35">
      <c r="A545">
        <v>110007</v>
      </c>
      <c r="B545">
        <v>374</v>
      </c>
      <c r="C545" t="s">
        <v>135</v>
      </c>
      <c r="D545" s="15">
        <v>701012160922265</v>
      </c>
      <c r="F545">
        <v>70</v>
      </c>
      <c r="G545" t="s">
        <v>136</v>
      </c>
      <c r="H545">
        <v>7010</v>
      </c>
      <c r="I545" t="s">
        <v>137</v>
      </c>
      <c r="K545" t="s">
        <v>138</v>
      </c>
      <c r="M545">
        <v>12160922265</v>
      </c>
      <c r="N545" t="s">
        <v>160</v>
      </c>
      <c r="O545">
        <v>12160922265</v>
      </c>
      <c r="P545" t="s">
        <v>147</v>
      </c>
      <c r="Q545" t="s">
        <v>262</v>
      </c>
      <c r="R545">
        <v>0</v>
      </c>
      <c r="T545" t="s">
        <v>146</v>
      </c>
      <c r="U545" t="s">
        <v>263</v>
      </c>
      <c r="V545" t="s">
        <v>263</v>
      </c>
      <c r="W545" t="s">
        <v>263</v>
      </c>
      <c r="AA545" t="s">
        <v>264</v>
      </c>
      <c r="AB545" t="s">
        <v>192</v>
      </c>
      <c r="AC545">
        <v>0</v>
      </c>
      <c r="AD545">
        <v>200</v>
      </c>
      <c r="AE545" t="s">
        <v>147</v>
      </c>
      <c r="AF545" t="s">
        <v>148</v>
      </c>
      <c r="AG545" t="s">
        <v>149</v>
      </c>
      <c r="AH545" t="s">
        <v>161</v>
      </c>
      <c r="AJ545" t="s">
        <v>193</v>
      </c>
      <c r="AK545" t="s">
        <v>152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Z545" t="s">
        <v>194</v>
      </c>
      <c r="BA545">
        <v>727075</v>
      </c>
      <c r="BB545">
        <v>3763215</v>
      </c>
    </row>
    <row r="546" spans="1:54" x14ac:dyDescent="0.35">
      <c r="A546">
        <v>110006</v>
      </c>
      <c r="B546">
        <v>373</v>
      </c>
      <c r="C546" t="s">
        <v>135</v>
      </c>
      <c r="D546" s="15">
        <v>701012160922265</v>
      </c>
      <c r="F546">
        <v>70</v>
      </c>
      <c r="G546" t="s">
        <v>136</v>
      </c>
      <c r="H546">
        <v>7010</v>
      </c>
      <c r="I546" t="s">
        <v>137</v>
      </c>
      <c r="K546" t="s">
        <v>79</v>
      </c>
      <c r="M546">
        <v>12160922264</v>
      </c>
      <c r="N546" t="s">
        <v>160</v>
      </c>
      <c r="O546">
        <v>12160922264</v>
      </c>
      <c r="Q546" t="s">
        <v>262</v>
      </c>
      <c r="R546">
        <v>1</v>
      </c>
      <c r="S546">
        <v>36</v>
      </c>
      <c r="T546" t="s">
        <v>142</v>
      </c>
      <c r="AA546" t="s">
        <v>265</v>
      </c>
      <c r="AC546">
        <v>0</v>
      </c>
      <c r="AD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A546">
        <v>727074.00000000105</v>
      </c>
      <c r="BB546">
        <v>3763215</v>
      </c>
    </row>
    <row r="547" spans="1:54" x14ac:dyDescent="0.35">
      <c r="A547">
        <v>110005</v>
      </c>
      <c r="B547">
        <v>372</v>
      </c>
      <c r="C547" t="s">
        <v>135</v>
      </c>
      <c r="D547" s="15">
        <v>701012160922264</v>
      </c>
      <c r="F547">
        <v>70</v>
      </c>
      <c r="G547" t="s">
        <v>136</v>
      </c>
      <c r="H547">
        <v>7010</v>
      </c>
      <c r="I547" t="s">
        <v>137</v>
      </c>
      <c r="K547" t="s">
        <v>138</v>
      </c>
      <c r="M547">
        <v>12160922264</v>
      </c>
      <c r="N547" t="s">
        <v>160</v>
      </c>
      <c r="O547">
        <v>12160922264</v>
      </c>
      <c r="P547" t="s">
        <v>147</v>
      </c>
      <c r="Q547" t="s">
        <v>262</v>
      </c>
      <c r="R547">
        <v>1</v>
      </c>
      <c r="S547">
        <v>36</v>
      </c>
      <c r="T547" t="s">
        <v>142</v>
      </c>
      <c r="U547" t="s">
        <v>267</v>
      </c>
      <c r="V547" t="s">
        <v>267</v>
      </c>
      <c r="W547" t="s">
        <v>267</v>
      </c>
      <c r="AA547" t="s">
        <v>265</v>
      </c>
      <c r="AC547">
        <v>0</v>
      </c>
      <c r="AD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A547">
        <v>727074.00000000105</v>
      </c>
      <c r="BB547">
        <v>3763215</v>
      </c>
    </row>
    <row r="548" spans="1:54" x14ac:dyDescent="0.35">
      <c r="A548">
        <v>110004</v>
      </c>
      <c r="B548">
        <v>371</v>
      </c>
      <c r="C548" t="s">
        <v>135</v>
      </c>
      <c r="D548" s="15">
        <v>701012160922264</v>
      </c>
      <c r="F548">
        <v>70</v>
      </c>
      <c r="G548" t="s">
        <v>136</v>
      </c>
      <c r="H548">
        <v>7010</v>
      </c>
      <c r="I548" t="s">
        <v>137</v>
      </c>
      <c r="K548" t="s">
        <v>79</v>
      </c>
      <c r="M548">
        <v>12160922261</v>
      </c>
      <c r="N548" t="s">
        <v>160</v>
      </c>
      <c r="O548">
        <v>12160922261</v>
      </c>
      <c r="Q548" t="s">
        <v>262</v>
      </c>
      <c r="R548">
        <v>1</v>
      </c>
      <c r="S548">
        <v>36</v>
      </c>
      <c r="T548" t="s">
        <v>142</v>
      </c>
      <c r="AA548" t="s">
        <v>265</v>
      </c>
      <c r="AC548">
        <v>0</v>
      </c>
      <c r="AD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A548">
        <v>727034.99999999895</v>
      </c>
      <c r="BB548">
        <v>3763233</v>
      </c>
    </row>
    <row r="549" spans="1:54" x14ac:dyDescent="0.35">
      <c r="A549">
        <v>110003</v>
      </c>
      <c r="B549">
        <v>370</v>
      </c>
      <c r="C549" t="s">
        <v>135</v>
      </c>
      <c r="D549" s="15">
        <v>701012160922263</v>
      </c>
      <c r="F549">
        <v>70</v>
      </c>
      <c r="G549" t="s">
        <v>136</v>
      </c>
      <c r="H549">
        <v>7010</v>
      </c>
      <c r="I549" t="s">
        <v>137</v>
      </c>
      <c r="K549" t="s">
        <v>138</v>
      </c>
      <c r="M549">
        <v>12160922263</v>
      </c>
      <c r="N549" t="s">
        <v>139</v>
      </c>
      <c r="O549">
        <v>12160922263</v>
      </c>
      <c r="P549" t="s">
        <v>140</v>
      </c>
      <c r="Q549" t="s">
        <v>141</v>
      </c>
      <c r="R549">
        <v>0</v>
      </c>
      <c r="T549" t="s">
        <v>146</v>
      </c>
      <c r="U549" t="s">
        <v>196</v>
      </c>
      <c r="V549" t="s">
        <v>196</v>
      </c>
      <c r="W549" t="s">
        <v>196</v>
      </c>
      <c r="X549" t="s">
        <v>196</v>
      </c>
      <c r="AA549" t="s">
        <v>144</v>
      </c>
      <c r="AB549" t="s">
        <v>279</v>
      </c>
      <c r="AC549">
        <v>0</v>
      </c>
      <c r="AD549">
        <v>100</v>
      </c>
      <c r="AE549" t="s">
        <v>147</v>
      </c>
      <c r="AF549" t="s">
        <v>148</v>
      </c>
      <c r="AG549" t="s">
        <v>149</v>
      </c>
      <c r="AH549" t="s">
        <v>244</v>
      </c>
      <c r="AJ549" t="s">
        <v>280</v>
      </c>
      <c r="AK549" t="s">
        <v>186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Z549" t="s">
        <v>281</v>
      </c>
      <c r="BA549">
        <v>727035.200000001</v>
      </c>
      <c r="BB549">
        <v>3763233.4</v>
      </c>
    </row>
    <row r="550" spans="1:54" x14ac:dyDescent="0.35">
      <c r="A550">
        <v>110002</v>
      </c>
      <c r="B550">
        <v>369</v>
      </c>
      <c r="C550" t="s">
        <v>135</v>
      </c>
      <c r="D550" s="15">
        <v>701012160922263</v>
      </c>
      <c r="F550">
        <v>70</v>
      </c>
      <c r="G550" t="s">
        <v>136</v>
      </c>
      <c r="H550">
        <v>7010</v>
      </c>
      <c r="I550" t="s">
        <v>137</v>
      </c>
      <c r="K550" t="s">
        <v>79</v>
      </c>
      <c r="M550">
        <v>12160922262</v>
      </c>
      <c r="N550" t="s">
        <v>139</v>
      </c>
      <c r="O550">
        <v>12160922262</v>
      </c>
      <c r="Q550" t="s">
        <v>141</v>
      </c>
      <c r="R550">
        <v>0</v>
      </c>
      <c r="T550" t="s">
        <v>146</v>
      </c>
      <c r="AA550" t="s">
        <v>144</v>
      </c>
      <c r="AB550" t="s">
        <v>279</v>
      </c>
      <c r="AC550">
        <v>0</v>
      </c>
      <c r="AD550">
        <v>100</v>
      </c>
      <c r="AE550" t="s">
        <v>147</v>
      </c>
      <c r="AF550" t="s">
        <v>148</v>
      </c>
      <c r="AG550" t="s">
        <v>149</v>
      </c>
      <c r="AH550" t="s">
        <v>244</v>
      </c>
      <c r="AJ550" t="s">
        <v>280</v>
      </c>
      <c r="AK550" t="s">
        <v>186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Z550" t="s">
        <v>281</v>
      </c>
      <c r="BA550">
        <v>727035.1</v>
      </c>
      <c r="BB550">
        <v>3763233.3</v>
      </c>
    </row>
    <row r="551" spans="1:54" x14ac:dyDescent="0.35">
      <c r="A551">
        <v>110001</v>
      </c>
      <c r="B551">
        <v>368</v>
      </c>
      <c r="C551" t="s">
        <v>135</v>
      </c>
      <c r="D551" s="15">
        <v>701012160922262</v>
      </c>
      <c r="F551">
        <v>70</v>
      </c>
      <c r="G551" t="s">
        <v>136</v>
      </c>
      <c r="H551">
        <v>7010</v>
      </c>
      <c r="I551" t="s">
        <v>137</v>
      </c>
      <c r="K551" t="s">
        <v>138</v>
      </c>
      <c r="M551">
        <v>12160922262</v>
      </c>
      <c r="N551" t="s">
        <v>160</v>
      </c>
      <c r="O551">
        <v>12160922262</v>
      </c>
      <c r="P551" t="s">
        <v>147</v>
      </c>
      <c r="Q551" t="s">
        <v>262</v>
      </c>
      <c r="R551">
        <v>0</v>
      </c>
      <c r="T551" t="s">
        <v>146</v>
      </c>
      <c r="U551" t="s">
        <v>263</v>
      </c>
      <c r="V551" t="s">
        <v>263</v>
      </c>
      <c r="W551" t="s">
        <v>263</v>
      </c>
      <c r="AA551" t="s">
        <v>264</v>
      </c>
      <c r="AB551" t="s">
        <v>279</v>
      </c>
      <c r="AC551">
        <v>0</v>
      </c>
      <c r="AD551">
        <v>100</v>
      </c>
      <c r="AE551" t="s">
        <v>147</v>
      </c>
      <c r="AF551" t="s">
        <v>148</v>
      </c>
      <c r="AG551" t="s">
        <v>149</v>
      </c>
      <c r="AH551" t="s">
        <v>244</v>
      </c>
      <c r="AJ551" t="s">
        <v>280</v>
      </c>
      <c r="AK551" t="s">
        <v>186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Z551" t="s">
        <v>281</v>
      </c>
      <c r="BA551">
        <v>727035.1</v>
      </c>
      <c r="BB551">
        <v>3763233.3</v>
      </c>
    </row>
    <row r="552" spans="1:54" x14ac:dyDescent="0.35">
      <c r="A552">
        <v>110000</v>
      </c>
      <c r="B552">
        <v>367</v>
      </c>
      <c r="C552" t="s">
        <v>135</v>
      </c>
      <c r="D552" s="15">
        <v>701012160922262</v>
      </c>
      <c r="F552">
        <v>70</v>
      </c>
      <c r="G552" t="s">
        <v>136</v>
      </c>
      <c r="H552">
        <v>7010</v>
      </c>
      <c r="I552" t="s">
        <v>137</v>
      </c>
      <c r="K552" t="s">
        <v>79</v>
      </c>
      <c r="M552">
        <v>12160922261</v>
      </c>
      <c r="N552" t="s">
        <v>160</v>
      </c>
      <c r="O552">
        <v>12160922261</v>
      </c>
      <c r="Q552" t="s">
        <v>262</v>
      </c>
      <c r="R552">
        <v>1</v>
      </c>
      <c r="S552">
        <v>36</v>
      </c>
      <c r="T552" t="s">
        <v>142</v>
      </c>
      <c r="AA552" t="s">
        <v>265</v>
      </c>
      <c r="AC552">
        <v>0</v>
      </c>
      <c r="AD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A552">
        <v>727034.99999999895</v>
      </c>
      <c r="BB552">
        <v>3763233</v>
      </c>
    </row>
    <row r="553" spans="1:54" x14ac:dyDescent="0.35">
      <c r="A553">
        <v>109999</v>
      </c>
      <c r="B553">
        <v>366</v>
      </c>
      <c r="C553" t="s">
        <v>135</v>
      </c>
      <c r="D553" s="15">
        <v>701012160922261</v>
      </c>
      <c r="F553">
        <v>70</v>
      </c>
      <c r="G553" t="s">
        <v>136</v>
      </c>
      <c r="H553">
        <v>7010</v>
      </c>
      <c r="I553" t="s">
        <v>137</v>
      </c>
      <c r="K553" t="s">
        <v>138</v>
      </c>
      <c r="M553">
        <v>12160922261</v>
      </c>
      <c r="N553" t="s">
        <v>160</v>
      </c>
      <c r="O553">
        <v>12160922261</v>
      </c>
      <c r="P553" t="s">
        <v>147</v>
      </c>
      <c r="Q553" t="s">
        <v>262</v>
      </c>
      <c r="R553">
        <v>1</v>
      </c>
      <c r="S553">
        <v>36</v>
      </c>
      <c r="T553" t="s">
        <v>142</v>
      </c>
      <c r="U553" t="s">
        <v>267</v>
      </c>
      <c r="V553" t="s">
        <v>267</v>
      </c>
      <c r="W553" t="s">
        <v>267</v>
      </c>
      <c r="AA553" t="s">
        <v>265</v>
      </c>
      <c r="AC553">
        <v>0</v>
      </c>
      <c r="AD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A553">
        <v>727034.99999999895</v>
      </c>
      <c r="BB553">
        <v>3763233</v>
      </c>
    </row>
    <row r="554" spans="1:54" x14ac:dyDescent="0.35">
      <c r="A554">
        <v>109998</v>
      </c>
      <c r="B554">
        <v>365</v>
      </c>
      <c r="C554" t="s">
        <v>135</v>
      </c>
      <c r="D554" s="15">
        <v>701012160922261</v>
      </c>
      <c r="F554">
        <v>70</v>
      </c>
      <c r="G554" t="s">
        <v>136</v>
      </c>
      <c r="H554">
        <v>7010</v>
      </c>
      <c r="I554" t="s">
        <v>137</v>
      </c>
      <c r="K554" t="s">
        <v>79</v>
      </c>
      <c r="M554">
        <v>12160922258</v>
      </c>
      <c r="N554" t="s">
        <v>160</v>
      </c>
      <c r="O554">
        <v>12160922258</v>
      </c>
      <c r="P554" t="s">
        <v>147</v>
      </c>
      <c r="Q554" t="s">
        <v>262</v>
      </c>
      <c r="R554">
        <v>1</v>
      </c>
      <c r="S554">
        <v>36</v>
      </c>
      <c r="T554" t="s">
        <v>142</v>
      </c>
      <c r="U554" t="s">
        <v>267</v>
      </c>
      <c r="V554" t="s">
        <v>267</v>
      </c>
      <c r="W554" t="s">
        <v>267</v>
      </c>
      <c r="AA554" t="s">
        <v>265</v>
      </c>
      <c r="AC554">
        <v>0</v>
      </c>
      <c r="AD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A554">
        <v>726994</v>
      </c>
      <c r="BB554">
        <v>3763250</v>
      </c>
    </row>
    <row r="555" spans="1:54" x14ac:dyDescent="0.35">
      <c r="A555">
        <v>109997</v>
      </c>
      <c r="B555">
        <v>364</v>
      </c>
      <c r="C555" t="s">
        <v>135</v>
      </c>
      <c r="D555" s="15">
        <v>701012160922258</v>
      </c>
      <c r="F555">
        <v>70</v>
      </c>
      <c r="G555" t="s">
        <v>136</v>
      </c>
      <c r="H555">
        <v>7010</v>
      </c>
      <c r="I555" t="s">
        <v>137</v>
      </c>
      <c r="K555" t="s">
        <v>138</v>
      </c>
      <c r="M555">
        <v>12160922258</v>
      </c>
      <c r="N555" t="s">
        <v>160</v>
      </c>
      <c r="O555">
        <v>12160922258</v>
      </c>
      <c r="P555" t="s">
        <v>147</v>
      </c>
      <c r="Q555" t="s">
        <v>262</v>
      </c>
      <c r="R555">
        <v>1</v>
      </c>
      <c r="S555">
        <v>36</v>
      </c>
      <c r="T555" t="s">
        <v>142</v>
      </c>
      <c r="U555" t="s">
        <v>267</v>
      </c>
      <c r="V555" t="s">
        <v>267</v>
      </c>
      <c r="W555" t="s">
        <v>267</v>
      </c>
      <c r="AA555" t="s">
        <v>265</v>
      </c>
      <c r="AC555">
        <v>0</v>
      </c>
      <c r="AD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A555">
        <v>726994</v>
      </c>
      <c r="BB555">
        <v>3763250</v>
      </c>
    </row>
    <row r="556" spans="1:54" x14ac:dyDescent="0.35">
      <c r="A556">
        <v>109996</v>
      </c>
      <c r="B556">
        <v>363</v>
      </c>
      <c r="C556" t="s">
        <v>135</v>
      </c>
      <c r="D556" s="15">
        <v>701012160922258</v>
      </c>
      <c r="F556">
        <v>70</v>
      </c>
      <c r="G556" t="s">
        <v>136</v>
      </c>
      <c r="H556">
        <v>7010</v>
      </c>
      <c r="I556" t="s">
        <v>137</v>
      </c>
      <c r="K556" t="s">
        <v>79</v>
      </c>
      <c r="M556">
        <v>12160922255</v>
      </c>
      <c r="N556" t="s">
        <v>160</v>
      </c>
      <c r="O556">
        <v>12160922255</v>
      </c>
      <c r="Q556" t="s">
        <v>262</v>
      </c>
      <c r="R556">
        <v>1</v>
      </c>
      <c r="S556">
        <v>36</v>
      </c>
      <c r="T556" t="s">
        <v>142</v>
      </c>
      <c r="AA556" t="s">
        <v>265</v>
      </c>
      <c r="AC556">
        <v>0</v>
      </c>
      <c r="AD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A556">
        <v>726941.00000000105</v>
      </c>
      <c r="BB556">
        <v>3763279</v>
      </c>
    </row>
    <row r="557" spans="1:54" x14ac:dyDescent="0.35">
      <c r="A557">
        <v>109995</v>
      </c>
      <c r="B557">
        <v>362</v>
      </c>
      <c r="C557" t="s">
        <v>135</v>
      </c>
      <c r="D557" s="15">
        <v>701012160922257</v>
      </c>
      <c r="F557">
        <v>70</v>
      </c>
      <c r="G557" t="s">
        <v>136</v>
      </c>
      <c r="H557">
        <v>7010</v>
      </c>
      <c r="I557" t="s">
        <v>137</v>
      </c>
      <c r="K557" t="s">
        <v>138</v>
      </c>
      <c r="M557">
        <v>12160922257</v>
      </c>
      <c r="N557" t="s">
        <v>139</v>
      </c>
      <c r="O557">
        <v>12160922257</v>
      </c>
      <c r="P557" t="s">
        <v>140</v>
      </c>
      <c r="Q557" t="s">
        <v>141</v>
      </c>
      <c r="R557">
        <v>0</v>
      </c>
      <c r="T557" t="s">
        <v>146</v>
      </c>
      <c r="U557" t="s">
        <v>154</v>
      </c>
      <c r="V557" t="s">
        <v>154</v>
      </c>
      <c r="W557" t="s">
        <v>154</v>
      </c>
      <c r="X557" t="s">
        <v>154</v>
      </c>
      <c r="AA557" t="s">
        <v>144</v>
      </c>
      <c r="AB557" t="s">
        <v>195</v>
      </c>
      <c r="AC557">
        <v>0</v>
      </c>
      <c r="AD557">
        <v>100</v>
      </c>
      <c r="AE557" t="s">
        <v>147</v>
      </c>
      <c r="AF557" t="s">
        <v>148</v>
      </c>
      <c r="AG557" t="s">
        <v>149</v>
      </c>
      <c r="AH557" t="s">
        <v>182</v>
      </c>
      <c r="AJ557" t="s">
        <v>198</v>
      </c>
      <c r="AK557" t="s">
        <v>186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Z557" t="s">
        <v>199</v>
      </c>
      <c r="BA557">
        <v>726941.2</v>
      </c>
      <c r="BB557">
        <v>3763279.4</v>
      </c>
    </row>
    <row r="558" spans="1:54" x14ac:dyDescent="0.35">
      <c r="A558">
        <v>109994</v>
      </c>
      <c r="B558">
        <v>361</v>
      </c>
      <c r="C558" t="s">
        <v>135</v>
      </c>
      <c r="D558" s="15">
        <v>701012160922257</v>
      </c>
      <c r="F558">
        <v>70</v>
      </c>
      <c r="G558" t="s">
        <v>136</v>
      </c>
      <c r="H558">
        <v>7010</v>
      </c>
      <c r="I558" t="s">
        <v>137</v>
      </c>
      <c r="K558" t="s">
        <v>79</v>
      </c>
      <c r="M558">
        <v>12160922256</v>
      </c>
      <c r="N558" t="s">
        <v>139</v>
      </c>
      <c r="O558">
        <v>12160922256</v>
      </c>
      <c r="Q558" t="s">
        <v>141</v>
      </c>
      <c r="R558">
        <v>0</v>
      </c>
      <c r="T558" t="s">
        <v>146</v>
      </c>
      <c r="AA558" t="s">
        <v>144</v>
      </c>
      <c r="AB558" t="s">
        <v>195</v>
      </c>
      <c r="AC558">
        <v>0</v>
      </c>
      <c r="AD558">
        <v>100</v>
      </c>
      <c r="AE558" t="s">
        <v>147</v>
      </c>
      <c r="AF558" t="s">
        <v>148</v>
      </c>
      <c r="AG558" t="s">
        <v>149</v>
      </c>
      <c r="AH558" t="s">
        <v>182</v>
      </c>
      <c r="AJ558" t="s">
        <v>198</v>
      </c>
      <c r="AK558" t="s">
        <v>186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Z558" t="s">
        <v>199</v>
      </c>
      <c r="BA558">
        <v>726941.1</v>
      </c>
      <c r="BB558">
        <v>3763279.3</v>
      </c>
    </row>
    <row r="559" spans="1:54" x14ac:dyDescent="0.35">
      <c r="A559">
        <v>109993</v>
      </c>
      <c r="B559">
        <v>360</v>
      </c>
      <c r="C559" t="s">
        <v>135</v>
      </c>
      <c r="D559" s="15">
        <v>701012160922256</v>
      </c>
      <c r="F559">
        <v>70</v>
      </c>
      <c r="G559" t="s">
        <v>136</v>
      </c>
      <c r="H559">
        <v>7010</v>
      </c>
      <c r="I559" t="s">
        <v>137</v>
      </c>
      <c r="K559" t="s">
        <v>138</v>
      </c>
      <c r="M559">
        <v>12160922256</v>
      </c>
      <c r="N559" t="s">
        <v>160</v>
      </c>
      <c r="O559">
        <v>12160922256</v>
      </c>
      <c r="P559" t="s">
        <v>147</v>
      </c>
      <c r="Q559" t="s">
        <v>262</v>
      </c>
      <c r="R559">
        <v>0</v>
      </c>
      <c r="T559" t="s">
        <v>146</v>
      </c>
      <c r="U559" t="s">
        <v>263</v>
      </c>
      <c r="V559" t="s">
        <v>263</v>
      </c>
      <c r="W559" t="s">
        <v>263</v>
      </c>
      <c r="AA559" t="s">
        <v>264</v>
      </c>
      <c r="AB559" t="s">
        <v>195</v>
      </c>
      <c r="AC559">
        <v>0</v>
      </c>
      <c r="AD559">
        <v>100</v>
      </c>
      <c r="AE559" t="s">
        <v>147</v>
      </c>
      <c r="AF559" t="s">
        <v>148</v>
      </c>
      <c r="AG559" t="s">
        <v>149</v>
      </c>
      <c r="AH559" t="s">
        <v>182</v>
      </c>
      <c r="AJ559" t="s">
        <v>198</v>
      </c>
      <c r="AK559" t="s">
        <v>186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Z559" t="s">
        <v>199</v>
      </c>
      <c r="BA559">
        <v>726941.1</v>
      </c>
      <c r="BB559">
        <v>3763279.3</v>
      </c>
    </row>
    <row r="560" spans="1:54" x14ac:dyDescent="0.35">
      <c r="A560">
        <v>109992</v>
      </c>
      <c r="B560">
        <v>359</v>
      </c>
      <c r="C560" t="s">
        <v>135</v>
      </c>
      <c r="D560" s="15">
        <v>701012160922256</v>
      </c>
      <c r="F560">
        <v>70</v>
      </c>
      <c r="G560" t="s">
        <v>136</v>
      </c>
      <c r="H560">
        <v>7010</v>
      </c>
      <c r="I560" t="s">
        <v>137</v>
      </c>
      <c r="K560" t="s">
        <v>79</v>
      </c>
      <c r="M560">
        <v>12160922255</v>
      </c>
      <c r="N560" t="s">
        <v>160</v>
      </c>
      <c r="O560">
        <v>12160922255</v>
      </c>
      <c r="Q560" t="s">
        <v>262</v>
      </c>
      <c r="R560">
        <v>1</v>
      </c>
      <c r="S560">
        <v>36</v>
      </c>
      <c r="T560" t="s">
        <v>142</v>
      </c>
      <c r="AA560" t="s">
        <v>265</v>
      </c>
      <c r="AC560">
        <v>0</v>
      </c>
      <c r="AD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A560">
        <v>726941.00000000105</v>
      </c>
      <c r="BB560">
        <v>3763279</v>
      </c>
    </row>
    <row r="561" spans="1:54" x14ac:dyDescent="0.35">
      <c r="A561">
        <v>109991</v>
      </c>
      <c r="B561">
        <v>358</v>
      </c>
      <c r="C561" t="s">
        <v>135</v>
      </c>
      <c r="D561" s="15">
        <v>701012160922255</v>
      </c>
      <c r="F561">
        <v>70</v>
      </c>
      <c r="G561" t="s">
        <v>136</v>
      </c>
      <c r="H561">
        <v>7010</v>
      </c>
      <c r="I561" t="s">
        <v>137</v>
      </c>
      <c r="K561" t="s">
        <v>138</v>
      </c>
      <c r="M561">
        <v>12160922255</v>
      </c>
      <c r="N561" t="s">
        <v>160</v>
      </c>
      <c r="O561">
        <v>12160922255</v>
      </c>
      <c r="P561" t="s">
        <v>147</v>
      </c>
      <c r="Q561" t="s">
        <v>262</v>
      </c>
      <c r="R561">
        <v>1</v>
      </c>
      <c r="S561">
        <v>36</v>
      </c>
      <c r="T561" t="s">
        <v>142</v>
      </c>
      <c r="U561" t="s">
        <v>267</v>
      </c>
      <c r="V561" t="s">
        <v>267</v>
      </c>
      <c r="W561" t="s">
        <v>267</v>
      </c>
      <c r="AA561" t="s">
        <v>265</v>
      </c>
      <c r="AC561">
        <v>0</v>
      </c>
      <c r="AD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A561">
        <v>726941.00000000105</v>
      </c>
      <c r="BB561">
        <v>3763279</v>
      </c>
    </row>
    <row r="562" spans="1:54" x14ac:dyDescent="0.35">
      <c r="A562">
        <v>109990</v>
      </c>
      <c r="B562">
        <v>357</v>
      </c>
      <c r="C562" t="s">
        <v>135</v>
      </c>
      <c r="D562" s="15">
        <v>701012160922255</v>
      </c>
      <c r="F562">
        <v>70</v>
      </c>
      <c r="G562" t="s">
        <v>136</v>
      </c>
      <c r="H562">
        <v>7010</v>
      </c>
      <c r="I562" t="s">
        <v>137</v>
      </c>
      <c r="K562" t="s">
        <v>79</v>
      </c>
      <c r="M562">
        <v>12160922254</v>
      </c>
      <c r="N562" t="s">
        <v>160</v>
      </c>
      <c r="O562">
        <v>12160922254</v>
      </c>
      <c r="Q562" t="s">
        <v>262</v>
      </c>
      <c r="R562">
        <v>1</v>
      </c>
      <c r="S562">
        <v>36</v>
      </c>
      <c r="T562" t="s">
        <v>142</v>
      </c>
      <c r="AA562" t="s">
        <v>265</v>
      </c>
      <c r="AC562">
        <v>0</v>
      </c>
      <c r="AD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A562">
        <v>726907</v>
      </c>
      <c r="BB562">
        <v>3763294</v>
      </c>
    </row>
    <row r="563" spans="1:54" x14ac:dyDescent="0.35">
      <c r="A563">
        <v>109989</v>
      </c>
      <c r="B563">
        <v>356</v>
      </c>
      <c r="C563" t="s">
        <v>135</v>
      </c>
      <c r="D563" s="15">
        <v>701012160922254</v>
      </c>
      <c r="F563">
        <v>70</v>
      </c>
      <c r="G563" t="s">
        <v>136</v>
      </c>
      <c r="H563">
        <v>7010</v>
      </c>
      <c r="I563" t="s">
        <v>137</v>
      </c>
      <c r="K563" t="s">
        <v>138</v>
      </c>
      <c r="M563">
        <v>12160922254</v>
      </c>
      <c r="N563" t="s">
        <v>160</v>
      </c>
      <c r="O563">
        <v>12160922254</v>
      </c>
      <c r="P563" t="s">
        <v>147</v>
      </c>
      <c r="Q563" t="s">
        <v>262</v>
      </c>
      <c r="R563">
        <v>1</v>
      </c>
      <c r="S563">
        <v>36</v>
      </c>
      <c r="T563" t="s">
        <v>142</v>
      </c>
      <c r="U563" t="s">
        <v>267</v>
      </c>
      <c r="V563" t="s">
        <v>267</v>
      </c>
      <c r="W563" t="s">
        <v>267</v>
      </c>
      <c r="AA563" t="s">
        <v>265</v>
      </c>
      <c r="AC563">
        <v>0</v>
      </c>
      <c r="AD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A563">
        <v>726907</v>
      </c>
      <c r="BB563">
        <v>3763294</v>
      </c>
    </row>
    <row r="564" spans="1:54" x14ac:dyDescent="0.35">
      <c r="A564">
        <v>109988</v>
      </c>
      <c r="B564">
        <v>355</v>
      </c>
      <c r="C564" t="s">
        <v>135</v>
      </c>
      <c r="D564" s="15">
        <v>701012160922254</v>
      </c>
      <c r="F564">
        <v>70</v>
      </c>
      <c r="G564" t="s">
        <v>136</v>
      </c>
      <c r="H564">
        <v>7010</v>
      </c>
      <c r="I564" t="s">
        <v>137</v>
      </c>
      <c r="K564" t="s">
        <v>79</v>
      </c>
      <c r="M564">
        <v>12160922247</v>
      </c>
      <c r="N564" t="s">
        <v>160</v>
      </c>
      <c r="O564">
        <v>12160922247</v>
      </c>
      <c r="Q564" t="s">
        <v>262</v>
      </c>
      <c r="R564">
        <v>1</v>
      </c>
      <c r="S564">
        <v>36</v>
      </c>
      <c r="T564" t="s">
        <v>142</v>
      </c>
      <c r="AA564" t="s">
        <v>265</v>
      </c>
      <c r="AC564">
        <v>0</v>
      </c>
      <c r="AD564">
        <v>0</v>
      </c>
      <c r="AN564" t="s">
        <v>266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A564">
        <v>726862.00000000105</v>
      </c>
      <c r="BB564">
        <v>3763313</v>
      </c>
    </row>
    <row r="565" spans="1:54" x14ac:dyDescent="0.35">
      <c r="A565">
        <v>109987</v>
      </c>
      <c r="B565">
        <v>354</v>
      </c>
      <c r="C565" t="s">
        <v>135</v>
      </c>
      <c r="D565" s="15">
        <v>701012160922250</v>
      </c>
      <c r="F565">
        <v>70</v>
      </c>
      <c r="G565" t="s">
        <v>136</v>
      </c>
      <c r="H565">
        <v>7010</v>
      </c>
      <c r="I565" t="s">
        <v>137</v>
      </c>
      <c r="K565" t="s">
        <v>138</v>
      </c>
      <c r="M565">
        <v>12160922250</v>
      </c>
      <c r="N565" t="s">
        <v>160</v>
      </c>
      <c r="O565">
        <v>12160922250</v>
      </c>
      <c r="P565" t="s">
        <v>147</v>
      </c>
      <c r="Q565" t="s">
        <v>262</v>
      </c>
      <c r="R565">
        <v>1</v>
      </c>
      <c r="S565">
        <v>36</v>
      </c>
      <c r="T565" t="s">
        <v>142</v>
      </c>
      <c r="U565" t="s">
        <v>267</v>
      </c>
      <c r="V565" t="s">
        <v>267</v>
      </c>
      <c r="W565" t="s">
        <v>267</v>
      </c>
      <c r="AA565" t="s">
        <v>265</v>
      </c>
      <c r="AC565">
        <v>0</v>
      </c>
      <c r="AD565">
        <v>0</v>
      </c>
      <c r="AN565" t="s">
        <v>266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A565">
        <v>726798.00000000105</v>
      </c>
      <c r="BB565">
        <v>3763313</v>
      </c>
    </row>
    <row r="566" spans="1:54" x14ac:dyDescent="0.35">
      <c r="A566">
        <v>109986</v>
      </c>
      <c r="B566">
        <v>353</v>
      </c>
      <c r="C566" t="s">
        <v>135</v>
      </c>
      <c r="D566" s="15">
        <v>701012160922250</v>
      </c>
      <c r="F566">
        <v>70</v>
      </c>
      <c r="G566" t="s">
        <v>136</v>
      </c>
      <c r="H566">
        <v>7010</v>
      </c>
      <c r="I566" t="s">
        <v>137</v>
      </c>
      <c r="K566" t="s">
        <v>79</v>
      </c>
      <c r="M566">
        <v>12150922239</v>
      </c>
      <c r="N566" t="s">
        <v>160</v>
      </c>
      <c r="O566">
        <v>12150922239</v>
      </c>
      <c r="Q566" t="s">
        <v>262</v>
      </c>
      <c r="R566">
        <v>1</v>
      </c>
      <c r="S566">
        <v>36</v>
      </c>
      <c r="T566" t="s">
        <v>142</v>
      </c>
      <c r="AA566" t="s">
        <v>265</v>
      </c>
      <c r="AC566">
        <v>0</v>
      </c>
      <c r="AD566">
        <v>0</v>
      </c>
      <c r="AN566" t="s">
        <v>271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A566">
        <v>726811.00000000105</v>
      </c>
      <c r="BB566">
        <v>3763338</v>
      </c>
    </row>
    <row r="567" spans="1:54" x14ac:dyDescent="0.35">
      <c r="A567">
        <v>109985</v>
      </c>
      <c r="B567">
        <v>352</v>
      </c>
      <c r="C567" t="s">
        <v>135</v>
      </c>
      <c r="D567" s="15">
        <v>701012160922249</v>
      </c>
      <c r="F567">
        <v>70</v>
      </c>
      <c r="G567" t="s">
        <v>136</v>
      </c>
      <c r="H567">
        <v>7010</v>
      </c>
      <c r="I567" t="s">
        <v>137</v>
      </c>
      <c r="K567" t="s">
        <v>138</v>
      </c>
      <c r="M567">
        <v>12160922249</v>
      </c>
      <c r="N567" t="s">
        <v>139</v>
      </c>
      <c r="O567">
        <v>12160922249</v>
      </c>
      <c r="P567" t="s">
        <v>140</v>
      </c>
      <c r="Q567" t="s">
        <v>141</v>
      </c>
      <c r="R567">
        <v>0</v>
      </c>
      <c r="T567" t="s">
        <v>146</v>
      </c>
      <c r="U567" t="s">
        <v>143</v>
      </c>
      <c r="V567" t="s">
        <v>143</v>
      </c>
      <c r="W567" t="s">
        <v>143</v>
      </c>
      <c r="X567" t="s">
        <v>143</v>
      </c>
      <c r="AA567" t="s">
        <v>144</v>
      </c>
      <c r="AB567" t="s">
        <v>200</v>
      </c>
      <c r="AC567">
        <v>0</v>
      </c>
      <c r="AD567">
        <v>200</v>
      </c>
      <c r="AE567" t="s">
        <v>147</v>
      </c>
      <c r="AF567" t="s">
        <v>148</v>
      </c>
      <c r="AG567" t="s">
        <v>149</v>
      </c>
      <c r="AH567" t="s">
        <v>161</v>
      </c>
      <c r="AJ567" t="s">
        <v>201</v>
      </c>
      <c r="AK567" t="s">
        <v>152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Z567" t="s">
        <v>202</v>
      </c>
      <c r="BA567">
        <v>726860</v>
      </c>
      <c r="BB567">
        <v>3763314</v>
      </c>
    </row>
    <row r="568" spans="1:54" x14ac:dyDescent="0.35">
      <c r="A568">
        <v>109984</v>
      </c>
      <c r="B568">
        <v>351</v>
      </c>
      <c r="C568" t="s">
        <v>135</v>
      </c>
      <c r="D568" s="15">
        <v>701012160922249</v>
      </c>
      <c r="F568">
        <v>70</v>
      </c>
      <c r="G568" t="s">
        <v>136</v>
      </c>
      <c r="H568">
        <v>7010</v>
      </c>
      <c r="I568" t="s">
        <v>137</v>
      </c>
      <c r="K568" t="s">
        <v>79</v>
      </c>
      <c r="M568">
        <v>12160922248</v>
      </c>
      <c r="N568" t="s">
        <v>139</v>
      </c>
      <c r="O568">
        <v>12160922248</v>
      </c>
      <c r="Q568" t="s">
        <v>141</v>
      </c>
      <c r="R568">
        <v>0</v>
      </c>
      <c r="T568" t="s">
        <v>146</v>
      </c>
      <c r="AA568" t="s">
        <v>144</v>
      </c>
      <c r="AB568" t="s">
        <v>200</v>
      </c>
      <c r="AC568">
        <v>0</v>
      </c>
      <c r="AD568">
        <v>200</v>
      </c>
      <c r="AE568" t="s">
        <v>147</v>
      </c>
      <c r="AF568" t="s">
        <v>148</v>
      </c>
      <c r="AG568" t="s">
        <v>149</v>
      </c>
      <c r="AH568" t="s">
        <v>161</v>
      </c>
      <c r="AJ568" t="s">
        <v>201</v>
      </c>
      <c r="AK568" t="s">
        <v>152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Z568" t="s">
        <v>202</v>
      </c>
      <c r="BA568">
        <v>726861</v>
      </c>
      <c r="BB568">
        <v>3763314</v>
      </c>
    </row>
    <row r="569" spans="1:54" x14ac:dyDescent="0.35">
      <c r="A569">
        <v>109983</v>
      </c>
      <c r="B569">
        <v>350</v>
      </c>
      <c r="C569" t="s">
        <v>135</v>
      </c>
      <c r="D569" s="15">
        <v>701012160922248</v>
      </c>
      <c r="F569">
        <v>70</v>
      </c>
      <c r="G569" t="s">
        <v>136</v>
      </c>
      <c r="H569">
        <v>7010</v>
      </c>
      <c r="I569" t="s">
        <v>137</v>
      </c>
      <c r="K569" t="s">
        <v>138</v>
      </c>
      <c r="M569">
        <v>12160922248</v>
      </c>
      <c r="N569" t="s">
        <v>160</v>
      </c>
      <c r="O569">
        <v>12160922248</v>
      </c>
      <c r="P569" t="s">
        <v>147</v>
      </c>
      <c r="Q569" t="s">
        <v>262</v>
      </c>
      <c r="R569">
        <v>0</v>
      </c>
      <c r="T569" t="s">
        <v>146</v>
      </c>
      <c r="U569" t="s">
        <v>263</v>
      </c>
      <c r="V569" t="s">
        <v>263</v>
      </c>
      <c r="W569" t="s">
        <v>263</v>
      </c>
      <c r="AA569" t="s">
        <v>264</v>
      </c>
      <c r="AB569" t="s">
        <v>200</v>
      </c>
      <c r="AC569">
        <v>0</v>
      </c>
      <c r="AD569">
        <v>200</v>
      </c>
      <c r="AE569" t="s">
        <v>147</v>
      </c>
      <c r="AF569" t="s">
        <v>148</v>
      </c>
      <c r="AG569" t="s">
        <v>149</v>
      </c>
      <c r="AH569" t="s">
        <v>161</v>
      </c>
      <c r="AJ569" t="s">
        <v>201</v>
      </c>
      <c r="AK569" t="s">
        <v>152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Z569" t="s">
        <v>202</v>
      </c>
      <c r="BA569">
        <v>726861</v>
      </c>
      <c r="BB569">
        <v>3763314</v>
      </c>
    </row>
    <row r="570" spans="1:54" x14ac:dyDescent="0.35">
      <c r="A570">
        <v>109982</v>
      </c>
      <c r="B570">
        <v>349</v>
      </c>
      <c r="C570" t="s">
        <v>135</v>
      </c>
      <c r="D570" s="15">
        <v>701012160922248</v>
      </c>
      <c r="F570">
        <v>70</v>
      </c>
      <c r="G570" t="s">
        <v>136</v>
      </c>
      <c r="H570">
        <v>7010</v>
      </c>
      <c r="I570" t="s">
        <v>137</v>
      </c>
      <c r="K570" t="s">
        <v>79</v>
      </c>
      <c r="M570">
        <v>12160922247</v>
      </c>
      <c r="N570" t="s">
        <v>160</v>
      </c>
      <c r="O570">
        <v>12160922247</v>
      </c>
      <c r="Q570" t="s">
        <v>262</v>
      </c>
      <c r="R570">
        <v>1</v>
      </c>
      <c r="S570">
        <v>36</v>
      </c>
      <c r="T570" t="s">
        <v>142</v>
      </c>
      <c r="AA570" t="s">
        <v>265</v>
      </c>
      <c r="AC570">
        <v>0</v>
      </c>
      <c r="AD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A570">
        <v>726862.00000000105</v>
      </c>
      <c r="BB570">
        <v>3763313</v>
      </c>
    </row>
    <row r="571" spans="1:54" x14ac:dyDescent="0.35">
      <c r="A571">
        <v>109981</v>
      </c>
      <c r="B571">
        <v>348</v>
      </c>
      <c r="C571" t="s">
        <v>135</v>
      </c>
      <c r="D571" s="15">
        <v>701012160922247</v>
      </c>
      <c r="F571">
        <v>70</v>
      </c>
      <c r="G571" t="s">
        <v>136</v>
      </c>
      <c r="H571">
        <v>7010</v>
      </c>
      <c r="I571" t="s">
        <v>137</v>
      </c>
      <c r="K571" t="s">
        <v>138</v>
      </c>
      <c r="M571">
        <v>12160922247</v>
      </c>
      <c r="N571" t="s">
        <v>160</v>
      </c>
      <c r="O571">
        <v>12160922247</v>
      </c>
      <c r="P571" t="s">
        <v>147</v>
      </c>
      <c r="Q571" t="s">
        <v>262</v>
      </c>
      <c r="R571">
        <v>1</v>
      </c>
      <c r="S571">
        <v>36</v>
      </c>
      <c r="T571" t="s">
        <v>142</v>
      </c>
      <c r="U571" t="s">
        <v>267</v>
      </c>
      <c r="V571" t="s">
        <v>267</v>
      </c>
      <c r="W571" t="s">
        <v>267</v>
      </c>
      <c r="AA571" t="s">
        <v>265</v>
      </c>
      <c r="AC571">
        <v>0</v>
      </c>
      <c r="AD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A571">
        <v>726862.00000000105</v>
      </c>
      <c r="BB571">
        <v>3763313</v>
      </c>
    </row>
    <row r="572" spans="1:54" x14ac:dyDescent="0.35">
      <c r="A572">
        <v>109980</v>
      </c>
      <c r="B572">
        <v>347</v>
      </c>
      <c r="C572" t="s">
        <v>135</v>
      </c>
      <c r="D572" s="15">
        <v>701012160922247</v>
      </c>
      <c r="F572">
        <v>70</v>
      </c>
      <c r="G572" t="s">
        <v>136</v>
      </c>
      <c r="H572">
        <v>7010</v>
      </c>
      <c r="I572" t="s">
        <v>137</v>
      </c>
      <c r="K572" t="s">
        <v>79</v>
      </c>
      <c r="M572">
        <v>12150922239</v>
      </c>
      <c r="N572" t="s">
        <v>160</v>
      </c>
      <c r="O572">
        <v>12150922239</v>
      </c>
      <c r="Q572" t="s">
        <v>262</v>
      </c>
      <c r="R572">
        <v>1</v>
      </c>
      <c r="S572">
        <v>36</v>
      </c>
      <c r="T572" t="s">
        <v>142</v>
      </c>
      <c r="AA572" t="s">
        <v>265</v>
      </c>
      <c r="AC572">
        <v>0</v>
      </c>
      <c r="AD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A572">
        <v>726811.00000000105</v>
      </c>
      <c r="BB572">
        <v>3763338</v>
      </c>
    </row>
    <row r="573" spans="1:54" x14ac:dyDescent="0.35">
      <c r="A573">
        <v>109979</v>
      </c>
      <c r="B573">
        <v>346</v>
      </c>
      <c r="C573" t="s">
        <v>135</v>
      </c>
      <c r="D573" s="15">
        <v>701012150922242</v>
      </c>
      <c r="F573">
        <v>70</v>
      </c>
      <c r="G573" t="s">
        <v>136</v>
      </c>
      <c r="H573">
        <v>7010</v>
      </c>
      <c r="I573" t="s">
        <v>137</v>
      </c>
      <c r="K573" t="s">
        <v>138</v>
      </c>
      <c r="M573">
        <v>12150922242</v>
      </c>
      <c r="N573" t="s">
        <v>139</v>
      </c>
      <c r="O573">
        <v>12150922242</v>
      </c>
      <c r="P573" t="s">
        <v>140</v>
      </c>
      <c r="Q573" t="s">
        <v>141</v>
      </c>
      <c r="R573">
        <v>0</v>
      </c>
      <c r="T573" t="s">
        <v>146</v>
      </c>
      <c r="U573" t="s">
        <v>154</v>
      </c>
      <c r="V573" t="s">
        <v>154</v>
      </c>
      <c r="W573" t="s">
        <v>154</v>
      </c>
      <c r="X573" t="s">
        <v>154</v>
      </c>
      <c r="AA573" t="s">
        <v>144</v>
      </c>
      <c r="AB573" t="s">
        <v>282</v>
      </c>
      <c r="AC573">
        <v>0</v>
      </c>
      <c r="AD573">
        <v>100</v>
      </c>
      <c r="AE573" t="s">
        <v>147</v>
      </c>
      <c r="AF573" t="s">
        <v>148</v>
      </c>
      <c r="AG573" t="s">
        <v>149</v>
      </c>
      <c r="AH573" t="s">
        <v>234</v>
      </c>
      <c r="AK573" t="s">
        <v>152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Z573" t="s">
        <v>283</v>
      </c>
      <c r="BA573">
        <v>726629.00000000105</v>
      </c>
      <c r="BB573">
        <v>3763428</v>
      </c>
    </row>
    <row r="574" spans="1:54" x14ac:dyDescent="0.35">
      <c r="A574">
        <v>109978</v>
      </c>
      <c r="B574">
        <v>345</v>
      </c>
      <c r="C574" t="s">
        <v>135</v>
      </c>
      <c r="D574" s="15">
        <v>701012150922242</v>
      </c>
      <c r="F574">
        <v>70</v>
      </c>
      <c r="G574" t="s">
        <v>136</v>
      </c>
      <c r="H574">
        <v>7010</v>
      </c>
      <c r="I574" t="s">
        <v>137</v>
      </c>
      <c r="K574" t="s">
        <v>79</v>
      </c>
      <c r="M574">
        <v>12150922241</v>
      </c>
      <c r="N574" t="s">
        <v>139</v>
      </c>
      <c r="O574">
        <v>12150922241</v>
      </c>
      <c r="Q574" t="s">
        <v>141</v>
      </c>
      <c r="R574">
        <v>0</v>
      </c>
      <c r="T574" t="s">
        <v>146</v>
      </c>
      <c r="AA574" t="s">
        <v>144</v>
      </c>
      <c r="AB574" t="s">
        <v>282</v>
      </c>
      <c r="AC574">
        <v>0</v>
      </c>
      <c r="AD574">
        <v>100</v>
      </c>
      <c r="AE574" t="s">
        <v>147</v>
      </c>
      <c r="AF574" t="s">
        <v>148</v>
      </c>
      <c r="AG574" t="s">
        <v>149</v>
      </c>
      <c r="AH574" t="s">
        <v>234</v>
      </c>
      <c r="AK574" t="s">
        <v>152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Z574" t="s">
        <v>283</v>
      </c>
      <c r="BA574">
        <v>726630</v>
      </c>
      <c r="BB574">
        <v>3763427</v>
      </c>
    </row>
    <row r="575" spans="1:54" x14ac:dyDescent="0.35">
      <c r="A575">
        <v>109977</v>
      </c>
      <c r="B575">
        <v>344</v>
      </c>
      <c r="C575" t="s">
        <v>135</v>
      </c>
      <c r="D575" s="15">
        <v>701012150922241</v>
      </c>
      <c r="F575">
        <v>70</v>
      </c>
      <c r="G575" t="s">
        <v>136</v>
      </c>
      <c r="H575">
        <v>7010</v>
      </c>
      <c r="I575" t="s">
        <v>137</v>
      </c>
      <c r="K575" t="s">
        <v>138</v>
      </c>
      <c r="M575">
        <v>12150922241</v>
      </c>
      <c r="N575" t="s">
        <v>160</v>
      </c>
      <c r="O575">
        <v>12150922241</v>
      </c>
      <c r="P575" t="s">
        <v>147</v>
      </c>
      <c r="Q575" t="s">
        <v>262</v>
      </c>
      <c r="R575">
        <v>0</v>
      </c>
      <c r="T575" t="s">
        <v>146</v>
      </c>
      <c r="U575" t="s">
        <v>263</v>
      </c>
      <c r="V575" t="s">
        <v>263</v>
      </c>
      <c r="W575" t="s">
        <v>263</v>
      </c>
      <c r="AA575" t="s">
        <v>264</v>
      </c>
      <c r="AB575" t="s">
        <v>282</v>
      </c>
      <c r="AC575">
        <v>0</v>
      </c>
      <c r="AD575">
        <v>100</v>
      </c>
      <c r="AE575" t="s">
        <v>147</v>
      </c>
      <c r="AF575" t="s">
        <v>148</v>
      </c>
      <c r="AG575" t="s">
        <v>149</v>
      </c>
      <c r="AH575" t="s">
        <v>234</v>
      </c>
      <c r="AK575" t="s">
        <v>152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Z575" t="s">
        <v>283</v>
      </c>
      <c r="BA575">
        <v>726630</v>
      </c>
      <c r="BB575">
        <v>3763427</v>
      </c>
    </row>
    <row r="576" spans="1:54" x14ac:dyDescent="0.35">
      <c r="A576">
        <v>109976</v>
      </c>
      <c r="B576">
        <v>343</v>
      </c>
      <c r="C576" t="s">
        <v>135</v>
      </c>
      <c r="D576" s="15">
        <v>701012150922241</v>
      </c>
      <c r="F576">
        <v>70</v>
      </c>
      <c r="G576" t="s">
        <v>136</v>
      </c>
      <c r="H576">
        <v>7010</v>
      </c>
      <c r="I576" t="s">
        <v>137</v>
      </c>
      <c r="K576" t="s">
        <v>79</v>
      </c>
      <c r="M576">
        <v>12150922240</v>
      </c>
      <c r="N576" t="s">
        <v>160</v>
      </c>
      <c r="O576">
        <v>12150922240</v>
      </c>
      <c r="Q576" t="s">
        <v>262</v>
      </c>
      <c r="R576">
        <v>1</v>
      </c>
      <c r="S576">
        <v>36</v>
      </c>
      <c r="T576" t="s">
        <v>142</v>
      </c>
      <c r="AA576" t="s">
        <v>265</v>
      </c>
      <c r="AC576">
        <v>0</v>
      </c>
      <c r="AD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A576">
        <v>726630.99999999895</v>
      </c>
      <c r="BB576">
        <v>3763427</v>
      </c>
    </row>
    <row r="577" spans="1:54" x14ac:dyDescent="0.35">
      <c r="A577">
        <v>109975</v>
      </c>
      <c r="B577">
        <v>342</v>
      </c>
      <c r="C577" t="s">
        <v>135</v>
      </c>
      <c r="D577" s="15">
        <v>701012150922240</v>
      </c>
      <c r="F577">
        <v>70</v>
      </c>
      <c r="G577" t="s">
        <v>136</v>
      </c>
      <c r="H577">
        <v>7010</v>
      </c>
      <c r="I577" t="s">
        <v>137</v>
      </c>
      <c r="K577" t="s">
        <v>138</v>
      </c>
      <c r="M577">
        <v>12150922240</v>
      </c>
      <c r="N577" t="s">
        <v>160</v>
      </c>
      <c r="O577">
        <v>12150922240</v>
      </c>
      <c r="P577" t="s">
        <v>147</v>
      </c>
      <c r="Q577" t="s">
        <v>262</v>
      </c>
      <c r="R577">
        <v>1</v>
      </c>
      <c r="S577">
        <v>36</v>
      </c>
      <c r="T577" t="s">
        <v>142</v>
      </c>
      <c r="U577" t="s">
        <v>267</v>
      </c>
      <c r="V577" t="s">
        <v>267</v>
      </c>
      <c r="W577" t="s">
        <v>267</v>
      </c>
      <c r="AA577" t="s">
        <v>265</v>
      </c>
      <c r="AC577">
        <v>0</v>
      </c>
      <c r="AD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A577">
        <v>726630.99999999895</v>
      </c>
      <c r="BB577">
        <v>3763427</v>
      </c>
    </row>
    <row r="578" spans="1:54" x14ac:dyDescent="0.35">
      <c r="A578">
        <v>109974</v>
      </c>
      <c r="B578">
        <v>341</v>
      </c>
      <c r="C578" t="s">
        <v>135</v>
      </c>
      <c r="D578" s="15">
        <v>701012150922240</v>
      </c>
      <c r="F578">
        <v>70</v>
      </c>
      <c r="G578" t="s">
        <v>136</v>
      </c>
      <c r="H578">
        <v>7010</v>
      </c>
      <c r="I578" t="s">
        <v>137</v>
      </c>
      <c r="K578" t="s">
        <v>79</v>
      </c>
      <c r="M578">
        <v>12150922238</v>
      </c>
      <c r="N578" t="s">
        <v>160</v>
      </c>
      <c r="O578">
        <v>12150922238</v>
      </c>
      <c r="Q578" t="s">
        <v>262</v>
      </c>
      <c r="R578">
        <v>1</v>
      </c>
      <c r="S578">
        <v>36</v>
      </c>
      <c r="T578" t="s">
        <v>142</v>
      </c>
      <c r="AA578" t="s">
        <v>265</v>
      </c>
      <c r="AC578">
        <v>0</v>
      </c>
      <c r="AD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A578">
        <v>726682</v>
      </c>
      <c r="BB578">
        <v>3763397</v>
      </c>
    </row>
    <row r="579" spans="1:54" x14ac:dyDescent="0.35">
      <c r="A579">
        <v>109973</v>
      </c>
      <c r="B579">
        <v>340</v>
      </c>
      <c r="C579" t="s">
        <v>135</v>
      </c>
      <c r="D579" s="15">
        <v>701012150922239</v>
      </c>
      <c r="F579">
        <v>70</v>
      </c>
      <c r="G579" t="s">
        <v>136</v>
      </c>
      <c r="H579">
        <v>7010</v>
      </c>
      <c r="I579" t="s">
        <v>137</v>
      </c>
      <c r="K579" t="s">
        <v>138</v>
      </c>
      <c r="M579">
        <v>12150922239</v>
      </c>
      <c r="N579" t="s">
        <v>160</v>
      </c>
      <c r="O579">
        <v>12150922239</v>
      </c>
      <c r="P579" t="s">
        <v>147</v>
      </c>
      <c r="Q579" t="s">
        <v>262</v>
      </c>
      <c r="R579">
        <v>1</v>
      </c>
      <c r="S579">
        <v>36</v>
      </c>
      <c r="T579" t="s">
        <v>142</v>
      </c>
      <c r="U579" t="s">
        <v>267</v>
      </c>
      <c r="V579" t="s">
        <v>267</v>
      </c>
      <c r="W579" t="s">
        <v>267</v>
      </c>
      <c r="AA579" t="s">
        <v>265</v>
      </c>
      <c r="AC579">
        <v>0</v>
      </c>
      <c r="AD579">
        <v>0</v>
      </c>
      <c r="AN579" t="s">
        <v>271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A579">
        <v>726811.00000000105</v>
      </c>
      <c r="BB579">
        <v>3763338</v>
      </c>
    </row>
    <row r="580" spans="1:54" x14ac:dyDescent="0.35">
      <c r="A580">
        <v>109972</v>
      </c>
      <c r="B580">
        <v>339</v>
      </c>
      <c r="C580" t="s">
        <v>135</v>
      </c>
      <c r="D580" s="15">
        <v>701012150922239</v>
      </c>
      <c r="F580">
        <v>70</v>
      </c>
      <c r="G580" t="s">
        <v>136</v>
      </c>
      <c r="H580">
        <v>7010</v>
      </c>
      <c r="I580" t="s">
        <v>137</v>
      </c>
      <c r="K580" t="s">
        <v>79</v>
      </c>
      <c r="M580">
        <v>12150922234</v>
      </c>
      <c r="N580" t="s">
        <v>160</v>
      </c>
      <c r="O580">
        <v>12150922234</v>
      </c>
      <c r="Q580" t="s">
        <v>262</v>
      </c>
      <c r="R580">
        <v>1</v>
      </c>
      <c r="S580">
        <v>36</v>
      </c>
      <c r="T580" t="s">
        <v>142</v>
      </c>
      <c r="AA580" t="s">
        <v>265</v>
      </c>
      <c r="AC580">
        <v>0</v>
      </c>
      <c r="AD580">
        <v>0</v>
      </c>
      <c r="AN580" t="s">
        <v>271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A580">
        <v>726765.00000000105</v>
      </c>
      <c r="BB580">
        <v>3763361</v>
      </c>
    </row>
    <row r="581" spans="1:54" x14ac:dyDescent="0.35">
      <c r="A581">
        <v>109971</v>
      </c>
      <c r="B581">
        <v>338</v>
      </c>
      <c r="C581" t="s">
        <v>135</v>
      </c>
      <c r="D581" s="15">
        <v>701012150922238</v>
      </c>
      <c r="F581">
        <v>70</v>
      </c>
      <c r="G581" t="s">
        <v>136</v>
      </c>
      <c r="H581">
        <v>7010</v>
      </c>
      <c r="I581" t="s">
        <v>137</v>
      </c>
      <c r="K581" t="s">
        <v>138</v>
      </c>
      <c r="M581">
        <v>12150922238</v>
      </c>
      <c r="N581" t="s">
        <v>160</v>
      </c>
      <c r="O581">
        <v>12150922238</v>
      </c>
      <c r="P581" t="s">
        <v>147</v>
      </c>
      <c r="Q581" t="s">
        <v>262</v>
      </c>
      <c r="R581">
        <v>1</v>
      </c>
      <c r="S581">
        <v>36</v>
      </c>
      <c r="T581" t="s">
        <v>142</v>
      </c>
      <c r="U581" t="s">
        <v>267</v>
      </c>
      <c r="V581" t="s">
        <v>267</v>
      </c>
      <c r="W581" t="s">
        <v>267</v>
      </c>
      <c r="AA581" t="s">
        <v>265</v>
      </c>
      <c r="AC581">
        <v>0</v>
      </c>
      <c r="AD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A581">
        <v>726682</v>
      </c>
      <c r="BB581">
        <v>3763397</v>
      </c>
    </row>
    <row r="582" spans="1:54" x14ac:dyDescent="0.35">
      <c r="A582">
        <v>109970</v>
      </c>
      <c r="B582">
        <v>337</v>
      </c>
      <c r="C582" t="s">
        <v>135</v>
      </c>
      <c r="D582" s="15">
        <v>701012150922238</v>
      </c>
      <c r="F582">
        <v>70</v>
      </c>
      <c r="G582" t="s">
        <v>136</v>
      </c>
      <c r="H582">
        <v>7010</v>
      </c>
      <c r="I582" t="s">
        <v>137</v>
      </c>
      <c r="K582" t="s">
        <v>79</v>
      </c>
      <c r="M582">
        <v>12150922235</v>
      </c>
      <c r="N582" t="s">
        <v>160</v>
      </c>
      <c r="O582">
        <v>12150922235</v>
      </c>
      <c r="Q582" t="s">
        <v>262</v>
      </c>
      <c r="R582">
        <v>1</v>
      </c>
      <c r="S582">
        <v>36</v>
      </c>
      <c r="T582" t="s">
        <v>142</v>
      </c>
      <c r="AA582" t="s">
        <v>265</v>
      </c>
      <c r="AC582">
        <v>0</v>
      </c>
      <c r="AD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A582">
        <v>726727.00000000105</v>
      </c>
      <c r="BB582">
        <v>3763377</v>
      </c>
    </row>
    <row r="583" spans="1:54" x14ac:dyDescent="0.35">
      <c r="A583">
        <v>109969</v>
      </c>
      <c r="B583">
        <v>336</v>
      </c>
      <c r="C583" t="s">
        <v>135</v>
      </c>
      <c r="D583" s="15">
        <v>701012150922237</v>
      </c>
      <c r="F583">
        <v>70</v>
      </c>
      <c r="G583" t="s">
        <v>136</v>
      </c>
      <c r="H583">
        <v>7010</v>
      </c>
      <c r="I583" t="s">
        <v>137</v>
      </c>
      <c r="K583" t="s">
        <v>138</v>
      </c>
      <c r="M583">
        <v>12150922237</v>
      </c>
      <c r="N583" t="s">
        <v>139</v>
      </c>
      <c r="O583">
        <v>12150922237</v>
      </c>
      <c r="P583" t="s">
        <v>140</v>
      </c>
      <c r="Q583" t="s">
        <v>141</v>
      </c>
      <c r="R583">
        <v>0</v>
      </c>
      <c r="T583" t="s">
        <v>146</v>
      </c>
      <c r="U583" t="s">
        <v>154</v>
      </c>
      <c r="V583" t="s">
        <v>154</v>
      </c>
      <c r="W583" t="s">
        <v>154</v>
      </c>
      <c r="X583" t="s">
        <v>154</v>
      </c>
      <c r="AA583" t="s">
        <v>144</v>
      </c>
      <c r="AB583" t="s">
        <v>203</v>
      </c>
      <c r="AC583">
        <v>0</v>
      </c>
      <c r="AD583">
        <v>100</v>
      </c>
      <c r="AE583" t="s">
        <v>147</v>
      </c>
      <c r="AF583" t="s">
        <v>148</v>
      </c>
      <c r="AG583" t="s">
        <v>149</v>
      </c>
      <c r="AH583" t="s">
        <v>182</v>
      </c>
      <c r="AJ583" t="s">
        <v>205</v>
      </c>
      <c r="AK583" t="s">
        <v>186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Z583" t="s">
        <v>206</v>
      </c>
      <c r="BA583">
        <v>726727.4</v>
      </c>
      <c r="BB583">
        <v>3763377.8</v>
      </c>
    </row>
    <row r="584" spans="1:54" x14ac:dyDescent="0.35">
      <c r="A584">
        <v>109968</v>
      </c>
      <c r="B584">
        <v>335</v>
      </c>
      <c r="C584" t="s">
        <v>135</v>
      </c>
      <c r="D584" s="15">
        <v>701012150922237</v>
      </c>
      <c r="F584">
        <v>70</v>
      </c>
      <c r="G584" t="s">
        <v>136</v>
      </c>
      <c r="H584">
        <v>7010</v>
      </c>
      <c r="I584" t="s">
        <v>137</v>
      </c>
      <c r="K584" t="s">
        <v>79</v>
      </c>
      <c r="M584">
        <v>12150922236</v>
      </c>
      <c r="N584" t="s">
        <v>139</v>
      </c>
      <c r="O584">
        <v>12150922236</v>
      </c>
      <c r="Q584" t="s">
        <v>141</v>
      </c>
      <c r="R584">
        <v>0</v>
      </c>
      <c r="T584" t="s">
        <v>146</v>
      </c>
      <c r="AA584" t="s">
        <v>144</v>
      </c>
      <c r="AB584" t="s">
        <v>203</v>
      </c>
      <c r="AC584">
        <v>0</v>
      </c>
      <c r="AD584">
        <v>100</v>
      </c>
      <c r="AE584" t="s">
        <v>147</v>
      </c>
      <c r="AF584" t="s">
        <v>148</v>
      </c>
      <c r="AG584" t="s">
        <v>149</v>
      </c>
      <c r="AH584" t="s">
        <v>182</v>
      </c>
      <c r="AJ584" t="s">
        <v>205</v>
      </c>
      <c r="AK584" t="s">
        <v>186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Z584" t="s">
        <v>206</v>
      </c>
      <c r="BA584">
        <v>726727.10000000102</v>
      </c>
      <c r="BB584">
        <v>3763377.5</v>
      </c>
    </row>
    <row r="585" spans="1:54" x14ac:dyDescent="0.35">
      <c r="A585">
        <v>109967</v>
      </c>
      <c r="B585">
        <v>334</v>
      </c>
      <c r="C585" t="s">
        <v>135</v>
      </c>
      <c r="D585" s="15">
        <v>701012150922236</v>
      </c>
      <c r="F585">
        <v>70</v>
      </c>
      <c r="G585" t="s">
        <v>136</v>
      </c>
      <c r="H585">
        <v>7010</v>
      </c>
      <c r="I585" t="s">
        <v>137</v>
      </c>
      <c r="K585" t="s">
        <v>138</v>
      </c>
      <c r="M585">
        <v>12150922236</v>
      </c>
      <c r="N585" t="s">
        <v>160</v>
      </c>
      <c r="O585">
        <v>12150922236</v>
      </c>
      <c r="P585" t="s">
        <v>147</v>
      </c>
      <c r="Q585" t="s">
        <v>262</v>
      </c>
      <c r="R585">
        <v>0</v>
      </c>
      <c r="T585" t="s">
        <v>146</v>
      </c>
      <c r="U585" t="s">
        <v>263</v>
      </c>
      <c r="V585" t="s">
        <v>263</v>
      </c>
      <c r="W585" t="s">
        <v>263</v>
      </c>
      <c r="AA585" t="s">
        <v>264</v>
      </c>
      <c r="AB585" t="s">
        <v>203</v>
      </c>
      <c r="AC585">
        <v>0</v>
      </c>
      <c r="AD585">
        <v>100</v>
      </c>
      <c r="AE585" t="s">
        <v>147</v>
      </c>
      <c r="AF585" t="s">
        <v>148</v>
      </c>
      <c r="AG585" t="s">
        <v>149</v>
      </c>
      <c r="AH585" t="s">
        <v>182</v>
      </c>
      <c r="AJ585" t="s">
        <v>205</v>
      </c>
      <c r="AK585" t="s">
        <v>186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Z585" t="s">
        <v>206</v>
      </c>
      <c r="BA585">
        <v>726727.10000000102</v>
      </c>
      <c r="BB585">
        <v>3763377.5</v>
      </c>
    </row>
    <row r="586" spans="1:54" x14ac:dyDescent="0.35">
      <c r="A586">
        <v>109966</v>
      </c>
      <c r="B586">
        <v>333</v>
      </c>
      <c r="C586" t="s">
        <v>135</v>
      </c>
      <c r="D586" s="15">
        <v>701012150922236</v>
      </c>
      <c r="F586">
        <v>70</v>
      </c>
      <c r="G586" t="s">
        <v>136</v>
      </c>
      <c r="H586">
        <v>7010</v>
      </c>
      <c r="I586" t="s">
        <v>137</v>
      </c>
      <c r="K586" t="s">
        <v>79</v>
      </c>
      <c r="M586">
        <v>12150922235</v>
      </c>
      <c r="N586" t="s">
        <v>160</v>
      </c>
      <c r="O586">
        <v>12150922235</v>
      </c>
      <c r="Q586" t="s">
        <v>262</v>
      </c>
      <c r="R586">
        <v>1</v>
      </c>
      <c r="S586">
        <v>36</v>
      </c>
      <c r="T586" t="s">
        <v>142</v>
      </c>
      <c r="AA586" t="s">
        <v>265</v>
      </c>
      <c r="AC586">
        <v>0</v>
      </c>
      <c r="AD586">
        <v>0</v>
      </c>
      <c r="AN586" t="s">
        <v>271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A586">
        <v>726727.00000000105</v>
      </c>
      <c r="BB586">
        <v>3763377</v>
      </c>
    </row>
    <row r="587" spans="1:54" x14ac:dyDescent="0.35">
      <c r="A587">
        <v>109965</v>
      </c>
      <c r="B587">
        <v>332</v>
      </c>
      <c r="C587" t="s">
        <v>135</v>
      </c>
      <c r="D587" s="15">
        <v>701012150922235</v>
      </c>
      <c r="F587">
        <v>70</v>
      </c>
      <c r="G587" t="s">
        <v>136</v>
      </c>
      <c r="H587">
        <v>7010</v>
      </c>
      <c r="I587" t="s">
        <v>137</v>
      </c>
      <c r="K587" t="s">
        <v>138</v>
      </c>
      <c r="M587">
        <v>12150922235</v>
      </c>
      <c r="N587" t="s">
        <v>160</v>
      </c>
      <c r="O587">
        <v>12150922235</v>
      </c>
      <c r="P587" t="s">
        <v>147</v>
      </c>
      <c r="Q587" t="s">
        <v>262</v>
      </c>
      <c r="R587">
        <v>1</v>
      </c>
      <c r="S587">
        <v>36</v>
      </c>
      <c r="T587" t="s">
        <v>142</v>
      </c>
      <c r="U587" t="s">
        <v>267</v>
      </c>
      <c r="V587" t="s">
        <v>267</v>
      </c>
      <c r="W587" t="s">
        <v>267</v>
      </c>
      <c r="AA587" t="s">
        <v>265</v>
      </c>
      <c r="AC587">
        <v>0</v>
      </c>
      <c r="AD587">
        <v>0</v>
      </c>
      <c r="AN587" t="s">
        <v>271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A587">
        <v>726727.00000000105</v>
      </c>
      <c r="BB587">
        <v>3763377</v>
      </c>
    </row>
    <row r="588" spans="1:54" x14ac:dyDescent="0.35">
      <c r="A588">
        <v>109964</v>
      </c>
      <c r="B588">
        <v>331</v>
      </c>
      <c r="C588" t="s">
        <v>135</v>
      </c>
      <c r="D588" s="15">
        <v>701012150922235</v>
      </c>
      <c r="F588">
        <v>70</v>
      </c>
      <c r="G588" t="s">
        <v>136</v>
      </c>
      <c r="H588">
        <v>7010</v>
      </c>
      <c r="I588" t="s">
        <v>137</v>
      </c>
      <c r="K588" t="s">
        <v>79</v>
      </c>
      <c r="M588">
        <v>12150922234</v>
      </c>
      <c r="N588" t="s">
        <v>160</v>
      </c>
      <c r="O588">
        <v>12150922234</v>
      </c>
      <c r="Q588" t="s">
        <v>262</v>
      </c>
      <c r="R588">
        <v>1</v>
      </c>
      <c r="S588">
        <v>36</v>
      </c>
      <c r="T588" t="s">
        <v>142</v>
      </c>
      <c r="AA588" t="s">
        <v>265</v>
      </c>
      <c r="AC588">
        <v>0</v>
      </c>
      <c r="AD588">
        <v>0</v>
      </c>
      <c r="AN588" t="s">
        <v>271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A588">
        <v>726765.00000000105</v>
      </c>
      <c r="BB588">
        <v>3763361</v>
      </c>
    </row>
    <row r="589" spans="1:54" x14ac:dyDescent="0.35">
      <c r="A589">
        <v>109963</v>
      </c>
      <c r="B589">
        <v>330</v>
      </c>
      <c r="C589" t="s">
        <v>135</v>
      </c>
      <c r="D589" s="15">
        <v>701012150922234</v>
      </c>
      <c r="F589">
        <v>70</v>
      </c>
      <c r="G589" t="s">
        <v>136</v>
      </c>
      <c r="H589">
        <v>7010</v>
      </c>
      <c r="I589" t="s">
        <v>137</v>
      </c>
      <c r="K589" t="s">
        <v>138</v>
      </c>
      <c r="M589">
        <v>12150922234</v>
      </c>
      <c r="N589" t="s">
        <v>160</v>
      </c>
      <c r="O589">
        <v>12150922234</v>
      </c>
      <c r="P589" t="s">
        <v>147</v>
      </c>
      <c r="Q589" t="s">
        <v>262</v>
      </c>
      <c r="R589">
        <v>1</v>
      </c>
      <c r="S589">
        <v>36</v>
      </c>
      <c r="T589" t="s">
        <v>142</v>
      </c>
      <c r="U589" t="s">
        <v>267</v>
      </c>
      <c r="V589" t="s">
        <v>267</v>
      </c>
      <c r="W589" t="s">
        <v>267</v>
      </c>
      <c r="AA589" t="s">
        <v>265</v>
      </c>
      <c r="AC589">
        <v>0</v>
      </c>
      <c r="AD589">
        <v>0</v>
      </c>
      <c r="AN589" t="s">
        <v>271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A589">
        <v>726765.00000000105</v>
      </c>
      <c r="BB589">
        <v>3763361</v>
      </c>
    </row>
    <row r="590" spans="1:54" x14ac:dyDescent="0.35">
      <c r="A590">
        <v>109962</v>
      </c>
      <c r="B590">
        <v>329</v>
      </c>
      <c r="C590" t="s">
        <v>135</v>
      </c>
      <c r="D590" s="15">
        <v>701012150922234</v>
      </c>
      <c r="F590">
        <v>70</v>
      </c>
      <c r="G590" t="s">
        <v>136</v>
      </c>
      <c r="H590">
        <v>7010</v>
      </c>
      <c r="I590" t="s">
        <v>137</v>
      </c>
      <c r="K590" t="s">
        <v>79</v>
      </c>
      <c r="M590">
        <v>12150922233</v>
      </c>
      <c r="N590" t="s">
        <v>160</v>
      </c>
      <c r="O590">
        <v>12150922233</v>
      </c>
      <c r="Q590" t="s">
        <v>262</v>
      </c>
      <c r="R590">
        <v>1</v>
      </c>
      <c r="S590">
        <v>36</v>
      </c>
      <c r="T590" t="s">
        <v>142</v>
      </c>
      <c r="AA590" t="s">
        <v>265</v>
      </c>
      <c r="AC590">
        <v>0</v>
      </c>
      <c r="AD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A590">
        <v>726767.00000000105</v>
      </c>
      <c r="BB590">
        <v>3763377</v>
      </c>
    </row>
    <row r="591" spans="1:54" x14ac:dyDescent="0.35">
      <c r="A591">
        <v>109961</v>
      </c>
      <c r="B591">
        <v>328</v>
      </c>
      <c r="C591" t="s">
        <v>135</v>
      </c>
      <c r="D591" s="15">
        <v>701012150922233</v>
      </c>
      <c r="F591">
        <v>70</v>
      </c>
      <c r="G591" t="s">
        <v>136</v>
      </c>
      <c r="H591">
        <v>7010</v>
      </c>
      <c r="I591" t="s">
        <v>137</v>
      </c>
      <c r="K591" t="s">
        <v>138</v>
      </c>
      <c r="M591">
        <v>12150922233</v>
      </c>
      <c r="N591" t="s">
        <v>160</v>
      </c>
      <c r="O591">
        <v>12150922233</v>
      </c>
      <c r="P591" t="s">
        <v>147</v>
      </c>
      <c r="Q591" t="s">
        <v>262</v>
      </c>
      <c r="R591">
        <v>1</v>
      </c>
      <c r="S591">
        <v>36</v>
      </c>
      <c r="T591" t="s">
        <v>142</v>
      </c>
      <c r="U591" t="s">
        <v>267</v>
      </c>
      <c r="V591" t="s">
        <v>267</v>
      </c>
      <c r="W591" t="s">
        <v>267</v>
      </c>
      <c r="AA591" t="s">
        <v>265</v>
      </c>
      <c r="AC591">
        <v>0</v>
      </c>
      <c r="AD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A591">
        <v>726767.00000000105</v>
      </c>
      <c r="BB591">
        <v>3763377</v>
      </c>
    </row>
    <row r="592" spans="1:54" x14ac:dyDescent="0.35">
      <c r="A592">
        <v>109960</v>
      </c>
      <c r="B592">
        <v>327</v>
      </c>
      <c r="C592" t="s">
        <v>135</v>
      </c>
      <c r="D592" s="15">
        <v>701012150922233</v>
      </c>
      <c r="F592">
        <v>70</v>
      </c>
      <c r="G592" t="s">
        <v>136</v>
      </c>
      <c r="H592">
        <v>7010</v>
      </c>
      <c r="I592" t="s">
        <v>137</v>
      </c>
      <c r="K592" t="s">
        <v>79</v>
      </c>
      <c r="M592">
        <v>12150922221</v>
      </c>
      <c r="N592" t="s">
        <v>160</v>
      </c>
      <c r="O592">
        <v>12150922221</v>
      </c>
      <c r="Q592" t="s">
        <v>262</v>
      </c>
      <c r="R592">
        <v>1</v>
      </c>
      <c r="S592">
        <v>36</v>
      </c>
      <c r="T592" t="s">
        <v>142</v>
      </c>
      <c r="AA592" t="s">
        <v>265</v>
      </c>
      <c r="AC592">
        <v>0</v>
      </c>
      <c r="AD592">
        <v>0</v>
      </c>
      <c r="AN592" t="s">
        <v>266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A592">
        <v>726792</v>
      </c>
      <c r="BB592">
        <v>3763415</v>
      </c>
    </row>
    <row r="593" spans="1:54" x14ac:dyDescent="0.35">
      <c r="A593">
        <v>109959</v>
      </c>
      <c r="B593">
        <v>326</v>
      </c>
      <c r="C593" t="s">
        <v>135</v>
      </c>
      <c r="D593" s="15">
        <v>701012150922229</v>
      </c>
      <c r="F593">
        <v>70</v>
      </c>
      <c r="G593" t="s">
        <v>136</v>
      </c>
      <c r="H593">
        <v>7010</v>
      </c>
      <c r="I593" t="s">
        <v>137</v>
      </c>
      <c r="K593" t="s">
        <v>138</v>
      </c>
      <c r="M593">
        <v>12150922229</v>
      </c>
      <c r="N593" t="s">
        <v>139</v>
      </c>
      <c r="O593">
        <v>12150922229</v>
      </c>
      <c r="P593" t="s">
        <v>140</v>
      </c>
      <c r="Q593" t="s">
        <v>141</v>
      </c>
      <c r="R593">
        <v>0</v>
      </c>
      <c r="T593" t="s">
        <v>146</v>
      </c>
      <c r="U593" t="s">
        <v>143</v>
      </c>
      <c r="V593" t="s">
        <v>143</v>
      </c>
      <c r="W593" t="s">
        <v>143</v>
      </c>
      <c r="X593" t="s">
        <v>143</v>
      </c>
      <c r="AA593" t="s">
        <v>144</v>
      </c>
      <c r="AB593" t="s">
        <v>284</v>
      </c>
      <c r="AC593">
        <v>0</v>
      </c>
      <c r="AD593">
        <v>100</v>
      </c>
      <c r="AE593" t="s">
        <v>147</v>
      </c>
      <c r="AF593" t="s">
        <v>148</v>
      </c>
      <c r="AG593" t="s">
        <v>149</v>
      </c>
      <c r="AH593" t="s">
        <v>182</v>
      </c>
      <c r="AJ593" t="s">
        <v>285</v>
      </c>
      <c r="AK593" t="s">
        <v>152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Z593" t="s">
        <v>286</v>
      </c>
      <c r="BA593">
        <v>726754.00000000198</v>
      </c>
      <c r="BB593">
        <v>3763436</v>
      </c>
    </row>
    <row r="594" spans="1:54" x14ac:dyDescent="0.35">
      <c r="A594">
        <v>109958</v>
      </c>
      <c r="B594">
        <v>325</v>
      </c>
      <c r="C594" t="s">
        <v>135</v>
      </c>
      <c r="D594" s="15">
        <v>701012150922229</v>
      </c>
      <c r="F594">
        <v>70</v>
      </c>
      <c r="G594" t="s">
        <v>136</v>
      </c>
      <c r="H594">
        <v>7010</v>
      </c>
      <c r="I594" t="s">
        <v>137</v>
      </c>
      <c r="K594" t="s">
        <v>79</v>
      </c>
      <c r="M594">
        <v>12150922228</v>
      </c>
      <c r="N594" t="s">
        <v>139</v>
      </c>
      <c r="O594">
        <v>12150922228</v>
      </c>
      <c r="Q594" t="s">
        <v>141</v>
      </c>
      <c r="R594">
        <v>0</v>
      </c>
      <c r="T594" t="s">
        <v>146</v>
      </c>
      <c r="AA594" t="s">
        <v>144</v>
      </c>
      <c r="AB594" t="s">
        <v>284</v>
      </c>
      <c r="AC594">
        <v>0</v>
      </c>
      <c r="AD594">
        <v>100</v>
      </c>
      <c r="AE594" t="s">
        <v>147</v>
      </c>
      <c r="AF594" t="s">
        <v>148</v>
      </c>
      <c r="AG594" t="s">
        <v>149</v>
      </c>
      <c r="AH594" t="s">
        <v>182</v>
      </c>
      <c r="AJ594" t="s">
        <v>285</v>
      </c>
      <c r="AK594" t="s">
        <v>152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Z594" t="s">
        <v>286</v>
      </c>
      <c r="BA594">
        <v>726752.00000000105</v>
      </c>
      <c r="BB594">
        <v>3763437</v>
      </c>
    </row>
    <row r="595" spans="1:54" x14ac:dyDescent="0.35">
      <c r="A595">
        <v>109957</v>
      </c>
      <c r="B595">
        <v>324</v>
      </c>
      <c r="C595" t="s">
        <v>135</v>
      </c>
      <c r="D595" s="15">
        <v>701012150922228</v>
      </c>
      <c r="F595">
        <v>70</v>
      </c>
      <c r="G595" t="s">
        <v>136</v>
      </c>
      <c r="H595">
        <v>7010</v>
      </c>
      <c r="I595" t="s">
        <v>137</v>
      </c>
      <c r="K595" t="s">
        <v>138</v>
      </c>
      <c r="M595">
        <v>12150922228</v>
      </c>
      <c r="N595" t="s">
        <v>160</v>
      </c>
      <c r="O595">
        <v>12150922228</v>
      </c>
      <c r="P595" t="s">
        <v>147</v>
      </c>
      <c r="Q595" t="s">
        <v>262</v>
      </c>
      <c r="R595">
        <v>0</v>
      </c>
      <c r="T595" t="s">
        <v>146</v>
      </c>
      <c r="U595" t="s">
        <v>263</v>
      </c>
      <c r="V595" t="s">
        <v>263</v>
      </c>
      <c r="W595" t="s">
        <v>263</v>
      </c>
      <c r="AA595" t="s">
        <v>264</v>
      </c>
      <c r="AB595" t="s">
        <v>284</v>
      </c>
      <c r="AC595">
        <v>0</v>
      </c>
      <c r="AD595">
        <v>100</v>
      </c>
      <c r="AE595" t="s">
        <v>147</v>
      </c>
      <c r="AF595" t="s">
        <v>148</v>
      </c>
      <c r="AG595" t="s">
        <v>149</v>
      </c>
      <c r="AH595" t="s">
        <v>182</v>
      </c>
      <c r="AJ595" t="s">
        <v>285</v>
      </c>
      <c r="AK595" t="s">
        <v>152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Z595" t="s">
        <v>286</v>
      </c>
      <c r="BA595">
        <v>726752.00000000105</v>
      </c>
      <c r="BB595">
        <v>3763437</v>
      </c>
    </row>
    <row r="596" spans="1:54" x14ac:dyDescent="0.35">
      <c r="A596">
        <v>109956</v>
      </c>
      <c r="B596">
        <v>323</v>
      </c>
      <c r="C596" t="s">
        <v>135</v>
      </c>
      <c r="D596" s="15">
        <v>701012150922228</v>
      </c>
      <c r="F596">
        <v>70</v>
      </c>
      <c r="G596" t="s">
        <v>136</v>
      </c>
      <c r="H596">
        <v>7010</v>
      </c>
      <c r="I596" t="s">
        <v>137</v>
      </c>
      <c r="K596" t="s">
        <v>79</v>
      </c>
      <c r="M596">
        <v>12150922227</v>
      </c>
      <c r="N596" t="s">
        <v>160</v>
      </c>
      <c r="O596">
        <v>12150922227</v>
      </c>
      <c r="Q596" t="s">
        <v>262</v>
      </c>
      <c r="R596">
        <v>1</v>
      </c>
      <c r="S596">
        <v>36</v>
      </c>
      <c r="T596" t="s">
        <v>142</v>
      </c>
      <c r="AA596" t="s">
        <v>265</v>
      </c>
      <c r="AC596">
        <v>0</v>
      </c>
      <c r="AD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A596">
        <v>726755.00000000105</v>
      </c>
      <c r="BB596">
        <v>3763436</v>
      </c>
    </row>
    <row r="597" spans="1:54" x14ac:dyDescent="0.35">
      <c r="A597">
        <v>109955</v>
      </c>
      <c r="B597">
        <v>322</v>
      </c>
      <c r="C597" t="s">
        <v>135</v>
      </c>
      <c r="D597" s="15">
        <v>701012150922227</v>
      </c>
      <c r="F597">
        <v>70</v>
      </c>
      <c r="G597" t="s">
        <v>136</v>
      </c>
      <c r="H597">
        <v>7010</v>
      </c>
      <c r="I597" t="s">
        <v>137</v>
      </c>
      <c r="K597" t="s">
        <v>138</v>
      </c>
      <c r="M597">
        <v>12150922227</v>
      </c>
      <c r="N597" t="s">
        <v>160</v>
      </c>
      <c r="O597">
        <v>12150922227</v>
      </c>
      <c r="P597" t="s">
        <v>147</v>
      </c>
      <c r="Q597" t="s">
        <v>262</v>
      </c>
      <c r="R597">
        <v>1</v>
      </c>
      <c r="S597">
        <v>36</v>
      </c>
      <c r="T597" t="s">
        <v>142</v>
      </c>
      <c r="U597" t="s">
        <v>263</v>
      </c>
      <c r="V597" t="s">
        <v>263</v>
      </c>
      <c r="W597" t="s">
        <v>263</v>
      </c>
      <c r="AA597" t="s">
        <v>265</v>
      </c>
      <c r="AC597">
        <v>0</v>
      </c>
      <c r="AD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A597">
        <v>726755.00000000105</v>
      </c>
      <c r="BB597">
        <v>3763436</v>
      </c>
    </row>
    <row r="598" spans="1:54" x14ac:dyDescent="0.35">
      <c r="A598">
        <v>109954</v>
      </c>
      <c r="B598">
        <v>321</v>
      </c>
      <c r="C598" t="s">
        <v>135</v>
      </c>
      <c r="D598" s="15">
        <v>701012150922227</v>
      </c>
      <c r="F598">
        <v>70</v>
      </c>
      <c r="G598" t="s">
        <v>136</v>
      </c>
      <c r="H598">
        <v>7010</v>
      </c>
      <c r="I598" t="s">
        <v>137</v>
      </c>
      <c r="K598" t="s">
        <v>79</v>
      </c>
      <c r="M598">
        <v>12150922221</v>
      </c>
      <c r="N598" t="s">
        <v>160</v>
      </c>
      <c r="O598">
        <v>12150922221</v>
      </c>
      <c r="Q598" t="s">
        <v>262</v>
      </c>
      <c r="R598">
        <v>1</v>
      </c>
      <c r="S598">
        <v>36</v>
      </c>
      <c r="T598" t="s">
        <v>142</v>
      </c>
      <c r="AA598" t="s">
        <v>265</v>
      </c>
      <c r="AC598">
        <v>0</v>
      </c>
      <c r="AD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A598">
        <v>726792</v>
      </c>
      <c r="BB598">
        <v>3763415</v>
      </c>
    </row>
    <row r="599" spans="1:54" x14ac:dyDescent="0.35">
      <c r="A599">
        <v>109953</v>
      </c>
      <c r="B599">
        <v>320</v>
      </c>
      <c r="C599" t="s">
        <v>135</v>
      </c>
      <c r="D599" s="15">
        <v>701012150922223</v>
      </c>
      <c r="F599">
        <v>70</v>
      </c>
      <c r="G599" t="s">
        <v>136</v>
      </c>
      <c r="H599">
        <v>7010</v>
      </c>
      <c r="I599" t="s">
        <v>137</v>
      </c>
      <c r="K599" t="s">
        <v>138</v>
      </c>
      <c r="M599">
        <v>12150922223</v>
      </c>
      <c r="N599" t="s">
        <v>139</v>
      </c>
      <c r="O599">
        <v>12150922223</v>
      </c>
      <c r="P599" t="s">
        <v>140</v>
      </c>
      <c r="Q599" t="s">
        <v>141</v>
      </c>
      <c r="R599">
        <v>0</v>
      </c>
      <c r="T599" t="s">
        <v>146</v>
      </c>
      <c r="U599" t="s">
        <v>143</v>
      </c>
      <c r="V599" t="s">
        <v>143</v>
      </c>
      <c r="W599" t="s">
        <v>143</v>
      </c>
      <c r="X599" t="s">
        <v>143</v>
      </c>
      <c r="AA599" t="s">
        <v>144</v>
      </c>
      <c r="AB599" t="s">
        <v>207</v>
      </c>
      <c r="AC599">
        <v>0</v>
      </c>
      <c r="AD599">
        <v>200</v>
      </c>
      <c r="AE599" t="s">
        <v>147</v>
      </c>
      <c r="AF599" t="s">
        <v>148</v>
      </c>
      <c r="AG599" t="s">
        <v>149</v>
      </c>
      <c r="AH599" t="s">
        <v>182</v>
      </c>
      <c r="AJ599" t="s">
        <v>210</v>
      </c>
      <c r="AK599" t="s">
        <v>152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Z599" t="s">
        <v>211</v>
      </c>
      <c r="BA599">
        <v>726789</v>
      </c>
      <c r="BB599">
        <v>3763413</v>
      </c>
    </row>
    <row r="600" spans="1:54" x14ac:dyDescent="0.35">
      <c r="A600">
        <v>109952</v>
      </c>
      <c r="B600">
        <v>319</v>
      </c>
      <c r="C600" t="s">
        <v>135</v>
      </c>
      <c r="D600" s="15">
        <v>701012150922223</v>
      </c>
      <c r="F600">
        <v>70</v>
      </c>
      <c r="G600" t="s">
        <v>136</v>
      </c>
      <c r="H600">
        <v>7010</v>
      </c>
      <c r="I600" t="s">
        <v>137</v>
      </c>
      <c r="K600" t="s">
        <v>79</v>
      </c>
      <c r="M600">
        <v>12150922222</v>
      </c>
      <c r="N600" t="s">
        <v>139</v>
      </c>
      <c r="O600">
        <v>12150922222</v>
      </c>
      <c r="Q600" t="s">
        <v>141</v>
      </c>
      <c r="R600">
        <v>0</v>
      </c>
      <c r="T600" t="s">
        <v>146</v>
      </c>
      <c r="AA600" t="s">
        <v>144</v>
      </c>
      <c r="AB600" t="s">
        <v>207</v>
      </c>
      <c r="AC600">
        <v>0</v>
      </c>
      <c r="AD600">
        <v>200</v>
      </c>
      <c r="AE600" t="s">
        <v>147</v>
      </c>
      <c r="AF600" t="s">
        <v>148</v>
      </c>
      <c r="AG600" t="s">
        <v>149</v>
      </c>
      <c r="AH600" t="s">
        <v>182</v>
      </c>
      <c r="AJ600" t="s">
        <v>210</v>
      </c>
      <c r="AK600" t="s">
        <v>152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Z600" t="s">
        <v>211</v>
      </c>
      <c r="BA600">
        <v>726789</v>
      </c>
      <c r="BB600">
        <v>3763414</v>
      </c>
    </row>
    <row r="601" spans="1:54" x14ac:dyDescent="0.35">
      <c r="A601">
        <v>109951</v>
      </c>
      <c r="B601">
        <v>318</v>
      </c>
      <c r="C601" t="s">
        <v>135</v>
      </c>
      <c r="D601" s="15">
        <v>701012150922222</v>
      </c>
      <c r="F601">
        <v>70</v>
      </c>
      <c r="G601" t="s">
        <v>136</v>
      </c>
      <c r="H601">
        <v>7010</v>
      </c>
      <c r="I601" t="s">
        <v>137</v>
      </c>
      <c r="K601" t="s">
        <v>138</v>
      </c>
      <c r="M601">
        <v>12150922222</v>
      </c>
      <c r="N601" t="s">
        <v>160</v>
      </c>
      <c r="O601">
        <v>12150922222</v>
      </c>
      <c r="Q601" t="s">
        <v>262</v>
      </c>
      <c r="R601">
        <v>0</v>
      </c>
      <c r="T601" t="s">
        <v>146</v>
      </c>
      <c r="U601" t="s">
        <v>263</v>
      </c>
      <c r="V601" t="s">
        <v>263</v>
      </c>
      <c r="W601" t="s">
        <v>263</v>
      </c>
      <c r="AA601" t="s">
        <v>264</v>
      </c>
      <c r="AB601" t="s">
        <v>207</v>
      </c>
      <c r="AC601">
        <v>0</v>
      </c>
      <c r="AD601">
        <v>200</v>
      </c>
      <c r="AE601" t="s">
        <v>147</v>
      </c>
      <c r="AF601" t="s">
        <v>148</v>
      </c>
      <c r="AG601" t="s">
        <v>149</v>
      </c>
      <c r="AH601" t="s">
        <v>182</v>
      </c>
      <c r="AJ601" t="s">
        <v>210</v>
      </c>
      <c r="AK601" t="s">
        <v>152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Z601" t="s">
        <v>211</v>
      </c>
      <c r="BA601">
        <v>726789</v>
      </c>
      <c r="BB601">
        <v>3763414</v>
      </c>
    </row>
    <row r="602" spans="1:54" x14ac:dyDescent="0.35">
      <c r="A602">
        <v>109950</v>
      </c>
      <c r="B602">
        <v>317</v>
      </c>
      <c r="C602" t="s">
        <v>135</v>
      </c>
      <c r="D602" s="15">
        <v>701012150922222</v>
      </c>
      <c r="F602">
        <v>70</v>
      </c>
      <c r="G602" t="s">
        <v>136</v>
      </c>
      <c r="H602">
        <v>7010</v>
      </c>
      <c r="I602" t="s">
        <v>137</v>
      </c>
      <c r="K602" t="s">
        <v>79</v>
      </c>
      <c r="M602">
        <v>12150922221</v>
      </c>
      <c r="N602" t="s">
        <v>160</v>
      </c>
      <c r="O602">
        <v>12150922221</v>
      </c>
      <c r="Q602" t="s">
        <v>262</v>
      </c>
      <c r="R602">
        <v>1</v>
      </c>
      <c r="S602">
        <v>36</v>
      </c>
      <c r="T602" t="s">
        <v>142</v>
      </c>
      <c r="AA602" t="s">
        <v>265</v>
      </c>
      <c r="AC602">
        <v>0</v>
      </c>
      <c r="AD602">
        <v>0</v>
      </c>
      <c r="AN602" t="s">
        <v>266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A602">
        <v>726792</v>
      </c>
      <c r="BB602">
        <v>3763415</v>
      </c>
    </row>
    <row r="603" spans="1:54" x14ac:dyDescent="0.35">
      <c r="A603">
        <v>109949</v>
      </c>
      <c r="B603">
        <v>316</v>
      </c>
      <c r="C603" t="s">
        <v>135</v>
      </c>
      <c r="D603" s="15">
        <v>701012150922221</v>
      </c>
      <c r="F603">
        <v>70</v>
      </c>
      <c r="G603" t="s">
        <v>136</v>
      </c>
      <c r="H603">
        <v>7010</v>
      </c>
      <c r="I603" t="s">
        <v>137</v>
      </c>
      <c r="K603" t="s">
        <v>138</v>
      </c>
      <c r="M603">
        <v>12150922221</v>
      </c>
      <c r="N603" t="s">
        <v>160</v>
      </c>
      <c r="O603">
        <v>12150922221</v>
      </c>
      <c r="P603" t="s">
        <v>147</v>
      </c>
      <c r="Q603" t="s">
        <v>262</v>
      </c>
      <c r="R603">
        <v>1</v>
      </c>
      <c r="S603">
        <v>36</v>
      </c>
      <c r="T603" t="s">
        <v>142</v>
      </c>
      <c r="U603" t="s">
        <v>267</v>
      </c>
      <c r="V603" t="s">
        <v>267</v>
      </c>
      <c r="W603" t="s">
        <v>267</v>
      </c>
      <c r="AA603" t="s">
        <v>265</v>
      </c>
      <c r="AC603">
        <v>0</v>
      </c>
      <c r="AD603">
        <v>0</v>
      </c>
      <c r="AN603" t="s">
        <v>266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A603">
        <v>726792</v>
      </c>
      <c r="BB603">
        <v>3763415</v>
      </c>
    </row>
    <row r="604" spans="1:54" x14ac:dyDescent="0.35">
      <c r="A604">
        <v>109948</v>
      </c>
      <c r="B604">
        <v>315</v>
      </c>
      <c r="C604" t="s">
        <v>135</v>
      </c>
      <c r="D604" s="15">
        <v>701012150922221</v>
      </c>
      <c r="F604">
        <v>70</v>
      </c>
      <c r="G604" t="s">
        <v>136</v>
      </c>
      <c r="H604">
        <v>7010</v>
      </c>
      <c r="I604" t="s">
        <v>137</v>
      </c>
      <c r="K604" t="s">
        <v>79</v>
      </c>
      <c r="M604">
        <v>12150922215</v>
      </c>
      <c r="N604" t="s">
        <v>160</v>
      </c>
      <c r="O604">
        <v>12150922215</v>
      </c>
      <c r="Q604" t="s">
        <v>262</v>
      </c>
      <c r="R604">
        <v>1</v>
      </c>
      <c r="S604">
        <v>36</v>
      </c>
      <c r="T604" t="s">
        <v>142</v>
      </c>
      <c r="AA604" t="s">
        <v>265</v>
      </c>
      <c r="AC604">
        <v>0</v>
      </c>
      <c r="AD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A604">
        <v>726817</v>
      </c>
      <c r="BB604">
        <v>3763469</v>
      </c>
    </row>
    <row r="605" spans="1:54" x14ac:dyDescent="0.35">
      <c r="A605">
        <v>109947</v>
      </c>
      <c r="B605">
        <v>314</v>
      </c>
      <c r="C605" t="s">
        <v>135</v>
      </c>
      <c r="D605" s="15">
        <v>701012150922217</v>
      </c>
      <c r="F605">
        <v>70</v>
      </c>
      <c r="G605" t="s">
        <v>136</v>
      </c>
      <c r="H605">
        <v>7010</v>
      </c>
      <c r="I605" t="s">
        <v>137</v>
      </c>
      <c r="K605" t="s">
        <v>138</v>
      </c>
      <c r="M605">
        <v>12150922217</v>
      </c>
      <c r="N605" t="s">
        <v>139</v>
      </c>
      <c r="O605">
        <v>12150922217</v>
      </c>
      <c r="P605" t="s">
        <v>140</v>
      </c>
      <c r="Q605" t="s">
        <v>141</v>
      </c>
      <c r="R605">
        <v>0</v>
      </c>
      <c r="T605" t="s">
        <v>146</v>
      </c>
      <c r="U605" t="s">
        <v>154</v>
      </c>
      <c r="V605" t="s">
        <v>154</v>
      </c>
      <c r="W605" t="s">
        <v>154</v>
      </c>
      <c r="X605" t="s">
        <v>154</v>
      </c>
      <c r="AA605" t="s">
        <v>144</v>
      </c>
      <c r="AB605" t="s">
        <v>212</v>
      </c>
      <c r="AC605">
        <v>0</v>
      </c>
      <c r="AD605">
        <v>200</v>
      </c>
      <c r="AE605" t="s">
        <v>147</v>
      </c>
      <c r="AF605" t="s">
        <v>148</v>
      </c>
      <c r="AG605" t="s">
        <v>149</v>
      </c>
      <c r="AH605" t="s">
        <v>182</v>
      </c>
      <c r="AJ605" t="s">
        <v>213</v>
      </c>
      <c r="AK605" t="s">
        <v>152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Z605" t="s">
        <v>214</v>
      </c>
      <c r="BA605">
        <v>726814</v>
      </c>
      <c r="BB605">
        <v>3763464</v>
      </c>
    </row>
    <row r="606" spans="1:54" x14ac:dyDescent="0.35">
      <c r="A606">
        <v>109946</v>
      </c>
      <c r="B606">
        <v>313</v>
      </c>
      <c r="C606" t="s">
        <v>135</v>
      </c>
      <c r="D606" s="15">
        <v>701012150922217</v>
      </c>
      <c r="F606">
        <v>70</v>
      </c>
      <c r="G606" t="s">
        <v>136</v>
      </c>
      <c r="H606">
        <v>7010</v>
      </c>
      <c r="I606" t="s">
        <v>137</v>
      </c>
      <c r="K606" t="s">
        <v>79</v>
      </c>
      <c r="M606">
        <v>12150922216</v>
      </c>
      <c r="N606" t="s">
        <v>139</v>
      </c>
      <c r="O606">
        <v>12150922216</v>
      </c>
      <c r="Q606" t="s">
        <v>141</v>
      </c>
      <c r="R606">
        <v>0</v>
      </c>
      <c r="T606" t="s">
        <v>146</v>
      </c>
      <c r="AA606" t="s">
        <v>144</v>
      </c>
      <c r="AB606" t="s">
        <v>212</v>
      </c>
      <c r="AC606">
        <v>0</v>
      </c>
      <c r="AD606">
        <v>200</v>
      </c>
      <c r="AE606" t="s">
        <v>147</v>
      </c>
      <c r="AF606" t="s">
        <v>148</v>
      </c>
      <c r="AG606" t="s">
        <v>149</v>
      </c>
      <c r="AH606" t="s">
        <v>182</v>
      </c>
      <c r="AJ606" t="s">
        <v>213</v>
      </c>
      <c r="AK606" t="s">
        <v>152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Z606" t="s">
        <v>214</v>
      </c>
      <c r="BA606">
        <v>726815</v>
      </c>
      <c r="BB606">
        <v>3763464</v>
      </c>
    </row>
    <row r="607" spans="1:54" x14ac:dyDescent="0.35">
      <c r="A607">
        <v>109945</v>
      </c>
      <c r="B607">
        <v>312</v>
      </c>
      <c r="C607" t="s">
        <v>135</v>
      </c>
      <c r="D607" s="15">
        <v>701012150922216</v>
      </c>
      <c r="F607">
        <v>70</v>
      </c>
      <c r="G607" t="s">
        <v>136</v>
      </c>
      <c r="H607">
        <v>7010</v>
      </c>
      <c r="I607" t="s">
        <v>137</v>
      </c>
      <c r="K607" t="s">
        <v>138</v>
      </c>
      <c r="M607">
        <v>12150922216</v>
      </c>
      <c r="N607" t="s">
        <v>160</v>
      </c>
      <c r="O607">
        <v>12150922216</v>
      </c>
      <c r="P607" t="s">
        <v>147</v>
      </c>
      <c r="Q607" t="s">
        <v>262</v>
      </c>
      <c r="R607">
        <v>0</v>
      </c>
      <c r="T607" t="s">
        <v>146</v>
      </c>
      <c r="U607" t="s">
        <v>263</v>
      </c>
      <c r="V607" t="s">
        <v>263</v>
      </c>
      <c r="W607" t="s">
        <v>263</v>
      </c>
      <c r="AA607" t="s">
        <v>264</v>
      </c>
      <c r="AB607" t="s">
        <v>212</v>
      </c>
      <c r="AC607">
        <v>0</v>
      </c>
      <c r="AD607">
        <v>200</v>
      </c>
      <c r="AE607" t="s">
        <v>147</v>
      </c>
      <c r="AF607" t="s">
        <v>148</v>
      </c>
      <c r="AG607" t="s">
        <v>149</v>
      </c>
      <c r="AH607" t="s">
        <v>182</v>
      </c>
      <c r="AJ607" t="s">
        <v>213</v>
      </c>
      <c r="AK607" t="s">
        <v>152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Z607" t="s">
        <v>214</v>
      </c>
      <c r="BA607">
        <v>726815</v>
      </c>
      <c r="BB607">
        <v>3763464</v>
      </c>
    </row>
    <row r="608" spans="1:54" x14ac:dyDescent="0.35">
      <c r="A608">
        <v>109944</v>
      </c>
      <c r="B608">
        <v>311</v>
      </c>
      <c r="C608" t="s">
        <v>135</v>
      </c>
      <c r="D608" s="15">
        <v>701012150922216</v>
      </c>
      <c r="F608">
        <v>70</v>
      </c>
      <c r="G608" t="s">
        <v>136</v>
      </c>
      <c r="H608">
        <v>7010</v>
      </c>
      <c r="I608" t="s">
        <v>137</v>
      </c>
      <c r="K608" t="s">
        <v>79</v>
      </c>
      <c r="M608">
        <v>12150922215</v>
      </c>
      <c r="N608" t="s">
        <v>160</v>
      </c>
      <c r="O608">
        <v>12150922215</v>
      </c>
      <c r="Q608" t="s">
        <v>262</v>
      </c>
      <c r="R608">
        <v>1</v>
      </c>
      <c r="S608">
        <v>36</v>
      </c>
      <c r="T608" t="s">
        <v>142</v>
      </c>
      <c r="AA608" t="s">
        <v>265</v>
      </c>
      <c r="AC608">
        <v>0</v>
      </c>
      <c r="AD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A608">
        <v>726817</v>
      </c>
      <c r="BB608">
        <v>3763469</v>
      </c>
    </row>
    <row r="609" spans="1:54" x14ac:dyDescent="0.35">
      <c r="A609">
        <v>109943</v>
      </c>
      <c r="B609">
        <v>310</v>
      </c>
      <c r="C609" t="s">
        <v>135</v>
      </c>
      <c r="D609" s="15">
        <v>701012150922215</v>
      </c>
      <c r="F609">
        <v>70</v>
      </c>
      <c r="G609" t="s">
        <v>136</v>
      </c>
      <c r="H609">
        <v>7010</v>
      </c>
      <c r="I609" t="s">
        <v>137</v>
      </c>
      <c r="K609" t="s">
        <v>138</v>
      </c>
      <c r="M609">
        <v>12150922215</v>
      </c>
      <c r="N609" t="s">
        <v>160</v>
      </c>
      <c r="O609">
        <v>12150922215</v>
      </c>
      <c r="P609" t="s">
        <v>147</v>
      </c>
      <c r="Q609" t="s">
        <v>262</v>
      </c>
      <c r="R609">
        <v>1</v>
      </c>
      <c r="S609">
        <v>36</v>
      </c>
      <c r="T609" t="s">
        <v>142</v>
      </c>
      <c r="U609" t="s">
        <v>267</v>
      </c>
      <c r="V609" t="s">
        <v>267</v>
      </c>
      <c r="W609" t="s">
        <v>267</v>
      </c>
      <c r="AA609" t="s">
        <v>265</v>
      </c>
      <c r="AC609">
        <v>0</v>
      </c>
      <c r="AD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A609">
        <v>726817</v>
      </c>
      <c r="BB609">
        <v>3763469</v>
      </c>
    </row>
    <row r="610" spans="1:54" x14ac:dyDescent="0.35">
      <c r="A610">
        <v>109942</v>
      </c>
      <c r="B610">
        <v>309</v>
      </c>
      <c r="C610" t="s">
        <v>135</v>
      </c>
      <c r="D610" s="15">
        <v>701012150922215</v>
      </c>
      <c r="F610">
        <v>70</v>
      </c>
      <c r="G610" t="s">
        <v>136</v>
      </c>
      <c r="H610">
        <v>7010</v>
      </c>
      <c r="I610" t="s">
        <v>137</v>
      </c>
      <c r="K610" t="s">
        <v>79</v>
      </c>
      <c r="M610">
        <v>12150922198</v>
      </c>
      <c r="N610" t="s">
        <v>160</v>
      </c>
      <c r="O610">
        <v>12150922198</v>
      </c>
      <c r="Q610" t="s">
        <v>262</v>
      </c>
      <c r="R610">
        <v>1</v>
      </c>
      <c r="S610">
        <v>36</v>
      </c>
      <c r="T610" t="s">
        <v>142</v>
      </c>
      <c r="AA610" t="s">
        <v>265</v>
      </c>
      <c r="AC610">
        <v>0</v>
      </c>
      <c r="AD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A610">
        <v>726837</v>
      </c>
      <c r="BB610">
        <v>3763515</v>
      </c>
    </row>
    <row r="611" spans="1:54" x14ac:dyDescent="0.35">
      <c r="A611">
        <v>109941</v>
      </c>
      <c r="B611">
        <v>308</v>
      </c>
      <c r="C611" t="s">
        <v>135</v>
      </c>
      <c r="D611" s="15">
        <v>701012150922214</v>
      </c>
      <c r="F611">
        <v>70</v>
      </c>
      <c r="G611" t="s">
        <v>136</v>
      </c>
      <c r="H611">
        <v>7010</v>
      </c>
      <c r="I611" t="s">
        <v>137</v>
      </c>
      <c r="K611" t="s">
        <v>138</v>
      </c>
      <c r="M611">
        <v>12150922214</v>
      </c>
      <c r="N611" t="s">
        <v>139</v>
      </c>
      <c r="O611">
        <v>12150922214</v>
      </c>
      <c r="P611" t="s">
        <v>140</v>
      </c>
      <c r="Q611" t="s">
        <v>141</v>
      </c>
      <c r="R611">
        <v>0</v>
      </c>
      <c r="T611" t="s">
        <v>146</v>
      </c>
      <c r="U611" t="s">
        <v>154</v>
      </c>
      <c r="V611" t="s">
        <v>154</v>
      </c>
      <c r="W611" t="s">
        <v>154</v>
      </c>
      <c r="X611" t="s">
        <v>154</v>
      </c>
      <c r="AA611" t="s">
        <v>144</v>
      </c>
      <c r="AB611" t="s">
        <v>215</v>
      </c>
      <c r="AC611">
        <v>0</v>
      </c>
      <c r="AD611">
        <v>100</v>
      </c>
      <c r="AE611" t="s">
        <v>147</v>
      </c>
      <c r="AF611" t="s">
        <v>148</v>
      </c>
      <c r="AG611" t="s">
        <v>149</v>
      </c>
      <c r="AH611" t="s">
        <v>182</v>
      </c>
      <c r="AJ611" t="s">
        <v>216</v>
      </c>
      <c r="AK611" t="s">
        <v>152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Z611" t="s">
        <v>217</v>
      </c>
      <c r="BA611">
        <v>726710.200000001</v>
      </c>
      <c r="BB611">
        <v>3763663.5</v>
      </c>
    </row>
    <row r="612" spans="1:54" x14ac:dyDescent="0.35">
      <c r="A612">
        <v>109940</v>
      </c>
      <c r="B612">
        <v>307</v>
      </c>
      <c r="C612" t="s">
        <v>135</v>
      </c>
      <c r="D612" s="15">
        <v>701012150922214</v>
      </c>
      <c r="F612">
        <v>70</v>
      </c>
      <c r="G612" t="s">
        <v>136</v>
      </c>
      <c r="H612">
        <v>7010</v>
      </c>
      <c r="I612" t="s">
        <v>137</v>
      </c>
      <c r="K612" t="s">
        <v>79</v>
      </c>
      <c r="M612">
        <v>12150922213</v>
      </c>
      <c r="N612" t="s">
        <v>139</v>
      </c>
      <c r="O612">
        <v>12150922213</v>
      </c>
      <c r="Q612" t="s">
        <v>141</v>
      </c>
      <c r="R612">
        <v>0</v>
      </c>
      <c r="T612" t="s">
        <v>146</v>
      </c>
      <c r="AA612" t="s">
        <v>144</v>
      </c>
      <c r="AB612" t="s">
        <v>215</v>
      </c>
      <c r="AC612">
        <v>0</v>
      </c>
      <c r="AD612">
        <v>100</v>
      </c>
      <c r="AE612" t="s">
        <v>147</v>
      </c>
      <c r="AF612" t="s">
        <v>148</v>
      </c>
      <c r="AG612" t="s">
        <v>149</v>
      </c>
      <c r="AH612" t="s">
        <v>182</v>
      </c>
      <c r="AJ612" t="s">
        <v>216</v>
      </c>
      <c r="AK612" t="s">
        <v>152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Z612" t="s">
        <v>217</v>
      </c>
      <c r="BA612">
        <v>726710.10000000102</v>
      </c>
      <c r="BB612">
        <v>3763663.3</v>
      </c>
    </row>
    <row r="613" spans="1:54" x14ac:dyDescent="0.35">
      <c r="A613">
        <v>109939</v>
      </c>
      <c r="B613">
        <v>306</v>
      </c>
      <c r="C613" t="s">
        <v>135</v>
      </c>
      <c r="D613" s="15">
        <v>701012150922213</v>
      </c>
      <c r="F613">
        <v>70</v>
      </c>
      <c r="G613" t="s">
        <v>136</v>
      </c>
      <c r="H613">
        <v>7010</v>
      </c>
      <c r="I613" t="s">
        <v>137</v>
      </c>
      <c r="K613" t="s">
        <v>138</v>
      </c>
      <c r="M613">
        <v>12150922213</v>
      </c>
      <c r="N613" t="s">
        <v>160</v>
      </c>
      <c r="O613">
        <v>12150922213</v>
      </c>
      <c r="P613" t="s">
        <v>147</v>
      </c>
      <c r="Q613" t="s">
        <v>262</v>
      </c>
      <c r="R613">
        <v>0</v>
      </c>
      <c r="T613" t="s">
        <v>146</v>
      </c>
      <c r="U613" t="s">
        <v>263</v>
      </c>
      <c r="V613" t="s">
        <v>263</v>
      </c>
      <c r="W613" t="s">
        <v>263</v>
      </c>
      <c r="AA613" t="s">
        <v>264</v>
      </c>
      <c r="AB613" t="s">
        <v>215</v>
      </c>
      <c r="AC613">
        <v>0</v>
      </c>
      <c r="AD613">
        <v>100</v>
      </c>
      <c r="AE613" t="s">
        <v>147</v>
      </c>
      <c r="AF613" t="s">
        <v>148</v>
      </c>
      <c r="AG613" t="s">
        <v>149</v>
      </c>
      <c r="AH613" t="s">
        <v>182</v>
      </c>
      <c r="AJ613" t="s">
        <v>216</v>
      </c>
      <c r="AK613" t="s">
        <v>152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Z613" t="s">
        <v>217</v>
      </c>
      <c r="BA613">
        <v>726710.10000000102</v>
      </c>
      <c r="BB613">
        <v>3763663.3</v>
      </c>
    </row>
    <row r="614" spans="1:54" x14ac:dyDescent="0.35">
      <c r="A614">
        <v>109938</v>
      </c>
      <c r="B614">
        <v>305</v>
      </c>
      <c r="C614" t="s">
        <v>135</v>
      </c>
      <c r="D614" s="15">
        <v>701012150922213</v>
      </c>
      <c r="E614">
        <v>0</v>
      </c>
      <c r="F614">
        <v>70</v>
      </c>
      <c r="G614" t="s">
        <v>136</v>
      </c>
      <c r="H614">
        <v>7010</v>
      </c>
      <c r="I614" t="s">
        <v>137</v>
      </c>
      <c r="M614">
        <v>12150922212</v>
      </c>
      <c r="N614" t="s">
        <v>160</v>
      </c>
      <c r="O614">
        <v>12150922212</v>
      </c>
      <c r="Q614" t="s">
        <v>262</v>
      </c>
      <c r="R614">
        <v>1</v>
      </c>
      <c r="S614">
        <v>36</v>
      </c>
      <c r="T614" t="s">
        <v>142</v>
      </c>
      <c r="AA614" t="s">
        <v>265</v>
      </c>
      <c r="AC614">
        <v>0</v>
      </c>
      <c r="AD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A614">
        <v>726710</v>
      </c>
      <c r="BB614">
        <v>3763663</v>
      </c>
    </row>
    <row r="615" spans="1:54" x14ac:dyDescent="0.35">
      <c r="A615">
        <v>109937</v>
      </c>
      <c r="B615">
        <v>304</v>
      </c>
      <c r="C615" t="s">
        <v>135</v>
      </c>
      <c r="D615" s="15">
        <v>701012150922213</v>
      </c>
      <c r="F615">
        <v>70</v>
      </c>
      <c r="G615" t="s">
        <v>136</v>
      </c>
      <c r="H615">
        <v>7010</v>
      </c>
      <c r="I615" t="s">
        <v>137</v>
      </c>
      <c r="K615" t="s">
        <v>79</v>
      </c>
      <c r="M615">
        <v>12130922090</v>
      </c>
      <c r="N615" t="s">
        <v>160</v>
      </c>
      <c r="O615">
        <v>12130922090</v>
      </c>
      <c r="Q615" t="s">
        <v>262</v>
      </c>
      <c r="R615">
        <v>1</v>
      </c>
      <c r="S615">
        <v>36</v>
      </c>
      <c r="T615" t="s">
        <v>142</v>
      </c>
      <c r="AA615" t="s">
        <v>265</v>
      </c>
      <c r="AC615">
        <v>0</v>
      </c>
      <c r="AD615">
        <v>0</v>
      </c>
      <c r="AN615" t="s">
        <v>266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A615">
        <v>726689</v>
      </c>
      <c r="BB615">
        <v>3763674</v>
      </c>
    </row>
    <row r="616" spans="1:54" x14ac:dyDescent="0.35">
      <c r="A616">
        <v>109936</v>
      </c>
      <c r="B616">
        <v>303</v>
      </c>
      <c r="C616" t="s">
        <v>135</v>
      </c>
      <c r="D616" s="15">
        <v>701012150922200</v>
      </c>
      <c r="F616">
        <v>70</v>
      </c>
      <c r="G616" t="s">
        <v>136</v>
      </c>
      <c r="H616">
        <v>7010</v>
      </c>
      <c r="I616" t="s">
        <v>137</v>
      </c>
      <c r="K616" t="s">
        <v>138</v>
      </c>
      <c r="M616">
        <v>12150922200</v>
      </c>
      <c r="N616" t="s">
        <v>139</v>
      </c>
      <c r="O616">
        <v>12150922200</v>
      </c>
      <c r="P616" t="s">
        <v>140</v>
      </c>
      <c r="Q616" t="s">
        <v>141</v>
      </c>
      <c r="R616">
        <v>0</v>
      </c>
      <c r="T616" t="s">
        <v>146</v>
      </c>
      <c r="U616" t="s">
        <v>143</v>
      </c>
      <c r="V616" t="s">
        <v>143</v>
      </c>
      <c r="W616" t="s">
        <v>143</v>
      </c>
      <c r="X616" t="s">
        <v>143</v>
      </c>
      <c r="AA616" t="s">
        <v>144</v>
      </c>
      <c r="AB616" t="s">
        <v>218</v>
      </c>
      <c r="AC616">
        <v>0</v>
      </c>
      <c r="AD616">
        <v>200</v>
      </c>
      <c r="AE616" t="s">
        <v>147</v>
      </c>
      <c r="AF616" t="s">
        <v>148</v>
      </c>
      <c r="AG616" t="s">
        <v>149</v>
      </c>
      <c r="AH616" t="s">
        <v>182</v>
      </c>
      <c r="AJ616" t="s">
        <v>219</v>
      </c>
      <c r="AK616" t="s">
        <v>152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Z616" t="s">
        <v>220</v>
      </c>
      <c r="BA616">
        <v>726837.20000000205</v>
      </c>
      <c r="BB616">
        <v>3763515.4</v>
      </c>
    </row>
    <row r="617" spans="1:54" x14ac:dyDescent="0.35">
      <c r="A617">
        <v>109935</v>
      </c>
      <c r="B617">
        <v>302</v>
      </c>
      <c r="C617" t="s">
        <v>135</v>
      </c>
      <c r="D617" s="15">
        <v>701012150922200</v>
      </c>
      <c r="F617">
        <v>70</v>
      </c>
      <c r="G617" t="s">
        <v>136</v>
      </c>
      <c r="H617">
        <v>7010</v>
      </c>
      <c r="I617" t="s">
        <v>137</v>
      </c>
      <c r="K617" t="s">
        <v>79</v>
      </c>
      <c r="M617">
        <v>12150922199</v>
      </c>
      <c r="N617" t="s">
        <v>139</v>
      </c>
      <c r="O617">
        <v>12150922199</v>
      </c>
      <c r="Q617" t="s">
        <v>141</v>
      </c>
      <c r="R617">
        <v>0</v>
      </c>
      <c r="T617" t="s">
        <v>146</v>
      </c>
      <c r="AA617" t="s">
        <v>144</v>
      </c>
      <c r="AB617" t="s">
        <v>218</v>
      </c>
      <c r="AC617">
        <v>0</v>
      </c>
      <c r="AD617">
        <v>200</v>
      </c>
      <c r="AE617" t="s">
        <v>147</v>
      </c>
      <c r="AF617" t="s">
        <v>148</v>
      </c>
      <c r="AG617" t="s">
        <v>149</v>
      </c>
      <c r="AH617" t="s">
        <v>182</v>
      </c>
      <c r="AJ617" t="s">
        <v>219</v>
      </c>
      <c r="AK617" t="s">
        <v>152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Z617" t="s">
        <v>220</v>
      </c>
      <c r="BA617">
        <v>726837.10000000102</v>
      </c>
      <c r="BB617">
        <v>3763515.3</v>
      </c>
    </row>
    <row r="618" spans="1:54" x14ac:dyDescent="0.35">
      <c r="A618">
        <v>109934</v>
      </c>
      <c r="B618">
        <v>301</v>
      </c>
      <c r="C618" t="s">
        <v>135</v>
      </c>
      <c r="D618" s="15">
        <v>701012150922199</v>
      </c>
      <c r="F618">
        <v>70</v>
      </c>
      <c r="G618" t="s">
        <v>136</v>
      </c>
      <c r="H618">
        <v>7010</v>
      </c>
      <c r="I618" t="s">
        <v>137</v>
      </c>
      <c r="K618" t="s">
        <v>138</v>
      </c>
      <c r="M618">
        <v>12150922199</v>
      </c>
      <c r="N618" t="s">
        <v>160</v>
      </c>
      <c r="O618">
        <v>12150922199</v>
      </c>
      <c r="P618" t="s">
        <v>147</v>
      </c>
      <c r="Q618" t="s">
        <v>262</v>
      </c>
      <c r="R618">
        <v>0</v>
      </c>
      <c r="T618" t="s">
        <v>146</v>
      </c>
      <c r="U618" t="s">
        <v>263</v>
      </c>
      <c r="V618" t="s">
        <v>263</v>
      </c>
      <c r="W618" t="s">
        <v>263</v>
      </c>
      <c r="AA618" t="s">
        <v>264</v>
      </c>
      <c r="AB618" t="s">
        <v>218</v>
      </c>
      <c r="AC618">
        <v>0</v>
      </c>
      <c r="AD618">
        <v>200</v>
      </c>
      <c r="AE618" t="s">
        <v>147</v>
      </c>
      <c r="AF618" t="s">
        <v>148</v>
      </c>
      <c r="AG618" t="s">
        <v>149</v>
      </c>
      <c r="AH618" t="s">
        <v>182</v>
      </c>
      <c r="AJ618" t="s">
        <v>219</v>
      </c>
      <c r="AK618" t="s">
        <v>152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Z618" t="s">
        <v>220</v>
      </c>
      <c r="BA618">
        <v>726837.10000000102</v>
      </c>
      <c r="BB618">
        <v>3763515.3</v>
      </c>
    </row>
    <row r="619" spans="1:54" x14ac:dyDescent="0.35">
      <c r="A619">
        <v>109933</v>
      </c>
      <c r="B619">
        <v>300</v>
      </c>
      <c r="C619" t="s">
        <v>135</v>
      </c>
      <c r="D619" s="15">
        <v>701012150922199</v>
      </c>
      <c r="F619">
        <v>70</v>
      </c>
      <c r="G619" t="s">
        <v>136</v>
      </c>
      <c r="H619">
        <v>7010</v>
      </c>
      <c r="I619" t="s">
        <v>137</v>
      </c>
      <c r="K619" t="s">
        <v>79</v>
      </c>
      <c r="M619">
        <v>12150922198</v>
      </c>
      <c r="N619" t="s">
        <v>160</v>
      </c>
      <c r="O619">
        <v>12150922198</v>
      </c>
      <c r="Q619" t="s">
        <v>262</v>
      </c>
      <c r="R619">
        <v>1</v>
      </c>
      <c r="S619">
        <v>36</v>
      </c>
      <c r="T619" t="s">
        <v>142</v>
      </c>
      <c r="AA619" t="s">
        <v>265</v>
      </c>
      <c r="AC619">
        <v>0</v>
      </c>
      <c r="AD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A619">
        <v>726837</v>
      </c>
      <c r="BB619">
        <v>3763515</v>
      </c>
    </row>
    <row r="620" spans="1:54" x14ac:dyDescent="0.35">
      <c r="A620">
        <v>109932</v>
      </c>
      <c r="B620">
        <v>299</v>
      </c>
      <c r="C620" t="s">
        <v>135</v>
      </c>
      <c r="D620" s="15">
        <v>701012150922198</v>
      </c>
      <c r="F620">
        <v>70</v>
      </c>
      <c r="G620" t="s">
        <v>136</v>
      </c>
      <c r="H620">
        <v>7010</v>
      </c>
      <c r="I620" t="s">
        <v>137</v>
      </c>
      <c r="K620" t="s">
        <v>138</v>
      </c>
      <c r="M620">
        <v>12150922198</v>
      </c>
      <c r="N620" t="s">
        <v>160</v>
      </c>
      <c r="O620">
        <v>12150922198</v>
      </c>
      <c r="P620" t="s">
        <v>147</v>
      </c>
      <c r="Q620" t="s">
        <v>262</v>
      </c>
      <c r="R620">
        <v>1</v>
      </c>
      <c r="S620">
        <v>36</v>
      </c>
      <c r="T620" t="s">
        <v>142</v>
      </c>
      <c r="U620" t="s">
        <v>267</v>
      </c>
      <c r="V620" t="s">
        <v>267</v>
      </c>
      <c r="W620" t="s">
        <v>267</v>
      </c>
      <c r="AA620" t="s">
        <v>265</v>
      </c>
      <c r="AC620">
        <v>0</v>
      </c>
      <c r="AD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A620">
        <v>726837</v>
      </c>
      <c r="BB620">
        <v>3763515</v>
      </c>
    </row>
    <row r="621" spans="1:54" x14ac:dyDescent="0.35">
      <c r="A621">
        <v>109931</v>
      </c>
      <c r="B621">
        <v>298</v>
      </c>
      <c r="C621" t="s">
        <v>135</v>
      </c>
      <c r="D621" s="15">
        <v>701012150922198</v>
      </c>
      <c r="F621">
        <v>70</v>
      </c>
      <c r="G621" t="s">
        <v>136</v>
      </c>
      <c r="H621">
        <v>7010</v>
      </c>
      <c r="I621" t="s">
        <v>137</v>
      </c>
      <c r="K621" t="s">
        <v>79</v>
      </c>
      <c r="M621">
        <v>12150922195</v>
      </c>
      <c r="N621" t="s">
        <v>139</v>
      </c>
      <c r="O621">
        <v>12150922195</v>
      </c>
      <c r="Q621" t="s">
        <v>141</v>
      </c>
      <c r="R621">
        <v>1</v>
      </c>
      <c r="S621">
        <v>36</v>
      </c>
      <c r="T621" t="s">
        <v>222</v>
      </c>
      <c r="AA621" t="s">
        <v>144</v>
      </c>
      <c r="AC621">
        <v>0</v>
      </c>
      <c r="AD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A621">
        <v>726859.00000000105</v>
      </c>
      <c r="BB621">
        <v>3763564</v>
      </c>
    </row>
    <row r="622" spans="1:54" x14ac:dyDescent="0.35">
      <c r="A622">
        <v>109930</v>
      </c>
      <c r="B622">
        <v>297</v>
      </c>
      <c r="C622" t="s">
        <v>135</v>
      </c>
      <c r="D622" s="15">
        <v>701012150922195</v>
      </c>
      <c r="F622">
        <v>70</v>
      </c>
      <c r="G622" t="s">
        <v>136</v>
      </c>
      <c r="H622">
        <v>7010</v>
      </c>
      <c r="I622" t="s">
        <v>137</v>
      </c>
      <c r="K622" t="s">
        <v>138</v>
      </c>
      <c r="M622">
        <v>12150922195</v>
      </c>
      <c r="N622" t="s">
        <v>160</v>
      </c>
      <c r="O622">
        <v>12150922195</v>
      </c>
      <c r="P622" t="s">
        <v>147</v>
      </c>
      <c r="Q622" t="s">
        <v>262</v>
      </c>
      <c r="R622">
        <v>1</v>
      </c>
      <c r="S622">
        <v>36</v>
      </c>
      <c r="T622" t="s">
        <v>222</v>
      </c>
      <c r="U622" t="s">
        <v>267</v>
      </c>
      <c r="V622" t="s">
        <v>267</v>
      </c>
      <c r="W622" t="s">
        <v>267</v>
      </c>
      <c r="AA622" t="s">
        <v>265</v>
      </c>
      <c r="AC622">
        <v>0</v>
      </c>
      <c r="AD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A622">
        <v>726859.00000000105</v>
      </c>
      <c r="BB622">
        <v>3763564</v>
      </c>
    </row>
    <row r="623" spans="1:54" x14ac:dyDescent="0.35">
      <c r="A623">
        <v>109929</v>
      </c>
      <c r="B623">
        <v>296</v>
      </c>
      <c r="C623" t="s">
        <v>135</v>
      </c>
      <c r="D623" s="15">
        <v>701012150922195</v>
      </c>
      <c r="F623">
        <v>70</v>
      </c>
      <c r="G623" t="s">
        <v>136</v>
      </c>
      <c r="H623">
        <v>7010</v>
      </c>
      <c r="I623" t="s">
        <v>137</v>
      </c>
      <c r="K623" t="s">
        <v>79</v>
      </c>
      <c r="M623">
        <v>12150922192</v>
      </c>
      <c r="N623" t="s">
        <v>160</v>
      </c>
      <c r="O623">
        <v>12150922192</v>
      </c>
      <c r="Q623" t="s">
        <v>262</v>
      </c>
      <c r="R623">
        <v>1</v>
      </c>
      <c r="S623">
        <v>36</v>
      </c>
      <c r="T623" t="s">
        <v>222</v>
      </c>
      <c r="AA623" t="s">
        <v>265</v>
      </c>
      <c r="AC623">
        <v>0</v>
      </c>
      <c r="AD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A623">
        <v>726869.00000000198</v>
      </c>
      <c r="BB623">
        <v>3763582</v>
      </c>
    </row>
    <row r="624" spans="1:54" x14ac:dyDescent="0.35">
      <c r="A624">
        <v>109928</v>
      </c>
      <c r="B624">
        <v>295</v>
      </c>
      <c r="C624" t="s">
        <v>135</v>
      </c>
      <c r="D624" s="15">
        <v>701012150922194</v>
      </c>
      <c r="F624">
        <v>70</v>
      </c>
      <c r="G624" t="s">
        <v>136</v>
      </c>
      <c r="H624">
        <v>7010</v>
      </c>
      <c r="I624" t="s">
        <v>137</v>
      </c>
      <c r="K624" t="s">
        <v>138</v>
      </c>
      <c r="M624">
        <v>12150922194</v>
      </c>
      <c r="N624" t="s">
        <v>139</v>
      </c>
      <c r="O624">
        <v>12150922194</v>
      </c>
      <c r="P624" t="s">
        <v>140</v>
      </c>
      <c r="Q624" t="s">
        <v>141</v>
      </c>
      <c r="R624">
        <v>0</v>
      </c>
      <c r="T624" t="s">
        <v>146</v>
      </c>
      <c r="U624" t="s">
        <v>275</v>
      </c>
      <c r="V624" t="s">
        <v>275</v>
      </c>
      <c r="W624" t="s">
        <v>275</v>
      </c>
      <c r="X624" t="s">
        <v>275</v>
      </c>
      <c r="AA624" t="s">
        <v>144</v>
      </c>
      <c r="AB624" t="s">
        <v>287</v>
      </c>
      <c r="AC624">
        <v>0</v>
      </c>
      <c r="AD624">
        <v>100</v>
      </c>
      <c r="AE624" t="s">
        <v>147</v>
      </c>
      <c r="AF624" t="s">
        <v>273</v>
      </c>
      <c r="AG624" t="s">
        <v>149</v>
      </c>
      <c r="AJ624" t="s">
        <v>288</v>
      </c>
      <c r="AK624" t="s">
        <v>152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Z624" t="s">
        <v>289</v>
      </c>
      <c r="BA624">
        <v>726867.00000000105</v>
      </c>
      <c r="BB624">
        <v>3763579</v>
      </c>
    </row>
    <row r="625" spans="1:54" x14ac:dyDescent="0.35">
      <c r="A625">
        <v>109927</v>
      </c>
      <c r="B625">
        <v>294</v>
      </c>
      <c r="C625" t="s">
        <v>135</v>
      </c>
      <c r="D625" s="15">
        <v>701012150922194</v>
      </c>
      <c r="F625">
        <v>70</v>
      </c>
      <c r="G625" t="s">
        <v>136</v>
      </c>
      <c r="H625">
        <v>7010</v>
      </c>
      <c r="I625" t="s">
        <v>137</v>
      </c>
      <c r="K625" t="s">
        <v>79</v>
      </c>
      <c r="M625">
        <v>12150922193</v>
      </c>
      <c r="N625" t="s">
        <v>139</v>
      </c>
      <c r="O625">
        <v>12150922193</v>
      </c>
      <c r="Q625" t="s">
        <v>141</v>
      </c>
      <c r="R625">
        <v>0</v>
      </c>
      <c r="T625" t="s">
        <v>146</v>
      </c>
      <c r="AA625" t="s">
        <v>144</v>
      </c>
      <c r="AB625" t="s">
        <v>287</v>
      </c>
      <c r="AC625">
        <v>0</v>
      </c>
      <c r="AD625">
        <v>100</v>
      </c>
      <c r="AE625" t="s">
        <v>147</v>
      </c>
      <c r="AF625" t="s">
        <v>273</v>
      </c>
      <c r="AG625" t="s">
        <v>149</v>
      </c>
      <c r="AJ625" t="s">
        <v>288</v>
      </c>
      <c r="AK625" t="s">
        <v>152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Z625" t="s">
        <v>289</v>
      </c>
      <c r="BA625">
        <v>726869.00000000198</v>
      </c>
      <c r="BB625">
        <v>3763581</v>
      </c>
    </row>
    <row r="626" spans="1:54" x14ac:dyDescent="0.35">
      <c r="A626">
        <v>109926</v>
      </c>
      <c r="B626">
        <v>293</v>
      </c>
      <c r="C626" t="s">
        <v>135</v>
      </c>
      <c r="D626" s="15">
        <v>701012150922193</v>
      </c>
      <c r="F626">
        <v>70</v>
      </c>
      <c r="G626" t="s">
        <v>136</v>
      </c>
      <c r="H626">
        <v>7010</v>
      </c>
      <c r="I626" t="s">
        <v>137</v>
      </c>
      <c r="K626" t="s">
        <v>138</v>
      </c>
      <c r="M626">
        <v>12150922193</v>
      </c>
      <c r="N626" t="s">
        <v>160</v>
      </c>
      <c r="O626">
        <v>12150922193</v>
      </c>
      <c r="Q626" t="s">
        <v>262</v>
      </c>
      <c r="R626">
        <v>0</v>
      </c>
      <c r="T626" t="s">
        <v>146</v>
      </c>
      <c r="U626" t="s">
        <v>263</v>
      </c>
      <c r="V626" t="s">
        <v>263</v>
      </c>
      <c r="W626" t="s">
        <v>263</v>
      </c>
      <c r="AA626" t="s">
        <v>264</v>
      </c>
      <c r="AB626" t="s">
        <v>287</v>
      </c>
      <c r="AC626">
        <v>0</v>
      </c>
      <c r="AD626">
        <v>100</v>
      </c>
      <c r="AE626" t="s">
        <v>147</v>
      </c>
      <c r="AF626" t="s">
        <v>273</v>
      </c>
      <c r="AG626" t="s">
        <v>149</v>
      </c>
      <c r="AJ626" t="s">
        <v>288</v>
      </c>
      <c r="AK626" t="s">
        <v>152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Z626" t="s">
        <v>289</v>
      </c>
      <c r="BA626">
        <v>726869.00000000198</v>
      </c>
      <c r="BB626">
        <v>3763581</v>
      </c>
    </row>
    <row r="627" spans="1:54" x14ac:dyDescent="0.35">
      <c r="A627">
        <v>109925</v>
      </c>
      <c r="B627">
        <v>292</v>
      </c>
      <c r="C627" t="s">
        <v>135</v>
      </c>
      <c r="D627" s="15">
        <v>701012150922193</v>
      </c>
      <c r="F627">
        <v>70</v>
      </c>
      <c r="G627" t="s">
        <v>136</v>
      </c>
      <c r="H627">
        <v>7010</v>
      </c>
      <c r="I627" t="s">
        <v>137</v>
      </c>
      <c r="K627" t="s">
        <v>79</v>
      </c>
      <c r="M627">
        <v>12150922192</v>
      </c>
      <c r="N627" t="s">
        <v>160</v>
      </c>
      <c r="O627">
        <v>12150922192</v>
      </c>
      <c r="Q627" t="s">
        <v>262</v>
      </c>
      <c r="R627">
        <v>1</v>
      </c>
      <c r="S627">
        <v>36</v>
      </c>
      <c r="T627" t="s">
        <v>222</v>
      </c>
      <c r="AA627" t="s">
        <v>265</v>
      </c>
      <c r="AC627">
        <v>0</v>
      </c>
      <c r="AD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A627">
        <v>726869.00000000198</v>
      </c>
      <c r="BB627">
        <v>3763582</v>
      </c>
    </row>
    <row r="628" spans="1:54" x14ac:dyDescent="0.35">
      <c r="A628">
        <v>109924</v>
      </c>
      <c r="B628">
        <v>291</v>
      </c>
      <c r="C628" t="s">
        <v>135</v>
      </c>
      <c r="D628" s="15">
        <v>701012150922192</v>
      </c>
      <c r="F628">
        <v>70</v>
      </c>
      <c r="G628" t="s">
        <v>136</v>
      </c>
      <c r="H628">
        <v>7010</v>
      </c>
      <c r="I628" t="s">
        <v>137</v>
      </c>
      <c r="K628" t="s">
        <v>138</v>
      </c>
      <c r="M628">
        <v>12150922192</v>
      </c>
      <c r="N628" t="s">
        <v>160</v>
      </c>
      <c r="O628">
        <v>12150922192</v>
      </c>
      <c r="P628" t="s">
        <v>147</v>
      </c>
      <c r="Q628" t="s">
        <v>262</v>
      </c>
      <c r="R628">
        <v>1</v>
      </c>
      <c r="S628">
        <v>36</v>
      </c>
      <c r="T628" t="s">
        <v>222</v>
      </c>
      <c r="U628" t="s">
        <v>267</v>
      </c>
      <c r="V628" t="s">
        <v>267</v>
      </c>
      <c r="W628" t="s">
        <v>267</v>
      </c>
      <c r="AA628" t="s">
        <v>265</v>
      </c>
      <c r="AC628">
        <v>0</v>
      </c>
      <c r="AD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A628">
        <v>726869.00000000198</v>
      </c>
      <c r="BB628">
        <v>3763582</v>
      </c>
    </row>
    <row r="629" spans="1:54" x14ac:dyDescent="0.35">
      <c r="A629">
        <v>109923</v>
      </c>
      <c r="B629">
        <v>290</v>
      </c>
      <c r="C629" t="s">
        <v>135</v>
      </c>
      <c r="D629" s="15">
        <v>701012150922192</v>
      </c>
      <c r="F629">
        <v>70</v>
      </c>
      <c r="G629" t="s">
        <v>136</v>
      </c>
      <c r="H629">
        <v>7010</v>
      </c>
      <c r="I629" t="s">
        <v>137</v>
      </c>
      <c r="K629" t="s">
        <v>79</v>
      </c>
      <c r="M629">
        <v>12150922185</v>
      </c>
      <c r="N629" t="s">
        <v>160</v>
      </c>
      <c r="O629">
        <v>12150922185</v>
      </c>
      <c r="Q629" t="s">
        <v>262</v>
      </c>
      <c r="R629">
        <v>1</v>
      </c>
      <c r="S629">
        <v>36</v>
      </c>
      <c r="T629" t="s">
        <v>142</v>
      </c>
      <c r="AA629" t="s">
        <v>265</v>
      </c>
      <c r="AC629">
        <v>0</v>
      </c>
      <c r="AD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A629">
        <v>726881</v>
      </c>
      <c r="BB629">
        <v>3763615</v>
      </c>
    </row>
    <row r="630" spans="1:54" x14ac:dyDescent="0.35">
      <c r="A630">
        <v>109922</v>
      </c>
      <c r="B630">
        <v>289</v>
      </c>
      <c r="C630" t="s">
        <v>135</v>
      </c>
      <c r="D630" s="15">
        <v>701012150922187</v>
      </c>
      <c r="F630">
        <v>70</v>
      </c>
      <c r="G630" t="s">
        <v>136</v>
      </c>
      <c r="H630">
        <v>7010</v>
      </c>
      <c r="I630" t="s">
        <v>137</v>
      </c>
      <c r="K630" t="s">
        <v>138</v>
      </c>
      <c r="M630">
        <v>12150922187</v>
      </c>
      <c r="N630" t="s">
        <v>139</v>
      </c>
      <c r="O630">
        <v>12150922187</v>
      </c>
      <c r="P630" t="s">
        <v>140</v>
      </c>
      <c r="Q630" t="s">
        <v>141</v>
      </c>
      <c r="R630">
        <v>0</v>
      </c>
      <c r="T630" t="s">
        <v>146</v>
      </c>
      <c r="U630" t="s">
        <v>143</v>
      </c>
      <c r="V630" t="s">
        <v>143</v>
      </c>
      <c r="W630" t="s">
        <v>143</v>
      </c>
      <c r="X630" t="s">
        <v>143</v>
      </c>
      <c r="AA630" t="s">
        <v>144</v>
      </c>
      <c r="AB630" t="s">
        <v>223</v>
      </c>
      <c r="AC630">
        <v>0</v>
      </c>
      <c r="AD630">
        <v>200</v>
      </c>
      <c r="AE630" t="s">
        <v>147</v>
      </c>
      <c r="AF630" t="s">
        <v>148</v>
      </c>
      <c r="AG630" t="s">
        <v>149</v>
      </c>
      <c r="AJ630" t="s">
        <v>224</v>
      </c>
      <c r="AK630" t="s">
        <v>152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Z630" t="s">
        <v>225</v>
      </c>
      <c r="BA630">
        <v>726880.00000000105</v>
      </c>
      <c r="BB630">
        <v>3763612</v>
      </c>
    </row>
    <row r="631" spans="1:54" x14ac:dyDescent="0.35">
      <c r="A631">
        <v>109921</v>
      </c>
      <c r="B631">
        <v>288</v>
      </c>
      <c r="C631" t="s">
        <v>135</v>
      </c>
      <c r="D631" s="15">
        <v>701012150922187</v>
      </c>
      <c r="F631">
        <v>70</v>
      </c>
      <c r="G631" t="s">
        <v>136</v>
      </c>
      <c r="H631">
        <v>7010</v>
      </c>
      <c r="I631" t="s">
        <v>137</v>
      </c>
      <c r="K631" t="s">
        <v>79</v>
      </c>
      <c r="M631">
        <v>12150922186</v>
      </c>
      <c r="N631" t="s">
        <v>139</v>
      </c>
      <c r="O631">
        <v>12150922186</v>
      </c>
      <c r="Q631" t="s">
        <v>141</v>
      </c>
      <c r="R631">
        <v>0</v>
      </c>
      <c r="T631" t="s">
        <v>146</v>
      </c>
      <c r="AA631" t="s">
        <v>144</v>
      </c>
      <c r="AB631" t="s">
        <v>223</v>
      </c>
      <c r="AC631">
        <v>0</v>
      </c>
      <c r="AD631">
        <v>200</v>
      </c>
      <c r="AE631" t="s">
        <v>147</v>
      </c>
      <c r="AF631" t="s">
        <v>148</v>
      </c>
      <c r="AG631" t="s">
        <v>149</v>
      </c>
      <c r="AJ631" t="s">
        <v>224</v>
      </c>
      <c r="AK631" t="s">
        <v>152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Z631" t="s">
        <v>225</v>
      </c>
      <c r="BA631">
        <v>726881</v>
      </c>
      <c r="BB631">
        <v>3763614</v>
      </c>
    </row>
    <row r="632" spans="1:54" x14ac:dyDescent="0.35">
      <c r="A632">
        <v>109920</v>
      </c>
      <c r="B632">
        <v>287</v>
      </c>
      <c r="C632" t="s">
        <v>135</v>
      </c>
      <c r="D632" s="15">
        <v>701012150922186</v>
      </c>
      <c r="F632">
        <v>70</v>
      </c>
      <c r="G632" t="s">
        <v>136</v>
      </c>
      <c r="H632">
        <v>7010</v>
      </c>
      <c r="I632" t="s">
        <v>137</v>
      </c>
      <c r="K632" t="s">
        <v>138</v>
      </c>
      <c r="M632">
        <v>12150922186</v>
      </c>
      <c r="N632" t="s">
        <v>160</v>
      </c>
      <c r="O632">
        <v>12150922186</v>
      </c>
      <c r="P632" t="s">
        <v>147</v>
      </c>
      <c r="Q632" t="s">
        <v>262</v>
      </c>
      <c r="R632">
        <v>0</v>
      </c>
      <c r="T632" t="s">
        <v>146</v>
      </c>
      <c r="U632" t="s">
        <v>263</v>
      </c>
      <c r="V632" t="s">
        <v>263</v>
      </c>
      <c r="W632" t="s">
        <v>263</v>
      </c>
      <c r="AA632" t="s">
        <v>264</v>
      </c>
      <c r="AB632" t="s">
        <v>223</v>
      </c>
      <c r="AC632">
        <v>0</v>
      </c>
      <c r="AD632">
        <v>200</v>
      </c>
      <c r="AE632" t="s">
        <v>147</v>
      </c>
      <c r="AF632" t="s">
        <v>148</v>
      </c>
      <c r="AG632" t="s">
        <v>149</v>
      </c>
      <c r="AJ632" t="s">
        <v>224</v>
      </c>
      <c r="AK632" t="s">
        <v>152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Z632" t="s">
        <v>225</v>
      </c>
      <c r="BA632">
        <v>726881</v>
      </c>
      <c r="BB632">
        <v>3763614</v>
      </c>
    </row>
    <row r="633" spans="1:54" x14ac:dyDescent="0.35">
      <c r="A633">
        <v>109919</v>
      </c>
      <c r="B633">
        <v>286</v>
      </c>
      <c r="C633" t="s">
        <v>135</v>
      </c>
      <c r="D633" s="15">
        <v>701012150922186</v>
      </c>
      <c r="F633">
        <v>70</v>
      </c>
      <c r="G633" t="s">
        <v>136</v>
      </c>
      <c r="H633">
        <v>7010</v>
      </c>
      <c r="I633" t="s">
        <v>137</v>
      </c>
      <c r="K633" t="s">
        <v>79</v>
      </c>
      <c r="M633">
        <v>12150922185</v>
      </c>
      <c r="N633" t="s">
        <v>160</v>
      </c>
      <c r="O633">
        <v>12150922185</v>
      </c>
      <c r="Q633" t="s">
        <v>262</v>
      </c>
      <c r="R633">
        <v>1</v>
      </c>
      <c r="S633">
        <v>36</v>
      </c>
      <c r="T633" t="s">
        <v>142</v>
      </c>
      <c r="AA633" t="s">
        <v>265</v>
      </c>
      <c r="AC633">
        <v>0</v>
      </c>
      <c r="AD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A633">
        <v>726881</v>
      </c>
      <c r="BB633">
        <v>3763615</v>
      </c>
    </row>
    <row r="634" spans="1:54" x14ac:dyDescent="0.35">
      <c r="A634">
        <v>109918</v>
      </c>
      <c r="B634">
        <v>285</v>
      </c>
      <c r="C634" t="s">
        <v>135</v>
      </c>
      <c r="D634" s="15">
        <v>701012150922185</v>
      </c>
      <c r="F634">
        <v>70</v>
      </c>
      <c r="G634" t="s">
        <v>136</v>
      </c>
      <c r="H634">
        <v>7010</v>
      </c>
      <c r="I634" t="s">
        <v>137</v>
      </c>
      <c r="K634" t="s">
        <v>138</v>
      </c>
      <c r="M634">
        <v>12150922185</v>
      </c>
      <c r="N634" t="s">
        <v>160</v>
      </c>
      <c r="O634">
        <v>12150922185</v>
      </c>
      <c r="P634" t="s">
        <v>147</v>
      </c>
      <c r="Q634" t="s">
        <v>262</v>
      </c>
      <c r="R634">
        <v>1</v>
      </c>
      <c r="S634">
        <v>36</v>
      </c>
      <c r="T634" t="s">
        <v>142</v>
      </c>
      <c r="U634" t="s">
        <v>267</v>
      </c>
      <c r="V634" t="s">
        <v>267</v>
      </c>
      <c r="W634" t="s">
        <v>267</v>
      </c>
      <c r="AA634" t="s">
        <v>265</v>
      </c>
      <c r="AC634">
        <v>0</v>
      </c>
      <c r="AD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A634">
        <v>726881</v>
      </c>
      <c r="BB634">
        <v>3763615</v>
      </c>
    </row>
    <row r="635" spans="1:54" x14ac:dyDescent="0.35">
      <c r="A635">
        <v>109917</v>
      </c>
      <c r="B635">
        <v>284</v>
      </c>
      <c r="C635" t="s">
        <v>135</v>
      </c>
      <c r="D635" s="15">
        <v>701012150922185</v>
      </c>
      <c r="F635">
        <v>70</v>
      </c>
      <c r="G635" t="s">
        <v>136</v>
      </c>
      <c r="H635">
        <v>7010</v>
      </c>
      <c r="I635" t="s">
        <v>137</v>
      </c>
      <c r="K635" t="s">
        <v>79</v>
      </c>
      <c r="M635">
        <v>12140922172</v>
      </c>
      <c r="N635" t="s">
        <v>160</v>
      </c>
      <c r="O635">
        <v>12140922172</v>
      </c>
      <c r="Q635" t="s">
        <v>262</v>
      </c>
      <c r="R635">
        <v>1</v>
      </c>
      <c r="S635">
        <v>36</v>
      </c>
      <c r="T635" t="s">
        <v>142</v>
      </c>
      <c r="AA635" t="s">
        <v>265</v>
      </c>
      <c r="AC635">
        <v>0</v>
      </c>
      <c r="AD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A635">
        <v>726907</v>
      </c>
      <c r="BB635">
        <v>3763662</v>
      </c>
    </row>
    <row r="636" spans="1:54" x14ac:dyDescent="0.35">
      <c r="A636">
        <v>109916</v>
      </c>
      <c r="B636">
        <v>283</v>
      </c>
      <c r="C636" t="s">
        <v>135</v>
      </c>
      <c r="D636" s="15">
        <v>701012140922184</v>
      </c>
      <c r="F636">
        <v>70</v>
      </c>
      <c r="G636" t="s">
        <v>136</v>
      </c>
      <c r="H636">
        <v>7010</v>
      </c>
      <c r="I636" t="s">
        <v>137</v>
      </c>
      <c r="K636" t="s">
        <v>138</v>
      </c>
      <c r="M636">
        <v>12140922184</v>
      </c>
      <c r="N636" t="s">
        <v>139</v>
      </c>
      <c r="O636">
        <v>12140922184</v>
      </c>
      <c r="P636" t="s">
        <v>140</v>
      </c>
      <c r="Q636" t="s">
        <v>141</v>
      </c>
      <c r="R636">
        <v>0</v>
      </c>
      <c r="T636" t="s">
        <v>146</v>
      </c>
      <c r="U636" t="s">
        <v>275</v>
      </c>
      <c r="V636" t="s">
        <v>275</v>
      </c>
      <c r="W636" t="s">
        <v>275</v>
      </c>
      <c r="X636" t="s">
        <v>275</v>
      </c>
      <c r="AA636" t="s">
        <v>144</v>
      </c>
      <c r="AB636" t="s">
        <v>290</v>
      </c>
      <c r="AC636">
        <v>0</v>
      </c>
      <c r="AD636">
        <v>50</v>
      </c>
      <c r="AE636" t="s">
        <v>147</v>
      </c>
      <c r="AF636" t="s">
        <v>273</v>
      </c>
      <c r="AG636" t="s">
        <v>149</v>
      </c>
      <c r="AH636" t="s">
        <v>161</v>
      </c>
      <c r="AJ636" t="s">
        <v>228</v>
      </c>
      <c r="AK636" t="s">
        <v>186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Z636" t="s">
        <v>291</v>
      </c>
      <c r="BA636">
        <v>726960</v>
      </c>
      <c r="BB636">
        <v>3763641</v>
      </c>
    </row>
    <row r="637" spans="1:54" x14ac:dyDescent="0.35">
      <c r="A637">
        <v>109915</v>
      </c>
      <c r="B637">
        <v>282</v>
      </c>
      <c r="C637" t="s">
        <v>135</v>
      </c>
      <c r="D637" s="15">
        <v>701012140922184</v>
      </c>
      <c r="F637">
        <v>70</v>
      </c>
      <c r="G637" t="s">
        <v>136</v>
      </c>
      <c r="H637">
        <v>7010</v>
      </c>
      <c r="I637" t="s">
        <v>137</v>
      </c>
      <c r="K637" t="s">
        <v>79</v>
      </c>
      <c r="M637">
        <v>12140922183</v>
      </c>
      <c r="N637" t="s">
        <v>139</v>
      </c>
      <c r="O637">
        <v>12140922183</v>
      </c>
      <c r="Q637" t="s">
        <v>141</v>
      </c>
      <c r="R637">
        <v>0</v>
      </c>
      <c r="T637" t="s">
        <v>146</v>
      </c>
      <c r="AA637" t="s">
        <v>144</v>
      </c>
      <c r="AB637" t="s">
        <v>290</v>
      </c>
      <c r="AC637">
        <v>0</v>
      </c>
      <c r="AD637">
        <v>50</v>
      </c>
      <c r="AE637" t="s">
        <v>147</v>
      </c>
      <c r="AF637" t="s">
        <v>273</v>
      </c>
      <c r="AG637" t="s">
        <v>149</v>
      </c>
      <c r="AH637" t="s">
        <v>161</v>
      </c>
      <c r="AJ637" t="s">
        <v>228</v>
      </c>
      <c r="AK637" t="s">
        <v>186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Z637" t="s">
        <v>291</v>
      </c>
      <c r="BA637">
        <v>726962.00000000105</v>
      </c>
      <c r="BB637">
        <v>3763641</v>
      </c>
    </row>
    <row r="638" spans="1:54" x14ac:dyDescent="0.35">
      <c r="A638">
        <v>109914</v>
      </c>
      <c r="B638">
        <v>281</v>
      </c>
      <c r="C638" t="s">
        <v>135</v>
      </c>
      <c r="D638" s="15">
        <v>701012140922183</v>
      </c>
      <c r="F638">
        <v>70</v>
      </c>
      <c r="G638" t="s">
        <v>136</v>
      </c>
      <c r="H638">
        <v>7010</v>
      </c>
      <c r="I638" t="s">
        <v>137</v>
      </c>
      <c r="K638" t="s">
        <v>138</v>
      </c>
      <c r="M638">
        <v>12140922183</v>
      </c>
      <c r="N638" t="s">
        <v>160</v>
      </c>
      <c r="O638">
        <v>12140922183</v>
      </c>
      <c r="P638" t="s">
        <v>147</v>
      </c>
      <c r="Q638" t="s">
        <v>262</v>
      </c>
      <c r="R638">
        <v>0</v>
      </c>
      <c r="T638" t="s">
        <v>146</v>
      </c>
      <c r="U638" t="s">
        <v>263</v>
      </c>
      <c r="V638" t="s">
        <v>263</v>
      </c>
      <c r="W638" t="s">
        <v>263</v>
      </c>
      <c r="AA638" t="s">
        <v>264</v>
      </c>
      <c r="AB638" t="s">
        <v>290</v>
      </c>
      <c r="AC638">
        <v>0</v>
      </c>
      <c r="AD638">
        <v>50</v>
      </c>
      <c r="AE638" t="s">
        <v>147</v>
      </c>
      <c r="AF638" t="s">
        <v>273</v>
      </c>
      <c r="AG638" t="s">
        <v>149</v>
      </c>
      <c r="AH638" t="s">
        <v>161</v>
      </c>
      <c r="AJ638" t="s">
        <v>228</v>
      </c>
      <c r="AK638" t="s">
        <v>186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Z638" t="s">
        <v>291</v>
      </c>
      <c r="BA638">
        <v>726962.00000000105</v>
      </c>
      <c r="BB638">
        <v>3763641</v>
      </c>
    </row>
    <row r="639" spans="1:54" x14ac:dyDescent="0.35">
      <c r="A639">
        <v>109913</v>
      </c>
      <c r="B639">
        <v>280</v>
      </c>
      <c r="C639" t="s">
        <v>135</v>
      </c>
      <c r="D639" s="15">
        <v>701012140922183</v>
      </c>
      <c r="F639">
        <v>70</v>
      </c>
      <c r="G639" t="s">
        <v>136</v>
      </c>
      <c r="H639">
        <v>7010</v>
      </c>
      <c r="I639" t="s">
        <v>137</v>
      </c>
      <c r="K639" t="s">
        <v>79</v>
      </c>
      <c r="M639">
        <v>12140922182</v>
      </c>
      <c r="N639" t="s">
        <v>160</v>
      </c>
      <c r="O639">
        <v>12140922182</v>
      </c>
      <c r="Q639" t="s">
        <v>262</v>
      </c>
      <c r="R639">
        <v>1</v>
      </c>
      <c r="S639">
        <v>36</v>
      </c>
      <c r="T639" t="s">
        <v>142</v>
      </c>
      <c r="AA639" t="s">
        <v>265</v>
      </c>
      <c r="AC639">
        <v>0</v>
      </c>
      <c r="AD639">
        <v>0</v>
      </c>
      <c r="AN639" t="s">
        <v>266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A639">
        <v>726960</v>
      </c>
      <c r="BB639">
        <v>3763640</v>
      </c>
    </row>
    <row r="640" spans="1:54" x14ac:dyDescent="0.35">
      <c r="A640">
        <v>109912</v>
      </c>
      <c r="B640">
        <v>279</v>
      </c>
      <c r="C640" t="s">
        <v>135</v>
      </c>
      <c r="D640" s="15">
        <v>701012140922182</v>
      </c>
      <c r="F640">
        <v>70</v>
      </c>
      <c r="G640" t="s">
        <v>136</v>
      </c>
      <c r="H640">
        <v>7010</v>
      </c>
      <c r="I640" t="s">
        <v>137</v>
      </c>
      <c r="K640" t="s">
        <v>138</v>
      </c>
      <c r="M640">
        <v>12140922182</v>
      </c>
      <c r="N640" t="s">
        <v>160</v>
      </c>
      <c r="O640">
        <v>12140922182</v>
      </c>
      <c r="P640" t="s">
        <v>147</v>
      </c>
      <c r="Q640" t="s">
        <v>262</v>
      </c>
      <c r="R640">
        <v>1</v>
      </c>
      <c r="S640">
        <v>36</v>
      </c>
      <c r="T640" t="s">
        <v>142</v>
      </c>
      <c r="U640" t="s">
        <v>263</v>
      </c>
      <c r="V640" t="s">
        <v>263</v>
      </c>
      <c r="W640" t="s">
        <v>263</v>
      </c>
      <c r="AA640" t="s">
        <v>265</v>
      </c>
      <c r="AC640">
        <v>0</v>
      </c>
      <c r="AD640">
        <v>0</v>
      </c>
      <c r="AN640" t="s">
        <v>266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A640">
        <v>726960</v>
      </c>
      <c r="BB640">
        <v>3763640</v>
      </c>
    </row>
    <row r="641" spans="1:54" x14ac:dyDescent="0.35">
      <c r="A641">
        <v>109911</v>
      </c>
      <c r="B641">
        <v>278</v>
      </c>
      <c r="C641" t="s">
        <v>135</v>
      </c>
      <c r="D641" s="15">
        <v>701012140922182</v>
      </c>
      <c r="F641">
        <v>70</v>
      </c>
      <c r="G641" t="s">
        <v>136</v>
      </c>
      <c r="H641">
        <v>7010</v>
      </c>
      <c r="I641" t="s">
        <v>137</v>
      </c>
      <c r="K641" t="s">
        <v>79</v>
      </c>
      <c r="M641">
        <v>12140922179</v>
      </c>
      <c r="N641" t="s">
        <v>160</v>
      </c>
      <c r="O641">
        <v>12140922179</v>
      </c>
      <c r="Q641" t="s">
        <v>262</v>
      </c>
      <c r="R641">
        <v>1</v>
      </c>
      <c r="S641">
        <v>36</v>
      </c>
      <c r="T641" t="s">
        <v>222</v>
      </c>
      <c r="AA641" t="s">
        <v>265</v>
      </c>
      <c r="AC641">
        <v>0</v>
      </c>
      <c r="AD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A641">
        <v>726916.00000000105</v>
      </c>
      <c r="BB641">
        <v>3763659</v>
      </c>
    </row>
    <row r="642" spans="1:54" x14ac:dyDescent="0.35">
      <c r="A642">
        <v>109910</v>
      </c>
      <c r="B642">
        <v>277</v>
      </c>
      <c r="C642" t="s">
        <v>135</v>
      </c>
      <c r="D642" s="15">
        <v>701012140922181</v>
      </c>
      <c r="F642">
        <v>70</v>
      </c>
      <c r="G642" t="s">
        <v>136</v>
      </c>
      <c r="H642">
        <v>7010</v>
      </c>
      <c r="I642" t="s">
        <v>137</v>
      </c>
      <c r="K642" t="s">
        <v>138</v>
      </c>
      <c r="M642">
        <v>12140922181</v>
      </c>
      <c r="N642" t="s">
        <v>139</v>
      </c>
      <c r="O642">
        <v>12140922181</v>
      </c>
      <c r="P642" t="s">
        <v>140</v>
      </c>
      <c r="Q642" t="s">
        <v>141</v>
      </c>
      <c r="R642">
        <v>0</v>
      </c>
      <c r="T642" t="s">
        <v>146</v>
      </c>
      <c r="U642" t="s">
        <v>275</v>
      </c>
      <c r="V642" t="s">
        <v>275</v>
      </c>
      <c r="W642" t="s">
        <v>275</v>
      </c>
      <c r="X642" t="s">
        <v>275</v>
      </c>
      <c r="AA642" t="s">
        <v>144</v>
      </c>
      <c r="AB642" t="s">
        <v>292</v>
      </c>
      <c r="AC642">
        <v>0</v>
      </c>
      <c r="AD642">
        <v>100</v>
      </c>
      <c r="AE642" t="s">
        <v>147</v>
      </c>
      <c r="AF642" t="s">
        <v>273</v>
      </c>
      <c r="AG642" t="s">
        <v>149</v>
      </c>
      <c r="AH642" t="s">
        <v>255</v>
      </c>
      <c r="AJ642" t="s">
        <v>293</v>
      </c>
      <c r="AK642" t="s">
        <v>186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Z642" t="s">
        <v>294</v>
      </c>
      <c r="BA642">
        <v>726917</v>
      </c>
      <c r="BB642">
        <v>3763662</v>
      </c>
    </row>
    <row r="643" spans="1:54" x14ac:dyDescent="0.35">
      <c r="A643">
        <v>109909</v>
      </c>
      <c r="B643">
        <v>276</v>
      </c>
      <c r="C643" t="s">
        <v>135</v>
      </c>
      <c r="D643" s="15">
        <v>701012140922181</v>
      </c>
      <c r="F643">
        <v>70</v>
      </c>
      <c r="G643" t="s">
        <v>136</v>
      </c>
      <c r="H643">
        <v>7010</v>
      </c>
      <c r="I643" t="s">
        <v>137</v>
      </c>
      <c r="K643" t="s">
        <v>79</v>
      </c>
      <c r="M643">
        <v>12140922180</v>
      </c>
      <c r="N643" t="s">
        <v>139</v>
      </c>
      <c r="O643">
        <v>12140922180</v>
      </c>
      <c r="Q643" t="s">
        <v>141</v>
      </c>
      <c r="R643">
        <v>0</v>
      </c>
      <c r="T643" t="s">
        <v>146</v>
      </c>
      <c r="AA643" t="s">
        <v>144</v>
      </c>
      <c r="AB643" t="s">
        <v>292</v>
      </c>
      <c r="AC643">
        <v>0</v>
      </c>
      <c r="AD643">
        <v>100</v>
      </c>
      <c r="AE643" t="s">
        <v>147</v>
      </c>
      <c r="AF643" t="s">
        <v>273</v>
      </c>
      <c r="AG643" t="s">
        <v>149</v>
      </c>
      <c r="AH643" t="s">
        <v>255</v>
      </c>
      <c r="AJ643" t="s">
        <v>293</v>
      </c>
      <c r="AK643" t="s">
        <v>186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Z643" t="s">
        <v>294</v>
      </c>
      <c r="BA643">
        <v>726916.00000000105</v>
      </c>
      <c r="BB643">
        <v>3763662</v>
      </c>
    </row>
    <row r="644" spans="1:54" x14ac:dyDescent="0.35">
      <c r="A644">
        <v>109908</v>
      </c>
      <c r="B644">
        <v>275</v>
      </c>
      <c r="C644" t="s">
        <v>135</v>
      </c>
      <c r="D644" s="15">
        <v>701012140922180</v>
      </c>
      <c r="F644">
        <v>70</v>
      </c>
      <c r="G644" t="s">
        <v>136</v>
      </c>
      <c r="H644">
        <v>7010</v>
      </c>
      <c r="I644" t="s">
        <v>137</v>
      </c>
      <c r="K644" t="s">
        <v>138</v>
      </c>
      <c r="M644">
        <v>12140922180</v>
      </c>
      <c r="N644" t="s">
        <v>160</v>
      </c>
      <c r="O644">
        <v>12140922180</v>
      </c>
      <c r="Q644" t="s">
        <v>262</v>
      </c>
      <c r="R644">
        <v>0</v>
      </c>
      <c r="T644" t="s">
        <v>146</v>
      </c>
      <c r="U644" t="s">
        <v>263</v>
      </c>
      <c r="V644" t="s">
        <v>263</v>
      </c>
      <c r="W644" t="s">
        <v>263</v>
      </c>
      <c r="AA644" t="s">
        <v>264</v>
      </c>
      <c r="AB644" t="s">
        <v>292</v>
      </c>
      <c r="AC644">
        <v>0</v>
      </c>
      <c r="AD644">
        <v>100</v>
      </c>
      <c r="AE644" t="s">
        <v>147</v>
      </c>
      <c r="AF644" t="s">
        <v>273</v>
      </c>
      <c r="AG644" t="s">
        <v>149</v>
      </c>
      <c r="AH644" t="s">
        <v>255</v>
      </c>
      <c r="AJ644" t="s">
        <v>293</v>
      </c>
      <c r="AK644" t="s">
        <v>186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Z644" t="s">
        <v>294</v>
      </c>
      <c r="BA644">
        <v>726916.00000000105</v>
      </c>
      <c r="BB644">
        <v>3763662</v>
      </c>
    </row>
    <row r="645" spans="1:54" x14ac:dyDescent="0.35">
      <c r="A645">
        <v>109907</v>
      </c>
      <c r="B645">
        <v>274</v>
      </c>
      <c r="C645" t="s">
        <v>135</v>
      </c>
      <c r="D645" s="15">
        <v>701012140922180</v>
      </c>
      <c r="F645">
        <v>70</v>
      </c>
      <c r="G645" t="s">
        <v>136</v>
      </c>
      <c r="H645">
        <v>7010</v>
      </c>
      <c r="I645" t="s">
        <v>137</v>
      </c>
      <c r="K645" t="s">
        <v>79</v>
      </c>
      <c r="M645">
        <v>12140922179</v>
      </c>
      <c r="N645" t="s">
        <v>160</v>
      </c>
      <c r="O645">
        <v>12140922179</v>
      </c>
      <c r="Q645" t="s">
        <v>262</v>
      </c>
      <c r="R645">
        <v>1</v>
      </c>
      <c r="S645">
        <v>36</v>
      </c>
      <c r="T645" t="s">
        <v>222</v>
      </c>
      <c r="AA645" t="s">
        <v>265</v>
      </c>
      <c r="AC645">
        <v>0</v>
      </c>
      <c r="AD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A645">
        <v>726916.00000000105</v>
      </c>
      <c r="BB645">
        <v>3763659</v>
      </c>
    </row>
    <row r="646" spans="1:54" x14ac:dyDescent="0.35">
      <c r="A646">
        <v>109906</v>
      </c>
      <c r="B646">
        <v>273</v>
      </c>
      <c r="C646" t="s">
        <v>135</v>
      </c>
      <c r="D646" s="15">
        <v>701012140922179</v>
      </c>
      <c r="F646">
        <v>70</v>
      </c>
      <c r="G646" t="s">
        <v>136</v>
      </c>
      <c r="H646">
        <v>7010</v>
      </c>
      <c r="I646" t="s">
        <v>137</v>
      </c>
      <c r="K646" t="s">
        <v>138</v>
      </c>
      <c r="M646">
        <v>12140922179</v>
      </c>
      <c r="N646" t="s">
        <v>160</v>
      </c>
      <c r="O646">
        <v>12140922179</v>
      </c>
      <c r="P646" t="s">
        <v>147</v>
      </c>
      <c r="Q646" t="s">
        <v>262</v>
      </c>
      <c r="R646">
        <v>1</v>
      </c>
      <c r="S646">
        <v>36</v>
      </c>
      <c r="T646" t="s">
        <v>222</v>
      </c>
      <c r="U646" t="s">
        <v>263</v>
      </c>
      <c r="V646" t="s">
        <v>263</v>
      </c>
      <c r="W646" t="s">
        <v>263</v>
      </c>
      <c r="AA646" t="s">
        <v>265</v>
      </c>
      <c r="AC646">
        <v>0</v>
      </c>
      <c r="AD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A646">
        <v>726916.00000000105</v>
      </c>
      <c r="BB646">
        <v>3763659</v>
      </c>
    </row>
    <row r="647" spans="1:54" x14ac:dyDescent="0.35">
      <c r="A647">
        <v>109905</v>
      </c>
      <c r="B647">
        <v>272</v>
      </c>
      <c r="C647" t="s">
        <v>135</v>
      </c>
      <c r="D647" s="15">
        <v>701012140922179</v>
      </c>
      <c r="F647">
        <v>70</v>
      </c>
      <c r="G647" t="s">
        <v>136</v>
      </c>
      <c r="H647">
        <v>7010</v>
      </c>
      <c r="I647" t="s">
        <v>137</v>
      </c>
      <c r="K647" t="s">
        <v>79</v>
      </c>
      <c r="M647">
        <v>12140922172</v>
      </c>
      <c r="N647" t="s">
        <v>160</v>
      </c>
      <c r="O647">
        <v>12140922172</v>
      </c>
      <c r="Q647" t="s">
        <v>262</v>
      </c>
      <c r="R647">
        <v>1</v>
      </c>
      <c r="S647">
        <v>36</v>
      </c>
      <c r="T647" t="s">
        <v>142</v>
      </c>
      <c r="AA647" t="s">
        <v>265</v>
      </c>
      <c r="AC647">
        <v>0</v>
      </c>
      <c r="AD647">
        <v>0</v>
      </c>
      <c r="AN647" t="s">
        <v>266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A647">
        <v>726907</v>
      </c>
      <c r="BB647">
        <v>3763662</v>
      </c>
    </row>
    <row r="648" spans="1:54" x14ac:dyDescent="0.35">
      <c r="A648">
        <v>109904</v>
      </c>
      <c r="B648">
        <v>271</v>
      </c>
      <c r="C648" t="s">
        <v>135</v>
      </c>
      <c r="D648" s="15">
        <v>701012140922174</v>
      </c>
      <c r="F648">
        <v>70</v>
      </c>
      <c r="G648" t="s">
        <v>136</v>
      </c>
      <c r="H648">
        <v>7010</v>
      </c>
      <c r="I648" t="s">
        <v>137</v>
      </c>
      <c r="K648" t="s">
        <v>138</v>
      </c>
      <c r="M648">
        <v>12140922174</v>
      </c>
      <c r="N648" t="s">
        <v>139</v>
      </c>
      <c r="O648">
        <v>12140922174</v>
      </c>
      <c r="P648" t="s">
        <v>140</v>
      </c>
      <c r="Q648" t="s">
        <v>141</v>
      </c>
      <c r="R648">
        <v>0</v>
      </c>
      <c r="T648" t="s">
        <v>146</v>
      </c>
      <c r="U648" t="s">
        <v>154</v>
      </c>
      <c r="V648" t="s">
        <v>154</v>
      </c>
      <c r="W648" t="s">
        <v>154</v>
      </c>
      <c r="X648" t="s">
        <v>154</v>
      </c>
      <c r="AA648" t="s">
        <v>144</v>
      </c>
      <c r="AB648" t="s">
        <v>227</v>
      </c>
      <c r="AC648">
        <v>0</v>
      </c>
      <c r="AD648">
        <v>100</v>
      </c>
      <c r="AE648" t="s">
        <v>147</v>
      </c>
      <c r="AF648" t="s">
        <v>148</v>
      </c>
      <c r="AG648" t="s">
        <v>149</v>
      </c>
      <c r="AJ648" t="s">
        <v>228</v>
      </c>
      <c r="AK648" t="s">
        <v>186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Z648" t="s">
        <v>229</v>
      </c>
      <c r="BA648">
        <v>726903.00000000105</v>
      </c>
      <c r="BB648">
        <v>3763661</v>
      </c>
    </row>
    <row r="649" spans="1:54" x14ac:dyDescent="0.35">
      <c r="A649">
        <v>109903</v>
      </c>
      <c r="B649">
        <v>270</v>
      </c>
      <c r="C649" t="s">
        <v>135</v>
      </c>
      <c r="D649" s="15">
        <v>701012140922174</v>
      </c>
      <c r="F649">
        <v>70</v>
      </c>
      <c r="G649" t="s">
        <v>136</v>
      </c>
      <c r="H649">
        <v>7010</v>
      </c>
      <c r="I649" t="s">
        <v>137</v>
      </c>
      <c r="K649" t="s">
        <v>79</v>
      </c>
      <c r="M649">
        <v>12140922173</v>
      </c>
      <c r="N649" t="s">
        <v>139</v>
      </c>
      <c r="O649">
        <v>12140922173</v>
      </c>
      <c r="Q649" t="s">
        <v>141</v>
      </c>
      <c r="R649">
        <v>0</v>
      </c>
      <c r="T649" t="s">
        <v>146</v>
      </c>
      <c r="AA649" t="s">
        <v>144</v>
      </c>
      <c r="AB649" t="s">
        <v>227</v>
      </c>
      <c r="AC649">
        <v>0</v>
      </c>
      <c r="AD649">
        <v>100</v>
      </c>
      <c r="AE649" t="s">
        <v>147</v>
      </c>
      <c r="AF649" t="s">
        <v>148</v>
      </c>
      <c r="AG649" t="s">
        <v>149</v>
      </c>
      <c r="AJ649" t="s">
        <v>228</v>
      </c>
      <c r="AK649" t="s">
        <v>186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Z649" t="s">
        <v>229</v>
      </c>
      <c r="BA649">
        <v>726901.99999999895</v>
      </c>
      <c r="BB649">
        <v>3763660</v>
      </c>
    </row>
    <row r="650" spans="1:54" x14ac:dyDescent="0.35">
      <c r="A650">
        <v>109902</v>
      </c>
      <c r="B650">
        <v>269</v>
      </c>
      <c r="C650" t="s">
        <v>135</v>
      </c>
      <c r="D650" s="15">
        <v>701012140922173</v>
      </c>
      <c r="F650">
        <v>70</v>
      </c>
      <c r="G650" t="s">
        <v>136</v>
      </c>
      <c r="H650">
        <v>7010</v>
      </c>
      <c r="I650" t="s">
        <v>137</v>
      </c>
      <c r="K650" t="s">
        <v>138</v>
      </c>
      <c r="M650">
        <v>12140922173</v>
      </c>
      <c r="N650" t="s">
        <v>160</v>
      </c>
      <c r="O650">
        <v>12140922173</v>
      </c>
      <c r="P650" t="s">
        <v>147</v>
      </c>
      <c r="Q650" t="s">
        <v>262</v>
      </c>
      <c r="R650">
        <v>0</v>
      </c>
      <c r="T650" t="s">
        <v>146</v>
      </c>
      <c r="U650" t="s">
        <v>263</v>
      </c>
      <c r="V650" t="s">
        <v>263</v>
      </c>
      <c r="W650" t="s">
        <v>263</v>
      </c>
      <c r="AA650" t="s">
        <v>264</v>
      </c>
      <c r="AB650" t="s">
        <v>227</v>
      </c>
      <c r="AC650">
        <v>0</v>
      </c>
      <c r="AD650">
        <v>100</v>
      </c>
      <c r="AE650" t="s">
        <v>147</v>
      </c>
      <c r="AF650" t="s">
        <v>148</v>
      </c>
      <c r="AG650" t="s">
        <v>149</v>
      </c>
      <c r="AJ650" t="s">
        <v>228</v>
      </c>
      <c r="AK650" t="s">
        <v>186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Z650" t="s">
        <v>229</v>
      </c>
      <c r="BA650">
        <v>726901.99999999895</v>
      </c>
      <c r="BB650">
        <v>3763660</v>
      </c>
    </row>
    <row r="651" spans="1:54" x14ac:dyDescent="0.35">
      <c r="A651">
        <v>109901</v>
      </c>
      <c r="B651">
        <v>268</v>
      </c>
      <c r="C651" t="s">
        <v>135</v>
      </c>
      <c r="D651" s="15">
        <v>701012140922173</v>
      </c>
      <c r="F651">
        <v>70</v>
      </c>
      <c r="G651" t="s">
        <v>136</v>
      </c>
      <c r="H651">
        <v>7010</v>
      </c>
      <c r="I651" t="s">
        <v>137</v>
      </c>
      <c r="K651" t="s">
        <v>79</v>
      </c>
      <c r="M651">
        <v>12140922172</v>
      </c>
      <c r="N651" t="s">
        <v>160</v>
      </c>
      <c r="O651">
        <v>12140922172</v>
      </c>
      <c r="Q651" t="s">
        <v>262</v>
      </c>
      <c r="R651">
        <v>1</v>
      </c>
      <c r="S651">
        <v>36</v>
      </c>
      <c r="T651" t="s">
        <v>142</v>
      </c>
      <c r="AA651" t="s">
        <v>265</v>
      </c>
      <c r="AC651">
        <v>0</v>
      </c>
      <c r="AD651">
        <v>0</v>
      </c>
      <c r="AN651" t="s">
        <v>266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A651">
        <v>726907</v>
      </c>
      <c r="BB651">
        <v>3763662</v>
      </c>
    </row>
    <row r="652" spans="1:54" x14ac:dyDescent="0.35">
      <c r="A652">
        <v>109900</v>
      </c>
      <c r="B652">
        <v>267</v>
      </c>
      <c r="C652" t="s">
        <v>135</v>
      </c>
      <c r="D652" s="15">
        <v>701012140922172</v>
      </c>
      <c r="F652">
        <v>70</v>
      </c>
      <c r="G652" t="s">
        <v>136</v>
      </c>
      <c r="H652">
        <v>7010</v>
      </c>
      <c r="I652" t="s">
        <v>137</v>
      </c>
      <c r="K652" t="s">
        <v>138</v>
      </c>
      <c r="M652">
        <v>12140922172</v>
      </c>
      <c r="N652" t="s">
        <v>160</v>
      </c>
      <c r="O652">
        <v>12140922172</v>
      </c>
      <c r="P652" t="s">
        <v>147</v>
      </c>
      <c r="Q652" t="s">
        <v>262</v>
      </c>
      <c r="R652">
        <v>1</v>
      </c>
      <c r="S652">
        <v>36</v>
      </c>
      <c r="T652" t="s">
        <v>142</v>
      </c>
      <c r="U652" t="s">
        <v>267</v>
      </c>
      <c r="V652" t="s">
        <v>267</v>
      </c>
      <c r="W652" t="s">
        <v>267</v>
      </c>
      <c r="AA652" t="s">
        <v>265</v>
      </c>
      <c r="AC652">
        <v>0</v>
      </c>
      <c r="AD652">
        <v>0</v>
      </c>
      <c r="AN652" t="s">
        <v>266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A652">
        <v>726907</v>
      </c>
      <c r="BB652">
        <v>3763662</v>
      </c>
    </row>
    <row r="653" spans="1:54" x14ac:dyDescent="0.35">
      <c r="A653">
        <v>109899</v>
      </c>
      <c r="B653">
        <v>266</v>
      </c>
      <c r="C653" t="s">
        <v>135</v>
      </c>
      <c r="D653" s="15">
        <v>701012140922172</v>
      </c>
      <c r="F653">
        <v>70</v>
      </c>
      <c r="G653" t="s">
        <v>136</v>
      </c>
      <c r="H653">
        <v>7010</v>
      </c>
      <c r="I653" t="s">
        <v>137</v>
      </c>
      <c r="K653" t="s">
        <v>79</v>
      </c>
      <c r="M653">
        <v>12140922171</v>
      </c>
      <c r="N653" t="s">
        <v>160</v>
      </c>
      <c r="O653">
        <v>12140922171</v>
      </c>
      <c r="Q653" t="s">
        <v>262</v>
      </c>
      <c r="R653">
        <v>1</v>
      </c>
      <c r="S653">
        <v>36</v>
      </c>
      <c r="T653" t="s">
        <v>142</v>
      </c>
      <c r="AA653" t="s">
        <v>265</v>
      </c>
      <c r="AC653">
        <v>0</v>
      </c>
      <c r="AD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A653">
        <v>726925</v>
      </c>
      <c r="BB653">
        <v>3763701</v>
      </c>
    </row>
    <row r="654" spans="1:54" x14ac:dyDescent="0.35">
      <c r="A654">
        <v>109898</v>
      </c>
      <c r="B654">
        <v>265</v>
      </c>
      <c r="C654" t="s">
        <v>135</v>
      </c>
      <c r="D654" s="15">
        <v>701012140922171</v>
      </c>
      <c r="F654">
        <v>70</v>
      </c>
      <c r="G654" t="s">
        <v>136</v>
      </c>
      <c r="H654">
        <v>7010</v>
      </c>
      <c r="I654" t="s">
        <v>137</v>
      </c>
      <c r="K654" t="s">
        <v>138</v>
      </c>
      <c r="M654">
        <v>12140922171</v>
      </c>
      <c r="N654" t="s">
        <v>160</v>
      </c>
      <c r="O654">
        <v>12140922171</v>
      </c>
      <c r="P654" t="s">
        <v>147</v>
      </c>
      <c r="Q654" t="s">
        <v>262</v>
      </c>
      <c r="R654">
        <v>1</v>
      </c>
      <c r="S654">
        <v>36</v>
      </c>
      <c r="T654" t="s">
        <v>142</v>
      </c>
      <c r="U654" t="s">
        <v>267</v>
      </c>
      <c r="V654" t="s">
        <v>267</v>
      </c>
      <c r="W654" t="s">
        <v>267</v>
      </c>
      <c r="AA654" t="s">
        <v>265</v>
      </c>
      <c r="AC654">
        <v>0</v>
      </c>
      <c r="AD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A654">
        <v>726925</v>
      </c>
      <c r="BB654">
        <v>3763701</v>
      </c>
    </row>
    <row r="655" spans="1:54" x14ac:dyDescent="0.35">
      <c r="A655">
        <v>109897</v>
      </c>
      <c r="B655">
        <v>264</v>
      </c>
      <c r="C655" t="s">
        <v>135</v>
      </c>
      <c r="D655" s="15">
        <v>701012140922171</v>
      </c>
      <c r="F655">
        <v>70</v>
      </c>
      <c r="G655" t="s">
        <v>136</v>
      </c>
      <c r="H655">
        <v>7010</v>
      </c>
      <c r="I655" t="s">
        <v>137</v>
      </c>
      <c r="K655" t="s">
        <v>79</v>
      </c>
      <c r="M655">
        <v>12140922165</v>
      </c>
      <c r="N655" t="s">
        <v>160</v>
      </c>
      <c r="O655">
        <v>12140922165</v>
      </c>
      <c r="Q655" t="s">
        <v>262</v>
      </c>
      <c r="R655">
        <v>1</v>
      </c>
      <c r="S655">
        <v>36</v>
      </c>
      <c r="T655" t="s">
        <v>142</v>
      </c>
      <c r="AA655" t="s">
        <v>265</v>
      </c>
      <c r="AC655">
        <v>0</v>
      </c>
      <c r="AD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A655">
        <v>726942</v>
      </c>
      <c r="BB655">
        <v>3763746</v>
      </c>
    </row>
    <row r="656" spans="1:54" x14ac:dyDescent="0.35">
      <c r="A656">
        <v>109896</v>
      </c>
      <c r="B656">
        <v>263</v>
      </c>
      <c r="C656" t="s">
        <v>135</v>
      </c>
      <c r="D656" s="15">
        <v>701012140922167</v>
      </c>
      <c r="F656">
        <v>70</v>
      </c>
      <c r="G656" t="s">
        <v>136</v>
      </c>
      <c r="H656">
        <v>7010</v>
      </c>
      <c r="I656" t="s">
        <v>137</v>
      </c>
      <c r="K656" t="s">
        <v>138</v>
      </c>
      <c r="M656">
        <v>12140922167</v>
      </c>
      <c r="N656" t="s">
        <v>139</v>
      </c>
      <c r="O656">
        <v>12140922167</v>
      </c>
      <c r="P656" t="s">
        <v>140</v>
      </c>
      <c r="Q656" t="s">
        <v>141</v>
      </c>
      <c r="R656">
        <v>0</v>
      </c>
      <c r="T656" t="s">
        <v>146</v>
      </c>
      <c r="U656" t="s">
        <v>154</v>
      </c>
      <c r="V656" t="s">
        <v>154</v>
      </c>
      <c r="W656" t="s">
        <v>154</v>
      </c>
      <c r="X656" t="s">
        <v>154</v>
      </c>
      <c r="AA656" t="s">
        <v>144</v>
      </c>
      <c r="AB656" t="s">
        <v>230</v>
      </c>
      <c r="AC656">
        <v>0</v>
      </c>
      <c r="AD656">
        <v>100</v>
      </c>
      <c r="AE656" t="s">
        <v>147</v>
      </c>
      <c r="AF656" t="s">
        <v>148</v>
      </c>
      <c r="AG656" t="s">
        <v>149</v>
      </c>
      <c r="AJ656" t="s">
        <v>231</v>
      </c>
      <c r="AK656" t="s">
        <v>186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Z656" t="s">
        <v>232</v>
      </c>
      <c r="BA656">
        <v>726942.200000001</v>
      </c>
      <c r="BB656">
        <v>3763746.4</v>
      </c>
    </row>
    <row r="657" spans="1:54" x14ac:dyDescent="0.35">
      <c r="A657">
        <v>109895</v>
      </c>
      <c r="B657">
        <v>262</v>
      </c>
      <c r="C657" t="s">
        <v>135</v>
      </c>
      <c r="D657" s="15">
        <v>701012140922167</v>
      </c>
      <c r="F657">
        <v>70</v>
      </c>
      <c r="G657" t="s">
        <v>136</v>
      </c>
      <c r="H657">
        <v>7010</v>
      </c>
      <c r="I657" t="s">
        <v>137</v>
      </c>
      <c r="K657" t="s">
        <v>79</v>
      </c>
      <c r="M657">
        <v>12140922166</v>
      </c>
      <c r="N657" t="s">
        <v>139</v>
      </c>
      <c r="O657">
        <v>12140922166</v>
      </c>
      <c r="Q657" t="s">
        <v>141</v>
      </c>
      <c r="R657">
        <v>0</v>
      </c>
      <c r="T657" t="s">
        <v>146</v>
      </c>
      <c r="AA657" t="s">
        <v>144</v>
      </c>
      <c r="AB657" t="s">
        <v>230</v>
      </c>
      <c r="AC657">
        <v>0</v>
      </c>
      <c r="AD657">
        <v>100</v>
      </c>
      <c r="AE657" t="s">
        <v>147</v>
      </c>
      <c r="AF657" t="s">
        <v>148</v>
      </c>
      <c r="AG657" t="s">
        <v>149</v>
      </c>
      <c r="AJ657" t="s">
        <v>231</v>
      </c>
      <c r="AK657" t="s">
        <v>186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Z657" t="s">
        <v>232</v>
      </c>
      <c r="BA657">
        <v>726942.10000000102</v>
      </c>
      <c r="BB657">
        <v>3763746.3</v>
      </c>
    </row>
    <row r="658" spans="1:54" x14ac:dyDescent="0.35">
      <c r="A658">
        <v>109894</v>
      </c>
      <c r="B658">
        <v>261</v>
      </c>
      <c r="C658" t="s">
        <v>135</v>
      </c>
      <c r="D658" s="15">
        <v>701012140922166</v>
      </c>
      <c r="F658">
        <v>70</v>
      </c>
      <c r="G658" t="s">
        <v>136</v>
      </c>
      <c r="H658">
        <v>7010</v>
      </c>
      <c r="I658" t="s">
        <v>137</v>
      </c>
      <c r="K658" t="s">
        <v>138</v>
      </c>
      <c r="M658">
        <v>12140922166</v>
      </c>
      <c r="N658" t="s">
        <v>160</v>
      </c>
      <c r="O658">
        <v>12140922166</v>
      </c>
      <c r="P658" t="s">
        <v>147</v>
      </c>
      <c r="Q658" t="s">
        <v>262</v>
      </c>
      <c r="R658">
        <v>0</v>
      </c>
      <c r="T658" t="s">
        <v>146</v>
      </c>
      <c r="U658" t="s">
        <v>263</v>
      </c>
      <c r="V658" t="s">
        <v>263</v>
      </c>
      <c r="W658" t="s">
        <v>263</v>
      </c>
      <c r="AA658" t="s">
        <v>264</v>
      </c>
      <c r="AB658" t="s">
        <v>230</v>
      </c>
      <c r="AC658">
        <v>0</v>
      </c>
      <c r="AD658">
        <v>100</v>
      </c>
      <c r="AE658" t="s">
        <v>147</v>
      </c>
      <c r="AF658" t="s">
        <v>148</v>
      </c>
      <c r="AG658" t="s">
        <v>149</v>
      </c>
      <c r="AJ658" t="s">
        <v>231</v>
      </c>
      <c r="AK658" t="s">
        <v>186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Z658" t="s">
        <v>232</v>
      </c>
      <c r="BA658">
        <v>726942.10000000102</v>
      </c>
      <c r="BB658">
        <v>3763746.3</v>
      </c>
    </row>
    <row r="659" spans="1:54" x14ac:dyDescent="0.35">
      <c r="A659">
        <v>109893</v>
      </c>
      <c r="B659">
        <v>260</v>
      </c>
      <c r="C659" t="s">
        <v>135</v>
      </c>
      <c r="D659" s="15">
        <v>701012140922166</v>
      </c>
      <c r="F659">
        <v>70</v>
      </c>
      <c r="G659" t="s">
        <v>136</v>
      </c>
      <c r="H659">
        <v>7010</v>
      </c>
      <c r="I659" t="s">
        <v>137</v>
      </c>
      <c r="K659" t="s">
        <v>79</v>
      </c>
      <c r="M659">
        <v>12140922165</v>
      </c>
      <c r="N659" t="s">
        <v>160</v>
      </c>
      <c r="O659">
        <v>12140922165</v>
      </c>
      <c r="Q659" t="s">
        <v>262</v>
      </c>
      <c r="R659">
        <v>1</v>
      </c>
      <c r="S659">
        <v>36</v>
      </c>
      <c r="T659" t="s">
        <v>142</v>
      </c>
      <c r="AA659" t="s">
        <v>265</v>
      </c>
      <c r="AC659">
        <v>0</v>
      </c>
      <c r="AD659">
        <v>0</v>
      </c>
      <c r="AN659" t="s">
        <v>271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A659">
        <v>726942</v>
      </c>
      <c r="BB659">
        <v>3763746</v>
      </c>
    </row>
    <row r="660" spans="1:54" x14ac:dyDescent="0.35">
      <c r="A660">
        <v>109892</v>
      </c>
      <c r="B660">
        <v>259</v>
      </c>
      <c r="C660" t="s">
        <v>135</v>
      </c>
      <c r="D660" s="15">
        <v>701012140922165</v>
      </c>
      <c r="F660">
        <v>70</v>
      </c>
      <c r="G660" t="s">
        <v>136</v>
      </c>
      <c r="H660">
        <v>7010</v>
      </c>
      <c r="I660" t="s">
        <v>137</v>
      </c>
      <c r="K660" t="s">
        <v>138</v>
      </c>
      <c r="M660">
        <v>12140922165</v>
      </c>
      <c r="N660" t="s">
        <v>160</v>
      </c>
      <c r="O660">
        <v>12140922165</v>
      </c>
      <c r="P660" t="s">
        <v>147</v>
      </c>
      <c r="Q660" t="s">
        <v>262</v>
      </c>
      <c r="R660">
        <v>1</v>
      </c>
      <c r="S660">
        <v>36</v>
      </c>
      <c r="T660" t="s">
        <v>142</v>
      </c>
      <c r="U660" t="s">
        <v>267</v>
      </c>
      <c r="V660" t="s">
        <v>267</v>
      </c>
      <c r="W660" t="s">
        <v>267</v>
      </c>
      <c r="AA660" t="s">
        <v>265</v>
      </c>
      <c r="AC660">
        <v>0</v>
      </c>
      <c r="AD660">
        <v>0</v>
      </c>
      <c r="AN660" t="s">
        <v>271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A660">
        <v>726942</v>
      </c>
      <c r="BB660">
        <v>3763746</v>
      </c>
    </row>
    <row r="661" spans="1:54" x14ac:dyDescent="0.35">
      <c r="A661">
        <v>109891</v>
      </c>
      <c r="B661">
        <v>258</v>
      </c>
      <c r="C661" t="s">
        <v>135</v>
      </c>
      <c r="D661" s="15">
        <v>701012140922165</v>
      </c>
      <c r="F661">
        <v>70</v>
      </c>
      <c r="G661" t="s">
        <v>136</v>
      </c>
      <c r="H661">
        <v>7010</v>
      </c>
      <c r="I661" t="s">
        <v>137</v>
      </c>
      <c r="K661" t="s">
        <v>79</v>
      </c>
      <c r="M661">
        <v>12140922164</v>
      </c>
      <c r="N661" t="s">
        <v>160</v>
      </c>
      <c r="O661">
        <v>12140922164</v>
      </c>
      <c r="Q661" t="s">
        <v>262</v>
      </c>
      <c r="R661">
        <v>1</v>
      </c>
      <c r="S661">
        <v>36</v>
      </c>
      <c r="T661" t="s">
        <v>142</v>
      </c>
      <c r="AA661" t="s">
        <v>265</v>
      </c>
      <c r="AC661">
        <v>0</v>
      </c>
      <c r="AD661">
        <v>0</v>
      </c>
      <c r="AN661" t="s">
        <v>271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A661">
        <v>726959.00000000105</v>
      </c>
      <c r="BB661">
        <v>3763778</v>
      </c>
    </row>
    <row r="662" spans="1:54" x14ac:dyDescent="0.35">
      <c r="A662">
        <v>109890</v>
      </c>
      <c r="B662">
        <v>257</v>
      </c>
      <c r="C662" t="s">
        <v>135</v>
      </c>
      <c r="D662" s="15">
        <v>701012140922164</v>
      </c>
      <c r="F662">
        <v>70</v>
      </c>
      <c r="G662" t="s">
        <v>136</v>
      </c>
      <c r="H662">
        <v>7010</v>
      </c>
      <c r="I662" t="s">
        <v>137</v>
      </c>
      <c r="K662" t="s">
        <v>138</v>
      </c>
      <c r="M662">
        <v>12140922164</v>
      </c>
      <c r="N662" t="s">
        <v>160</v>
      </c>
      <c r="O662">
        <v>12140922164</v>
      </c>
      <c r="P662" t="s">
        <v>147</v>
      </c>
      <c r="Q662" t="s">
        <v>262</v>
      </c>
      <c r="R662">
        <v>1</v>
      </c>
      <c r="S662">
        <v>36</v>
      </c>
      <c r="T662" t="s">
        <v>142</v>
      </c>
      <c r="U662" t="s">
        <v>267</v>
      </c>
      <c r="V662" t="s">
        <v>267</v>
      </c>
      <c r="W662" t="s">
        <v>267</v>
      </c>
      <c r="AA662" t="s">
        <v>265</v>
      </c>
      <c r="AC662">
        <v>0</v>
      </c>
      <c r="AD662">
        <v>0</v>
      </c>
      <c r="AN662" t="s">
        <v>271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A662">
        <v>726959.00000000105</v>
      </c>
      <c r="BB662">
        <v>3763778</v>
      </c>
    </row>
    <row r="663" spans="1:54" x14ac:dyDescent="0.35">
      <c r="A663">
        <v>109889</v>
      </c>
      <c r="B663">
        <v>256</v>
      </c>
      <c r="C663" t="s">
        <v>135</v>
      </c>
      <c r="D663" s="15">
        <v>701012140922164</v>
      </c>
      <c r="F663">
        <v>70</v>
      </c>
      <c r="G663" t="s">
        <v>136</v>
      </c>
      <c r="H663">
        <v>7010</v>
      </c>
      <c r="I663" t="s">
        <v>137</v>
      </c>
      <c r="K663" t="s">
        <v>79</v>
      </c>
      <c r="M663">
        <v>12140922163</v>
      </c>
      <c r="N663" t="s">
        <v>160</v>
      </c>
      <c r="O663">
        <v>12140922163</v>
      </c>
      <c r="Q663" t="s">
        <v>262</v>
      </c>
      <c r="R663">
        <v>1</v>
      </c>
      <c r="S663">
        <v>36</v>
      </c>
      <c r="T663" t="s">
        <v>142</v>
      </c>
      <c r="AA663" t="s">
        <v>265</v>
      </c>
      <c r="AC663">
        <v>0</v>
      </c>
      <c r="AD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A663">
        <v>726962.00000000105</v>
      </c>
      <c r="BB663">
        <v>3763798</v>
      </c>
    </row>
    <row r="664" spans="1:54" x14ac:dyDescent="0.35">
      <c r="A664">
        <v>109888</v>
      </c>
      <c r="B664">
        <v>255</v>
      </c>
      <c r="C664" t="s">
        <v>135</v>
      </c>
      <c r="D664" s="15">
        <v>701012140922163</v>
      </c>
      <c r="F664">
        <v>70</v>
      </c>
      <c r="G664" t="s">
        <v>136</v>
      </c>
      <c r="H664">
        <v>7010</v>
      </c>
      <c r="I664" t="s">
        <v>137</v>
      </c>
      <c r="K664" t="s">
        <v>138</v>
      </c>
      <c r="M664">
        <v>12140922163</v>
      </c>
      <c r="N664" t="s">
        <v>160</v>
      </c>
      <c r="O664">
        <v>12140922163</v>
      </c>
      <c r="P664" t="s">
        <v>147</v>
      </c>
      <c r="Q664" t="s">
        <v>262</v>
      </c>
      <c r="R664">
        <v>1</v>
      </c>
      <c r="S664">
        <v>36</v>
      </c>
      <c r="T664" t="s">
        <v>142</v>
      </c>
      <c r="U664" t="s">
        <v>267</v>
      </c>
      <c r="V664" t="s">
        <v>267</v>
      </c>
      <c r="W664" t="s">
        <v>267</v>
      </c>
      <c r="AA664" t="s">
        <v>265</v>
      </c>
      <c r="AC664">
        <v>0</v>
      </c>
      <c r="AD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A664">
        <v>726962.00000000105</v>
      </c>
      <c r="BB664">
        <v>3763798</v>
      </c>
    </row>
    <row r="665" spans="1:54" x14ac:dyDescent="0.35">
      <c r="A665">
        <v>109887</v>
      </c>
      <c r="B665">
        <v>254</v>
      </c>
      <c r="C665" t="s">
        <v>135</v>
      </c>
      <c r="D665" s="15">
        <v>701012140922163</v>
      </c>
      <c r="F665">
        <v>70</v>
      </c>
      <c r="G665" t="s">
        <v>136</v>
      </c>
      <c r="H665">
        <v>7010</v>
      </c>
      <c r="I665" t="s">
        <v>137</v>
      </c>
      <c r="K665" t="s">
        <v>79</v>
      </c>
      <c r="M665">
        <v>12140922154</v>
      </c>
      <c r="N665" t="s">
        <v>160</v>
      </c>
      <c r="O665">
        <v>12140922154</v>
      </c>
      <c r="Q665" t="s">
        <v>262</v>
      </c>
      <c r="R665">
        <v>1</v>
      </c>
      <c r="S665">
        <v>36</v>
      </c>
      <c r="T665" t="s">
        <v>142</v>
      </c>
      <c r="AA665" t="s">
        <v>265</v>
      </c>
      <c r="AC665">
        <v>0</v>
      </c>
      <c r="AD665">
        <v>0</v>
      </c>
      <c r="AN665" t="s">
        <v>266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A665">
        <v>726975.00000000105</v>
      </c>
      <c r="BB665">
        <v>3763821</v>
      </c>
    </row>
    <row r="666" spans="1:54" x14ac:dyDescent="0.35">
      <c r="A666">
        <v>109886</v>
      </c>
      <c r="B666">
        <v>253</v>
      </c>
      <c r="C666" t="s">
        <v>135</v>
      </c>
      <c r="D666" s="15">
        <v>701012140922156</v>
      </c>
      <c r="F666">
        <v>70</v>
      </c>
      <c r="G666" t="s">
        <v>136</v>
      </c>
      <c r="H666">
        <v>7010</v>
      </c>
      <c r="I666" t="s">
        <v>137</v>
      </c>
      <c r="K666" t="s">
        <v>138</v>
      </c>
      <c r="M666">
        <v>12140922156</v>
      </c>
      <c r="N666" t="s">
        <v>139</v>
      </c>
      <c r="O666">
        <v>12140922156</v>
      </c>
      <c r="P666" t="s">
        <v>140</v>
      </c>
      <c r="Q666" t="s">
        <v>141</v>
      </c>
      <c r="R666">
        <v>0</v>
      </c>
      <c r="T666" t="s">
        <v>146</v>
      </c>
      <c r="U666" t="s">
        <v>154</v>
      </c>
      <c r="V666" t="s">
        <v>154</v>
      </c>
      <c r="W666" t="s">
        <v>154</v>
      </c>
      <c r="X666" t="s">
        <v>154</v>
      </c>
      <c r="AA666" t="s">
        <v>144</v>
      </c>
      <c r="AB666" t="s">
        <v>233</v>
      </c>
      <c r="AC666">
        <v>0</v>
      </c>
      <c r="AD666">
        <v>200</v>
      </c>
      <c r="AE666" t="s">
        <v>147</v>
      </c>
      <c r="AF666" t="s">
        <v>148</v>
      </c>
      <c r="AG666" t="s">
        <v>149</v>
      </c>
      <c r="AH666" t="s">
        <v>234</v>
      </c>
      <c r="AJ666" t="s">
        <v>235</v>
      </c>
      <c r="AK666" t="s">
        <v>152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Z666" t="s">
        <v>236</v>
      </c>
      <c r="BA666">
        <v>726975.20000000205</v>
      </c>
      <c r="BB666">
        <v>3763821.4</v>
      </c>
    </row>
    <row r="667" spans="1:54" x14ac:dyDescent="0.35">
      <c r="A667">
        <v>109885</v>
      </c>
      <c r="B667">
        <v>252</v>
      </c>
      <c r="C667" t="s">
        <v>135</v>
      </c>
      <c r="D667" s="15">
        <v>701012140922156</v>
      </c>
      <c r="F667">
        <v>70</v>
      </c>
      <c r="G667" t="s">
        <v>136</v>
      </c>
      <c r="H667">
        <v>7010</v>
      </c>
      <c r="I667" t="s">
        <v>137</v>
      </c>
      <c r="K667" t="s">
        <v>79</v>
      </c>
      <c r="M667">
        <v>12140922155</v>
      </c>
      <c r="N667" t="s">
        <v>139</v>
      </c>
      <c r="O667">
        <v>12140922155</v>
      </c>
      <c r="Q667" t="s">
        <v>141</v>
      </c>
      <c r="R667">
        <v>0</v>
      </c>
      <c r="T667" t="s">
        <v>146</v>
      </c>
      <c r="AA667" t="s">
        <v>144</v>
      </c>
      <c r="AB667" t="s">
        <v>233</v>
      </c>
      <c r="AC667">
        <v>0</v>
      </c>
      <c r="AD667">
        <v>200</v>
      </c>
      <c r="AE667" t="s">
        <v>147</v>
      </c>
      <c r="AF667" t="s">
        <v>148</v>
      </c>
      <c r="AG667" t="s">
        <v>149</v>
      </c>
      <c r="AH667" t="s">
        <v>234</v>
      </c>
      <c r="AJ667" t="s">
        <v>235</v>
      </c>
      <c r="AK667" t="s">
        <v>152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Z667" t="s">
        <v>236</v>
      </c>
      <c r="BA667">
        <v>726975.10000000102</v>
      </c>
      <c r="BB667">
        <v>3763821.3</v>
      </c>
    </row>
    <row r="668" spans="1:54" x14ac:dyDescent="0.35">
      <c r="A668">
        <v>109884</v>
      </c>
      <c r="B668">
        <v>251</v>
      </c>
      <c r="C668" t="s">
        <v>135</v>
      </c>
      <c r="D668" s="15">
        <v>701012140922155</v>
      </c>
      <c r="F668">
        <v>70</v>
      </c>
      <c r="G668" t="s">
        <v>136</v>
      </c>
      <c r="H668">
        <v>7010</v>
      </c>
      <c r="I668" t="s">
        <v>137</v>
      </c>
      <c r="K668" t="s">
        <v>138</v>
      </c>
      <c r="M668">
        <v>12140922155</v>
      </c>
      <c r="N668" t="s">
        <v>160</v>
      </c>
      <c r="O668">
        <v>12140922155</v>
      </c>
      <c r="P668" t="s">
        <v>147</v>
      </c>
      <c r="Q668" t="s">
        <v>262</v>
      </c>
      <c r="R668">
        <v>0</v>
      </c>
      <c r="T668" t="s">
        <v>146</v>
      </c>
      <c r="U668" t="s">
        <v>263</v>
      </c>
      <c r="V668" t="s">
        <v>263</v>
      </c>
      <c r="W668" t="s">
        <v>263</v>
      </c>
      <c r="AA668" t="s">
        <v>264</v>
      </c>
      <c r="AB668" t="s">
        <v>233</v>
      </c>
      <c r="AC668">
        <v>0</v>
      </c>
      <c r="AD668">
        <v>200</v>
      </c>
      <c r="AE668" t="s">
        <v>147</v>
      </c>
      <c r="AF668" t="s">
        <v>148</v>
      </c>
      <c r="AG668" t="s">
        <v>149</v>
      </c>
      <c r="AH668" t="s">
        <v>234</v>
      </c>
      <c r="AJ668" t="s">
        <v>235</v>
      </c>
      <c r="AK668" t="s">
        <v>152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Z668" t="s">
        <v>236</v>
      </c>
      <c r="BA668">
        <v>726975.10000000102</v>
      </c>
      <c r="BB668">
        <v>3763821.3</v>
      </c>
    </row>
    <row r="669" spans="1:54" x14ac:dyDescent="0.35">
      <c r="A669">
        <v>109883</v>
      </c>
      <c r="B669">
        <v>250</v>
      </c>
      <c r="C669" t="s">
        <v>135</v>
      </c>
      <c r="D669" s="15">
        <v>701012140922155</v>
      </c>
      <c r="F669">
        <v>70</v>
      </c>
      <c r="G669" t="s">
        <v>136</v>
      </c>
      <c r="H669">
        <v>7010</v>
      </c>
      <c r="I669" t="s">
        <v>137</v>
      </c>
      <c r="K669" t="s">
        <v>79</v>
      </c>
      <c r="M669">
        <v>12140922154</v>
      </c>
      <c r="N669" t="s">
        <v>160</v>
      </c>
      <c r="O669">
        <v>12140922154</v>
      </c>
      <c r="Q669" t="s">
        <v>262</v>
      </c>
      <c r="R669">
        <v>1</v>
      </c>
      <c r="S669">
        <v>36</v>
      </c>
      <c r="T669" t="s">
        <v>142</v>
      </c>
      <c r="AA669" t="s">
        <v>265</v>
      </c>
      <c r="AC669">
        <v>0</v>
      </c>
      <c r="AD669">
        <v>0</v>
      </c>
      <c r="AN669" t="s">
        <v>266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A669">
        <v>726975.00000000105</v>
      </c>
      <c r="BB669">
        <v>3763821</v>
      </c>
    </row>
    <row r="670" spans="1:54" x14ac:dyDescent="0.35">
      <c r="A670">
        <v>109882</v>
      </c>
      <c r="B670">
        <v>249</v>
      </c>
      <c r="C670" t="s">
        <v>135</v>
      </c>
      <c r="D670" s="15">
        <v>701012140922154</v>
      </c>
      <c r="F670">
        <v>70</v>
      </c>
      <c r="G670" t="s">
        <v>136</v>
      </c>
      <c r="H670">
        <v>7010</v>
      </c>
      <c r="I670" t="s">
        <v>137</v>
      </c>
      <c r="K670" t="s">
        <v>138</v>
      </c>
      <c r="M670">
        <v>12140922154</v>
      </c>
      <c r="N670" t="s">
        <v>160</v>
      </c>
      <c r="O670">
        <v>12140922154</v>
      </c>
      <c r="P670" t="s">
        <v>147</v>
      </c>
      <c r="Q670" t="s">
        <v>262</v>
      </c>
      <c r="R670">
        <v>1</v>
      </c>
      <c r="S670">
        <v>36</v>
      </c>
      <c r="T670" t="s">
        <v>142</v>
      </c>
      <c r="U670" t="s">
        <v>267</v>
      </c>
      <c r="V670" t="s">
        <v>267</v>
      </c>
      <c r="W670" t="s">
        <v>267</v>
      </c>
      <c r="AA670" t="s">
        <v>265</v>
      </c>
      <c r="AC670">
        <v>0</v>
      </c>
      <c r="AD670">
        <v>0</v>
      </c>
      <c r="AN670" t="s">
        <v>266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A670">
        <v>726975.00000000105</v>
      </c>
      <c r="BB670">
        <v>3763821</v>
      </c>
    </row>
    <row r="671" spans="1:54" x14ac:dyDescent="0.35">
      <c r="A671">
        <v>109881</v>
      </c>
      <c r="B671">
        <v>248</v>
      </c>
      <c r="C671" t="s">
        <v>135</v>
      </c>
      <c r="D671" s="15">
        <v>701012140922154</v>
      </c>
      <c r="E671">
        <v>1</v>
      </c>
      <c r="F671">
        <v>70</v>
      </c>
      <c r="G671" t="s">
        <v>136</v>
      </c>
      <c r="H671">
        <v>7010</v>
      </c>
      <c r="I671" t="s">
        <v>137</v>
      </c>
      <c r="M671">
        <v>12140922153</v>
      </c>
      <c r="N671" t="s">
        <v>160</v>
      </c>
      <c r="O671">
        <v>12140922153</v>
      </c>
      <c r="Q671" t="s">
        <v>262</v>
      </c>
      <c r="R671">
        <v>1</v>
      </c>
      <c r="S671">
        <v>36</v>
      </c>
      <c r="T671" t="s">
        <v>142</v>
      </c>
      <c r="AA671" t="s">
        <v>265</v>
      </c>
      <c r="AC671">
        <v>0</v>
      </c>
      <c r="AD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A671">
        <v>726936.00000000105</v>
      </c>
      <c r="BB671">
        <v>3763849</v>
      </c>
    </row>
    <row r="672" spans="1:54" x14ac:dyDescent="0.35">
      <c r="A672">
        <v>109880</v>
      </c>
      <c r="B672">
        <v>247</v>
      </c>
      <c r="C672" t="s">
        <v>135</v>
      </c>
      <c r="D672" s="15">
        <v>701012140922154</v>
      </c>
      <c r="E672">
        <v>0</v>
      </c>
      <c r="F672">
        <v>70</v>
      </c>
      <c r="G672" t="s">
        <v>136</v>
      </c>
      <c r="H672">
        <v>7010</v>
      </c>
      <c r="I672" t="s">
        <v>137</v>
      </c>
      <c r="M672">
        <v>12140922152</v>
      </c>
      <c r="N672" t="s">
        <v>160</v>
      </c>
      <c r="O672">
        <v>12140922152</v>
      </c>
      <c r="Q672" t="s">
        <v>262</v>
      </c>
      <c r="R672">
        <v>1</v>
      </c>
      <c r="S672">
        <v>36</v>
      </c>
      <c r="T672" t="s">
        <v>142</v>
      </c>
      <c r="AA672" t="s">
        <v>265</v>
      </c>
      <c r="AC672">
        <v>0</v>
      </c>
      <c r="AD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A672">
        <v>726890.00000000105</v>
      </c>
      <c r="BB672">
        <v>3763862</v>
      </c>
    </row>
    <row r="673" spans="1:54" x14ac:dyDescent="0.35">
      <c r="A673">
        <v>109879</v>
      </c>
      <c r="B673">
        <v>246</v>
      </c>
      <c r="C673" t="s">
        <v>135</v>
      </c>
      <c r="D673" s="15">
        <v>701012140922154</v>
      </c>
      <c r="F673">
        <v>70</v>
      </c>
      <c r="G673" t="s">
        <v>136</v>
      </c>
      <c r="H673">
        <v>7010</v>
      </c>
      <c r="I673" t="s">
        <v>137</v>
      </c>
      <c r="K673" t="s">
        <v>79</v>
      </c>
      <c r="M673">
        <v>12140922151</v>
      </c>
      <c r="N673" t="s">
        <v>160</v>
      </c>
      <c r="O673">
        <v>12140922151</v>
      </c>
      <c r="Q673" t="s">
        <v>262</v>
      </c>
      <c r="R673">
        <v>1</v>
      </c>
      <c r="S673">
        <v>36</v>
      </c>
      <c r="T673" t="s">
        <v>142</v>
      </c>
      <c r="AA673" t="s">
        <v>265</v>
      </c>
      <c r="AC673">
        <v>0</v>
      </c>
      <c r="AD673">
        <v>0</v>
      </c>
      <c r="AN673" t="s">
        <v>271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A673">
        <v>726867.00000000105</v>
      </c>
      <c r="BB673">
        <v>3763876</v>
      </c>
    </row>
    <row r="674" spans="1:54" x14ac:dyDescent="0.35">
      <c r="A674">
        <v>109878</v>
      </c>
      <c r="B674">
        <v>245</v>
      </c>
      <c r="C674" t="s">
        <v>135</v>
      </c>
      <c r="D674" s="15">
        <v>701012140922151</v>
      </c>
      <c r="F674">
        <v>70</v>
      </c>
      <c r="G674" t="s">
        <v>136</v>
      </c>
      <c r="H674">
        <v>7010</v>
      </c>
      <c r="I674" t="s">
        <v>137</v>
      </c>
      <c r="K674" t="s">
        <v>138</v>
      </c>
      <c r="M674">
        <v>12140922151</v>
      </c>
      <c r="N674" t="s">
        <v>160</v>
      </c>
      <c r="O674">
        <v>12140922151</v>
      </c>
      <c r="P674" t="s">
        <v>147</v>
      </c>
      <c r="Q674" t="s">
        <v>262</v>
      </c>
      <c r="R674">
        <v>1</v>
      </c>
      <c r="S674">
        <v>36</v>
      </c>
      <c r="T674" t="s">
        <v>142</v>
      </c>
      <c r="U674" t="s">
        <v>267</v>
      </c>
      <c r="V674" t="s">
        <v>267</v>
      </c>
      <c r="W674" t="s">
        <v>267</v>
      </c>
      <c r="AA674" t="s">
        <v>265</v>
      </c>
      <c r="AC674">
        <v>0</v>
      </c>
      <c r="AD674">
        <v>0</v>
      </c>
      <c r="AN674" t="s">
        <v>271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A674">
        <v>726867.00000000105</v>
      </c>
      <c r="BB674">
        <v>3763876</v>
      </c>
    </row>
    <row r="675" spans="1:54" x14ac:dyDescent="0.35">
      <c r="A675">
        <v>109877</v>
      </c>
      <c r="B675">
        <v>244</v>
      </c>
      <c r="C675" t="s">
        <v>135</v>
      </c>
      <c r="D675" s="15">
        <v>701012140922151</v>
      </c>
      <c r="F675">
        <v>70</v>
      </c>
      <c r="G675" t="s">
        <v>136</v>
      </c>
      <c r="H675">
        <v>7010</v>
      </c>
      <c r="I675" t="s">
        <v>137</v>
      </c>
      <c r="K675" t="s">
        <v>79</v>
      </c>
      <c r="M675">
        <v>12120922047</v>
      </c>
      <c r="N675" t="s">
        <v>160</v>
      </c>
      <c r="O675">
        <v>12120922047</v>
      </c>
      <c r="Q675" t="s">
        <v>262</v>
      </c>
      <c r="R675">
        <v>1</v>
      </c>
      <c r="S675">
        <v>45</v>
      </c>
      <c r="T675" t="s">
        <v>222</v>
      </c>
      <c r="AA675" t="s">
        <v>265</v>
      </c>
      <c r="AC675">
        <v>0</v>
      </c>
      <c r="AD675">
        <v>0</v>
      </c>
      <c r="AN675" t="s">
        <v>271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A675">
        <v>726844.00000000105</v>
      </c>
      <c r="BB675">
        <v>3763884</v>
      </c>
    </row>
    <row r="676" spans="1:54" x14ac:dyDescent="0.35">
      <c r="A676">
        <v>109876</v>
      </c>
      <c r="B676">
        <v>243</v>
      </c>
      <c r="C676" t="s">
        <v>135</v>
      </c>
      <c r="D676" s="15">
        <v>701012140922146</v>
      </c>
      <c r="F676">
        <v>70</v>
      </c>
      <c r="G676" t="s">
        <v>136</v>
      </c>
      <c r="H676">
        <v>7010</v>
      </c>
      <c r="I676" t="s">
        <v>137</v>
      </c>
      <c r="K676" t="s">
        <v>138</v>
      </c>
      <c r="M676">
        <v>12140922146</v>
      </c>
      <c r="N676" t="s">
        <v>139</v>
      </c>
      <c r="O676">
        <v>12140922146</v>
      </c>
      <c r="P676" t="s">
        <v>140</v>
      </c>
      <c r="Q676" t="s">
        <v>141</v>
      </c>
      <c r="R676">
        <v>0</v>
      </c>
      <c r="T676" t="s">
        <v>146</v>
      </c>
      <c r="U676" t="s">
        <v>143</v>
      </c>
      <c r="V676" t="s">
        <v>143</v>
      </c>
      <c r="W676" t="s">
        <v>143</v>
      </c>
      <c r="X676" t="s">
        <v>143</v>
      </c>
      <c r="AA676" t="s">
        <v>144</v>
      </c>
      <c r="AB676" t="s">
        <v>237</v>
      </c>
      <c r="AC676">
        <v>0</v>
      </c>
      <c r="AD676">
        <v>100</v>
      </c>
      <c r="AE676" t="s">
        <v>147</v>
      </c>
      <c r="AF676" t="s">
        <v>148</v>
      </c>
      <c r="AG676" t="s">
        <v>165</v>
      </c>
      <c r="AH676" t="s">
        <v>182</v>
      </c>
      <c r="AJ676" t="s">
        <v>238</v>
      </c>
      <c r="AK676" t="s">
        <v>152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Z676" t="s">
        <v>239</v>
      </c>
      <c r="BA676">
        <v>727125.2</v>
      </c>
      <c r="BB676">
        <v>3763826.4</v>
      </c>
    </row>
    <row r="677" spans="1:54" x14ac:dyDescent="0.35">
      <c r="A677">
        <v>109875</v>
      </c>
      <c r="B677">
        <v>242</v>
      </c>
      <c r="C677" t="s">
        <v>135</v>
      </c>
      <c r="D677" s="15">
        <v>701012140922146</v>
      </c>
      <c r="F677">
        <v>70</v>
      </c>
      <c r="G677" t="s">
        <v>136</v>
      </c>
      <c r="H677">
        <v>7010</v>
      </c>
      <c r="I677" t="s">
        <v>137</v>
      </c>
      <c r="K677" t="s">
        <v>79</v>
      </c>
      <c r="M677">
        <v>12140922145</v>
      </c>
      <c r="N677" t="s">
        <v>139</v>
      </c>
      <c r="O677">
        <v>12140922145</v>
      </c>
      <c r="Q677" t="s">
        <v>141</v>
      </c>
      <c r="R677">
        <v>0</v>
      </c>
      <c r="T677" t="s">
        <v>146</v>
      </c>
      <c r="AA677" t="s">
        <v>144</v>
      </c>
      <c r="AB677" t="s">
        <v>237</v>
      </c>
      <c r="AC677">
        <v>0</v>
      </c>
      <c r="AD677">
        <v>100</v>
      </c>
      <c r="AE677" t="s">
        <v>147</v>
      </c>
      <c r="AF677" t="s">
        <v>148</v>
      </c>
      <c r="AG677" t="s">
        <v>149</v>
      </c>
      <c r="AH677" t="s">
        <v>182</v>
      </c>
      <c r="AJ677" t="s">
        <v>238</v>
      </c>
      <c r="AK677" t="s">
        <v>152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Z677" t="s">
        <v>239</v>
      </c>
      <c r="BA677">
        <v>727125.1</v>
      </c>
      <c r="BB677">
        <v>3763826.3</v>
      </c>
    </row>
    <row r="678" spans="1:54" x14ac:dyDescent="0.35">
      <c r="A678">
        <v>109874</v>
      </c>
      <c r="B678">
        <v>241</v>
      </c>
      <c r="C678" t="s">
        <v>135</v>
      </c>
      <c r="D678" s="15">
        <v>701012140922145</v>
      </c>
      <c r="F678">
        <v>70</v>
      </c>
      <c r="G678" t="s">
        <v>136</v>
      </c>
      <c r="H678">
        <v>7010</v>
      </c>
      <c r="I678" t="s">
        <v>137</v>
      </c>
      <c r="K678" t="s">
        <v>138</v>
      </c>
      <c r="M678">
        <v>12140922145</v>
      </c>
      <c r="N678" t="s">
        <v>160</v>
      </c>
      <c r="O678">
        <v>12140922145</v>
      </c>
      <c r="P678" t="s">
        <v>147</v>
      </c>
      <c r="Q678" t="s">
        <v>262</v>
      </c>
      <c r="R678">
        <v>0</v>
      </c>
      <c r="T678" t="s">
        <v>146</v>
      </c>
      <c r="U678" t="s">
        <v>263</v>
      </c>
      <c r="V678" t="s">
        <v>263</v>
      </c>
      <c r="W678" t="s">
        <v>263</v>
      </c>
      <c r="AA678" t="s">
        <v>264</v>
      </c>
      <c r="AB678" t="s">
        <v>237</v>
      </c>
      <c r="AC678">
        <v>0</v>
      </c>
      <c r="AD678">
        <v>100</v>
      </c>
      <c r="AE678" t="s">
        <v>147</v>
      </c>
      <c r="AF678" t="s">
        <v>148</v>
      </c>
      <c r="AG678" t="s">
        <v>149</v>
      </c>
      <c r="AH678" t="s">
        <v>182</v>
      </c>
      <c r="AJ678" t="s">
        <v>238</v>
      </c>
      <c r="AK678" t="s">
        <v>152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Z678" t="s">
        <v>239</v>
      </c>
      <c r="BA678">
        <v>727125.1</v>
      </c>
      <c r="BB678">
        <v>3763826.3</v>
      </c>
    </row>
    <row r="679" spans="1:54" x14ac:dyDescent="0.35">
      <c r="A679">
        <v>109873</v>
      </c>
      <c r="B679">
        <v>240</v>
      </c>
      <c r="C679" t="s">
        <v>135</v>
      </c>
      <c r="D679" s="15">
        <v>701012140922145</v>
      </c>
      <c r="F679">
        <v>70</v>
      </c>
      <c r="G679" t="s">
        <v>136</v>
      </c>
      <c r="H679">
        <v>7010</v>
      </c>
      <c r="I679" t="s">
        <v>137</v>
      </c>
      <c r="K679" t="s">
        <v>79</v>
      </c>
      <c r="M679">
        <v>12140922144</v>
      </c>
      <c r="N679" t="s">
        <v>160</v>
      </c>
      <c r="O679">
        <v>12140922144</v>
      </c>
      <c r="Q679" t="s">
        <v>262</v>
      </c>
      <c r="R679">
        <v>2</v>
      </c>
      <c r="S679">
        <v>36</v>
      </c>
      <c r="T679" t="s">
        <v>142</v>
      </c>
      <c r="AA679" t="s">
        <v>265</v>
      </c>
      <c r="AC679">
        <v>0</v>
      </c>
      <c r="AD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A679">
        <v>727125.00000000105</v>
      </c>
      <c r="BB679">
        <v>3763826</v>
      </c>
    </row>
    <row r="680" spans="1:54" x14ac:dyDescent="0.35">
      <c r="A680">
        <v>109872</v>
      </c>
      <c r="B680">
        <v>239</v>
      </c>
      <c r="C680" t="s">
        <v>135</v>
      </c>
      <c r="D680" s="15">
        <v>701012140922144</v>
      </c>
      <c r="F680">
        <v>70</v>
      </c>
      <c r="G680" t="s">
        <v>136</v>
      </c>
      <c r="H680">
        <v>7010</v>
      </c>
      <c r="I680" t="s">
        <v>137</v>
      </c>
      <c r="K680" t="s">
        <v>138</v>
      </c>
      <c r="M680">
        <v>12140922144</v>
      </c>
      <c r="N680" t="s">
        <v>160</v>
      </c>
      <c r="O680">
        <v>12140922144</v>
      </c>
      <c r="P680" t="s">
        <v>147</v>
      </c>
      <c r="Q680" t="s">
        <v>262</v>
      </c>
      <c r="R680">
        <v>2</v>
      </c>
      <c r="S680">
        <v>36</v>
      </c>
      <c r="T680" t="s">
        <v>142</v>
      </c>
      <c r="U680" t="s">
        <v>263</v>
      </c>
      <c r="V680" t="s">
        <v>263</v>
      </c>
      <c r="W680" t="s">
        <v>263</v>
      </c>
      <c r="AA680" t="s">
        <v>265</v>
      </c>
      <c r="AC680">
        <v>0</v>
      </c>
      <c r="AD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A680">
        <v>727125.00000000105</v>
      </c>
      <c r="BB680">
        <v>3763826</v>
      </c>
    </row>
    <row r="681" spans="1:54" x14ac:dyDescent="0.35">
      <c r="A681">
        <v>109871</v>
      </c>
      <c r="B681">
        <v>238</v>
      </c>
      <c r="C681" t="s">
        <v>135</v>
      </c>
      <c r="D681" s="15">
        <v>701012140922144</v>
      </c>
      <c r="F681">
        <v>70</v>
      </c>
      <c r="G681" t="s">
        <v>136</v>
      </c>
      <c r="H681">
        <v>7010</v>
      </c>
      <c r="I681" t="s">
        <v>137</v>
      </c>
      <c r="K681" t="s">
        <v>79</v>
      </c>
      <c r="M681">
        <v>12140922140</v>
      </c>
      <c r="N681" t="s">
        <v>160</v>
      </c>
      <c r="O681">
        <v>12140922140</v>
      </c>
      <c r="Q681" t="s">
        <v>262</v>
      </c>
      <c r="R681">
        <v>2</v>
      </c>
      <c r="S681">
        <v>36</v>
      </c>
      <c r="T681" t="s">
        <v>142</v>
      </c>
      <c r="AA681" t="s">
        <v>265</v>
      </c>
      <c r="AC681">
        <v>0</v>
      </c>
      <c r="AD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A681">
        <v>727133.00000000105</v>
      </c>
      <c r="BB681">
        <v>3763844</v>
      </c>
    </row>
    <row r="682" spans="1:54" x14ac:dyDescent="0.35">
      <c r="A682">
        <v>109870</v>
      </c>
      <c r="B682">
        <v>237</v>
      </c>
      <c r="C682" t="s">
        <v>135</v>
      </c>
      <c r="D682" s="15">
        <v>701012140922140</v>
      </c>
      <c r="F682">
        <v>70</v>
      </c>
      <c r="G682" t="s">
        <v>136</v>
      </c>
      <c r="H682">
        <v>7010</v>
      </c>
      <c r="I682" t="s">
        <v>137</v>
      </c>
      <c r="K682" t="s">
        <v>138</v>
      </c>
      <c r="M682">
        <v>12140922140</v>
      </c>
      <c r="N682" t="s">
        <v>160</v>
      </c>
      <c r="O682">
        <v>12140922140</v>
      </c>
      <c r="P682" t="s">
        <v>147</v>
      </c>
      <c r="Q682" t="s">
        <v>262</v>
      </c>
      <c r="R682">
        <v>2</v>
      </c>
      <c r="S682">
        <v>36</v>
      </c>
      <c r="T682" t="s">
        <v>142</v>
      </c>
      <c r="U682" t="s">
        <v>263</v>
      </c>
      <c r="V682" t="s">
        <v>263</v>
      </c>
      <c r="W682" t="s">
        <v>263</v>
      </c>
      <c r="AA682" t="s">
        <v>265</v>
      </c>
      <c r="AC682">
        <v>0</v>
      </c>
      <c r="AD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A682">
        <v>727133.00000000105</v>
      </c>
      <c r="BB682">
        <v>3763844</v>
      </c>
    </row>
    <row r="683" spans="1:54" x14ac:dyDescent="0.35">
      <c r="A683">
        <v>109869</v>
      </c>
      <c r="B683">
        <v>236</v>
      </c>
      <c r="C683" t="s">
        <v>135</v>
      </c>
      <c r="D683" s="15">
        <v>701012140922140</v>
      </c>
      <c r="F683">
        <v>70</v>
      </c>
      <c r="G683" t="s">
        <v>136</v>
      </c>
      <c r="H683">
        <v>7010</v>
      </c>
      <c r="I683" t="s">
        <v>137</v>
      </c>
      <c r="K683" t="s">
        <v>79</v>
      </c>
      <c r="M683">
        <v>12140922136</v>
      </c>
      <c r="N683" t="s">
        <v>160</v>
      </c>
      <c r="O683">
        <v>12140922136</v>
      </c>
      <c r="Q683" t="s">
        <v>262</v>
      </c>
      <c r="R683">
        <v>2</v>
      </c>
      <c r="S683">
        <v>36</v>
      </c>
      <c r="T683" t="s">
        <v>142</v>
      </c>
      <c r="AA683" t="s">
        <v>265</v>
      </c>
      <c r="AC683">
        <v>0</v>
      </c>
      <c r="AD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A683">
        <v>727140.00000000198</v>
      </c>
      <c r="BB683">
        <v>3763857</v>
      </c>
    </row>
    <row r="684" spans="1:54" x14ac:dyDescent="0.35">
      <c r="A684">
        <v>109868</v>
      </c>
      <c r="B684">
        <v>235</v>
      </c>
      <c r="C684" t="s">
        <v>135</v>
      </c>
      <c r="D684" s="15">
        <v>701012140922138</v>
      </c>
      <c r="F684">
        <v>70</v>
      </c>
      <c r="G684" t="s">
        <v>136</v>
      </c>
      <c r="H684">
        <v>7010</v>
      </c>
      <c r="I684" t="s">
        <v>137</v>
      </c>
      <c r="K684" t="s">
        <v>138</v>
      </c>
      <c r="M684">
        <v>12140922138</v>
      </c>
      <c r="N684" t="s">
        <v>139</v>
      </c>
      <c r="O684">
        <v>12140922138</v>
      </c>
      <c r="P684" t="s">
        <v>140</v>
      </c>
      <c r="Q684" t="s">
        <v>141</v>
      </c>
      <c r="R684">
        <v>0</v>
      </c>
      <c r="T684" t="s">
        <v>146</v>
      </c>
      <c r="U684" t="s">
        <v>143</v>
      </c>
      <c r="V684" t="s">
        <v>143</v>
      </c>
      <c r="W684" t="s">
        <v>143</v>
      </c>
      <c r="X684" t="s">
        <v>143</v>
      </c>
      <c r="AA684" t="s">
        <v>144</v>
      </c>
      <c r="AB684" t="s">
        <v>240</v>
      </c>
      <c r="AC684">
        <v>0</v>
      </c>
      <c r="AD684">
        <v>100</v>
      </c>
      <c r="AE684" t="s">
        <v>147</v>
      </c>
      <c r="AF684" t="s">
        <v>148</v>
      </c>
      <c r="AG684" t="s">
        <v>149</v>
      </c>
      <c r="AH684" t="s">
        <v>182</v>
      </c>
      <c r="AJ684" t="s">
        <v>241</v>
      </c>
      <c r="AK684" t="s">
        <v>152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Z684" t="s">
        <v>242</v>
      </c>
      <c r="BA684">
        <v>727140.2</v>
      </c>
      <c r="BB684">
        <v>3763857.5</v>
      </c>
    </row>
    <row r="685" spans="1:54" x14ac:dyDescent="0.35">
      <c r="A685">
        <v>109867</v>
      </c>
      <c r="B685">
        <v>234</v>
      </c>
      <c r="C685" t="s">
        <v>135</v>
      </c>
      <c r="D685" s="15">
        <v>701012140922138</v>
      </c>
      <c r="F685">
        <v>70</v>
      </c>
      <c r="G685" t="s">
        <v>136</v>
      </c>
      <c r="H685">
        <v>7010</v>
      </c>
      <c r="I685" t="s">
        <v>137</v>
      </c>
      <c r="K685" t="s">
        <v>79</v>
      </c>
      <c r="M685">
        <v>12140922137</v>
      </c>
      <c r="N685" t="s">
        <v>139</v>
      </c>
      <c r="O685">
        <v>12140922137</v>
      </c>
      <c r="Q685" t="s">
        <v>141</v>
      </c>
      <c r="R685">
        <v>0</v>
      </c>
      <c r="T685" t="s">
        <v>146</v>
      </c>
      <c r="AA685" t="s">
        <v>144</v>
      </c>
      <c r="AB685" t="s">
        <v>240</v>
      </c>
      <c r="AC685">
        <v>0</v>
      </c>
      <c r="AD685">
        <v>100</v>
      </c>
      <c r="AE685" t="s">
        <v>147</v>
      </c>
      <c r="AF685" t="s">
        <v>148</v>
      </c>
      <c r="AG685" t="s">
        <v>149</v>
      </c>
      <c r="AH685" t="s">
        <v>182</v>
      </c>
      <c r="AJ685" t="s">
        <v>241</v>
      </c>
      <c r="AK685" t="s">
        <v>152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Z685" t="s">
        <v>242</v>
      </c>
      <c r="BA685">
        <v>727140.1</v>
      </c>
      <c r="BB685">
        <v>3763857.3</v>
      </c>
    </row>
    <row r="686" spans="1:54" x14ac:dyDescent="0.35">
      <c r="A686">
        <v>109866</v>
      </c>
      <c r="B686">
        <v>233</v>
      </c>
      <c r="C686" t="s">
        <v>135</v>
      </c>
      <c r="D686" s="15">
        <v>701012140922137</v>
      </c>
      <c r="F686">
        <v>70</v>
      </c>
      <c r="G686" t="s">
        <v>136</v>
      </c>
      <c r="H686">
        <v>7010</v>
      </c>
      <c r="I686" t="s">
        <v>137</v>
      </c>
      <c r="K686" t="s">
        <v>138</v>
      </c>
      <c r="M686">
        <v>12140922137</v>
      </c>
      <c r="N686" t="s">
        <v>160</v>
      </c>
      <c r="O686">
        <v>12140922137</v>
      </c>
      <c r="P686" t="s">
        <v>147</v>
      </c>
      <c r="Q686" t="s">
        <v>262</v>
      </c>
      <c r="R686">
        <v>0</v>
      </c>
      <c r="T686" t="s">
        <v>146</v>
      </c>
      <c r="U686" t="s">
        <v>263</v>
      </c>
      <c r="V686" t="s">
        <v>263</v>
      </c>
      <c r="W686" t="s">
        <v>263</v>
      </c>
      <c r="AA686" t="s">
        <v>264</v>
      </c>
      <c r="AB686" t="s">
        <v>240</v>
      </c>
      <c r="AC686">
        <v>0</v>
      </c>
      <c r="AD686">
        <v>100</v>
      </c>
      <c r="AE686" t="s">
        <v>147</v>
      </c>
      <c r="AF686" t="s">
        <v>148</v>
      </c>
      <c r="AG686" t="s">
        <v>149</v>
      </c>
      <c r="AH686" t="s">
        <v>182</v>
      </c>
      <c r="AJ686" t="s">
        <v>241</v>
      </c>
      <c r="AK686" t="s">
        <v>152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Z686" t="s">
        <v>242</v>
      </c>
      <c r="BA686">
        <v>727140.1</v>
      </c>
      <c r="BB686">
        <v>3763857.3</v>
      </c>
    </row>
    <row r="687" spans="1:54" x14ac:dyDescent="0.35">
      <c r="A687">
        <v>109865</v>
      </c>
      <c r="B687">
        <v>232</v>
      </c>
      <c r="C687" t="s">
        <v>135</v>
      </c>
      <c r="D687" s="15">
        <v>701012140922137</v>
      </c>
      <c r="F687">
        <v>70</v>
      </c>
      <c r="G687" t="s">
        <v>136</v>
      </c>
      <c r="H687">
        <v>7010</v>
      </c>
      <c r="I687" t="s">
        <v>137</v>
      </c>
      <c r="K687" t="s">
        <v>79</v>
      </c>
      <c r="M687">
        <v>12140922136</v>
      </c>
      <c r="N687" t="s">
        <v>160</v>
      </c>
      <c r="O687">
        <v>12140922136</v>
      </c>
      <c r="Q687" t="s">
        <v>262</v>
      </c>
      <c r="R687">
        <v>2</v>
      </c>
      <c r="S687">
        <v>36</v>
      </c>
      <c r="T687" t="s">
        <v>142</v>
      </c>
      <c r="AA687" t="s">
        <v>265</v>
      </c>
      <c r="AC687">
        <v>0</v>
      </c>
      <c r="AD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A687">
        <v>727140.00000000198</v>
      </c>
      <c r="BB687">
        <v>3763857</v>
      </c>
    </row>
    <row r="688" spans="1:54" x14ac:dyDescent="0.35">
      <c r="A688">
        <v>109864</v>
      </c>
      <c r="B688">
        <v>231</v>
      </c>
      <c r="C688" t="s">
        <v>135</v>
      </c>
      <c r="D688" s="15">
        <v>701012140922136</v>
      </c>
      <c r="F688">
        <v>70</v>
      </c>
      <c r="G688" t="s">
        <v>136</v>
      </c>
      <c r="H688">
        <v>7010</v>
      </c>
      <c r="I688" t="s">
        <v>137</v>
      </c>
      <c r="K688" t="s">
        <v>138</v>
      </c>
      <c r="M688">
        <v>12140922136</v>
      </c>
      <c r="N688" t="s">
        <v>160</v>
      </c>
      <c r="O688">
        <v>12140922136</v>
      </c>
      <c r="P688" t="s">
        <v>147</v>
      </c>
      <c r="Q688" t="s">
        <v>262</v>
      </c>
      <c r="R688">
        <v>2</v>
      </c>
      <c r="S688">
        <v>36</v>
      </c>
      <c r="T688" t="s">
        <v>142</v>
      </c>
      <c r="U688" t="s">
        <v>263</v>
      </c>
      <c r="V688" t="s">
        <v>263</v>
      </c>
      <c r="W688" t="s">
        <v>263</v>
      </c>
      <c r="AA688" t="s">
        <v>265</v>
      </c>
      <c r="AC688">
        <v>0</v>
      </c>
      <c r="AD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A688">
        <v>727140.00000000198</v>
      </c>
      <c r="BB688">
        <v>3763857</v>
      </c>
    </row>
    <row r="689" spans="1:54" x14ac:dyDescent="0.35">
      <c r="A689">
        <v>109863</v>
      </c>
      <c r="B689">
        <v>230</v>
      </c>
      <c r="C689" t="s">
        <v>135</v>
      </c>
      <c r="D689" s="15">
        <v>701012140922136</v>
      </c>
      <c r="E689">
        <v>0</v>
      </c>
      <c r="F689">
        <v>70</v>
      </c>
      <c r="G689" t="s">
        <v>136</v>
      </c>
      <c r="H689">
        <v>7010</v>
      </c>
      <c r="I689" t="s">
        <v>137</v>
      </c>
      <c r="M689">
        <v>12140922135</v>
      </c>
      <c r="N689" t="s">
        <v>160</v>
      </c>
      <c r="O689">
        <v>12140922135</v>
      </c>
      <c r="Q689" t="s">
        <v>262</v>
      </c>
      <c r="R689">
        <v>2</v>
      </c>
      <c r="S689">
        <v>45</v>
      </c>
      <c r="T689" t="s">
        <v>222</v>
      </c>
      <c r="AA689" t="s">
        <v>265</v>
      </c>
      <c r="AC689">
        <v>0</v>
      </c>
      <c r="AD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A689">
        <v>727188</v>
      </c>
      <c r="BB689">
        <v>3763873</v>
      </c>
    </row>
    <row r="690" spans="1:54" x14ac:dyDescent="0.35">
      <c r="A690">
        <v>109862</v>
      </c>
      <c r="B690">
        <v>229</v>
      </c>
      <c r="C690" t="s">
        <v>135</v>
      </c>
      <c r="D690" s="15">
        <v>701012140922136</v>
      </c>
      <c r="F690">
        <v>70</v>
      </c>
      <c r="G690" t="s">
        <v>136</v>
      </c>
      <c r="H690">
        <v>7010</v>
      </c>
      <c r="I690" t="s">
        <v>137</v>
      </c>
      <c r="K690" t="s">
        <v>79</v>
      </c>
      <c r="M690">
        <v>12140922134</v>
      </c>
      <c r="N690" t="s">
        <v>160</v>
      </c>
      <c r="O690">
        <v>12140922134</v>
      </c>
      <c r="Q690" t="s">
        <v>262</v>
      </c>
      <c r="R690">
        <v>2</v>
      </c>
      <c r="S690">
        <v>36</v>
      </c>
      <c r="T690" t="s">
        <v>142</v>
      </c>
      <c r="AA690" t="s">
        <v>265</v>
      </c>
      <c r="AC690">
        <v>0</v>
      </c>
      <c r="AD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A690">
        <v>727148.00000000105</v>
      </c>
      <c r="BB690">
        <v>3763891</v>
      </c>
    </row>
    <row r="691" spans="1:54" x14ac:dyDescent="0.35">
      <c r="A691">
        <v>109861</v>
      </c>
      <c r="B691">
        <v>228</v>
      </c>
      <c r="C691" t="s">
        <v>135</v>
      </c>
      <c r="D691" s="15">
        <v>701012140922134</v>
      </c>
      <c r="F691">
        <v>70</v>
      </c>
      <c r="G691" t="s">
        <v>136</v>
      </c>
      <c r="H691">
        <v>7010</v>
      </c>
      <c r="I691" t="s">
        <v>137</v>
      </c>
      <c r="K691" t="s">
        <v>138</v>
      </c>
      <c r="M691">
        <v>12140922134</v>
      </c>
      <c r="N691" t="s">
        <v>160</v>
      </c>
      <c r="O691">
        <v>12140922134</v>
      </c>
      <c r="P691" t="s">
        <v>147</v>
      </c>
      <c r="Q691" t="s">
        <v>262</v>
      </c>
      <c r="R691">
        <v>2</v>
      </c>
      <c r="S691">
        <v>36</v>
      </c>
      <c r="T691" t="s">
        <v>142</v>
      </c>
      <c r="U691" t="s">
        <v>267</v>
      </c>
      <c r="V691" t="s">
        <v>267</v>
      </c>
      <c r="W691" t="s">
        <v>267</v>
      </c>
      <c r="AA691" t="s">
        <v>265</v>
      </c>
      <c r="AC691">
        <v>0</v>
      </c>
      <c r="AD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A691">
        <v>727148.00000000105</v>
      </c>
      <c r="BB691">
        <v>3763891</v>
      </c>
    </row>
    <row r="692" spans="1:54" x14ac:dyDescent="0.35">
      <c r="A692">
        <v>109860</v>
      </c>
      <c r="B692">
        <v>227</v>
      </c>
      <c r="C692" t="s">
        <v>135</v>
      </c>
      <c r="D692" s="15">
        <v>701012140922134</v>
      </c>
      <c r="F692">
        <v>70</v>
      </c>
      <c r="G692" t="s">
        <v>136</v>
      </c>
      <c r="H692">
        <v>7010</v>
      </c>
      <c r="I692" t="s">
        <v>137</v>
      </c>
      <c r="K692" t="s">
        <v>79</v>
      </c>
      <c r="M692">
        <v>12140922131</v>
      </c>
      <c r="N692" t="s">
        <v>160</v>
      </c>
      <c r="O692">
        <v>12140922131</v>
      </c>
      <c r="Q692" t="s">
        <v>262</v>
      </c>
      <c r="R692">
        <v>2</v>
      </c>
      <c r="S692">
        <v>45</v>
      </c>
      <c r="T692" t="s">
        <v>222</v>
      </c>
      <c r="AA692" t="s">
        <v>265</v>
      </c>
      <c r="AC692">
        <v>0</v>
      </c>
      <c r="AD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A692">
        <v>727107.00000000105</v>
      </c>
      <c r="BB692">
        <v>3763904</v>
      </c>
    </row>
    <row r="693" spans="1:54" x14ac:dyDescent="0.35">
      <c r="A693">
        <v>109859</v>
      </c>
      <c r="B693">
        <v>226</v>
      </c>
      <c r="C693" t="s">
        <v>135</v>
      </c>
      <c r="D693" s="15">
        <v>701012140922133</v>
      </c>
      <c r="F693">
        <v>70</v>
      </c>
      <c r="G693" t="s">
        <v>136</v>
      </c>
      <c r="H693">
        <v>7010</v>
      </c>
      <c r="I693" t="s">
        <v>137</v>
      </c>
      <c r="K693" t="s">
        <v>138</v>
      </c>
      <c r="M693">
        <v>12140922133</v>
      </c>
      <c r="N693" t="s">
        <v>139</v>
      </c>
      <c r="O693">
        <v>12140922133</v>
      </c>
      <c r="P693" t="s">
        <v>140</v>
      </c>
      <c r="Q693" t="s">
        <v>141</v>
      </c>
      <c r="R693">
        <v>0</v>
      </c>
      <c r="T693" t="s">
        <v>146</v>
      </c>
      <c r="U693" t="s">
        <v>275</v>
      </c>
      <c r="V693" t="s">
        <v>275</v>
      </c>
      <c r="W693" t="s">
        <v>275</v>
      </c>
      <c r="X693" t="s">
        <v>275</v>
      </c>
      <c r="AA693" t="s">
        <v>144</v>
      </c>
      <c r="AB693" t="s">
        <v>295</v>
      </c>
      <c r="AC693">
        <v>0</v>
      </c>
      <c r="AD693">
        <v>100</v>
      </c>
      <c r="AE693" t="s">
        <v>147</v>
      </c>
      <c r="AF693" t="s">
        <v>273</v>
      </c>
      <c r="AG693" t="s">
        <v>149</v>
      </c>
      <c r="AH693" t="s">
        <v>171</v>
      </c>
      <c r="AJ693" t="s">
        <v>296</v>
      </c>
      <c r="AK693" t="s">
        <v>186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Z693" t="s">
        <v>297</v>
      </c>
      <c r="BA693">
        <v>727109</v>
      </c>
      <c r="BB693">
        <v>3763903</v>
      </c>
    </row>
    <row r="694" spans="1:54" x14ac:dyDescent="0.35">
      <c r="A694">
        <v>109858</v>
      </c>
      <c r="B694">
        <v>225</v>
      </c>
      <c r="C694" t="s">
        <v>135</v>
      </c>
      <c r="D694" s="15">
        <v>701012140922133</v>
      </c>
      <c r="F694">
        <v>70</v>
      </c>
      <c r="G694" t="s">
        <v>136</v>
      </c>
      <c r="H694">
        <v>7010</v>
      </c>
      <c r="I694" t="s">
        <v>137</v>
      </c>
      <c r="K694" t="s">
        <v>79</v>
      </c>
      <c r="M694">
        <v>12140922132</v>
      </c>
      <c r="N694" t="s">
        <v>139</v>
      </c>
      <c r="O694">
        <v>12140922132</v>
      </c>
      <c r="Q694" t="s">
        <v>141</v>
      </c>
      <c r="R694">
        <v>0</v>
      </c>
      <c r="T694" t="s">
        <v>146</v>
      </c>
      <c r="AA694" t="s">
        <v>144</v>
      </c>
      <c r="AB694" t="s">
        <v>295</v>
      </c>
      <c r="AC694">
        <v>0</v>
      </c>
      <c r="AD694">
        <v>100</v>
      </c>
      <c r="AE694" t="s">
        <v>147</v>
      </c>
      <c r="AF694" t="s">
        <v>273</v>
      </c>
      <c r="AG694" t="s">
        <v>149</v>
      </c>
      <c r="AH694" t="s">
        <v>171</v>
      </c>
      <c r="AJ694" t="s">
        <v>296</v>
      </c>
      <c r="AK694" t="s">
        <v>186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Z694" t="s">
        <v>297</v>
      </c>
      <c r="BA694">
        <v>727108.00000000105</v>
      </c>
      <c r="BB694">
        <v>3763904</v>
      </c>
    </row>
    <row r="695" spans="1:54" x14ac:dyDescent="0.35">
      <c r="A695">
        <v>109857</v>
      </c>
      <c r="B695">
        <v>224</v>
      </c>
      <c r="C695" t="s">
        <v>135</v>
      </c>
      <c r="D695" s="15">
        <v>701012140922132</v>
      </c>
      <c r="F695">
        <v>70</v>
      </c>
      <c r="G695" t="s">
        <v>136</v>
      </c>
      <c r="H695">
        <v>7010</v>
      </c>
      <c r="I695" t="s">
        <v>137</v>
      </c>
      <c r="K695" t="s">
        <v>138</v>
      </c>
      <c r="M695">
        <v>12140922132</v>
      </c>
      <c r="N695" t="s">
        <v>160</v>
      </c>
      <c r="O695">
        <v>12140922132</v>
      </c>
      <c r="P695" t="s">
        <v>147</v>
      </c>
      <c r="Q695" t="s">
        <v>262</v>
      </c>
      <c r="R695">
        <v>0</v>
      </c>
      <c r="T695" t="s">
        <v>146</v>
      </c>
      <c r="U695" t="s">
        <v>263</v>
      </c>
      <c r="V695" t="s">
        <v>263</v>
      </c>
      <c r="W695" t="s">
        <v>263</v>
      </c>
      <c r="AA695" t="s">
        <v>264</v>
      </c>
      <c r="AB695" t="s">
        <v>295</v>
      </c>
      <c r="AC695">
        <v>0</v>
      </c>
      <c r="AD695">
        <v>100</v>
      </c>
      <c r="AE695" t="s">
        <v>147</v>
      </c>
      <c r="AF695" t="s">
        <v>273</v>
      </c>
      <c r="AG695" t="s">
        <v>149</v>
      </c>
      <c r="AH695" t="s">
        <v>171</v>
      </c>
      <c r="AJ695" t="s">
        <v>296</v>
      </c>
      <c r="AK695" t="s">
        <v>186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Z695" t="s">
        <v>297</v>
      </c>
      <c r="BA695">
        <v>727108.00000000105</v>
      </c>
      <c r="BB695">
        <v>3763904</v>
      </c>
    </row>
    <row r="696" spans="1:54" x14ac:dyDescent="0.35">
      <c r="A696">
        <v>109856</v>
      </c>
      <c r="B696">
        <v>223</v>
      </c>
      <c r="C696" t="s">
        <v>135</v>
      </c>
      <c r="D696" s="15">
        <v>701012140922132</v>
      </c>
      <c r="F696">
        <v>70</v>
      </c>
      <c r="G696" t="s">
        <v>136</v>
      </c>
      <c r="H696">
        <v>7010</v>
      </c>
      <c r="I696" t="s">
        <v>137</v>
      </c>
      <c r="K696" t="s">
        <v>79</v>
      </c>
      <c r="M696">
        <v>12140922131</v>
      </c>
      <c r="N696" t="s">
        <v>160</v>
      </c>
      <c r="O696">
        <v>12140922131</v>
      </c>
      <c r="Q696" t="s">
        <v>262</v>
      </c>
      <c r="R696">
        <v>2</v>
      </c>
      <c r="S696">
        <v>45</v>
      </c>
      <c r="T696" t="s">
        <v>222</v>
      </c>
      <c r="AA696" t="s">
        <v>265</v>
      </c>
      <c r="AC696">
        <v>0</v>
      </c>
      <c r="AD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A696">
        <v>727107.00000000105</v>
      </c>
      <c r="BB696">
        <v>3763904</v>
      </c>
    </row>
    <row r="697" spans="1:54" x14ac:dyDescent="0.35">
      <c r="A697">
        <v>109855</v>
      </c>
      <c r="B697">
        <v>222</v>
      </c>
      <c r="C697" t="s">
        <v>135</v>
      </c>
      <c r="D697" s="15">
        <v>701012140922131</v>
      </c>
      <c r="F697">
        <v>70</v>
      </c>
      <c r="G697" t="s">
        <v>136</v>
      </c>
      <c r="H697">
        <v>7010</v>
      </c>
      <c r="I697" t="s">
        <v>137</v>
      </c>
      <c r="K697" t="s">
        <v>138</v>
      </c>
      <c r="M697">
        <v>12140922131</v>
      </c>
      <c r="N697" t="s">
        <v>160</v>
      </c>
      <c r="O697">
        <v>12140922131</v>
      </c>
      <c r="P697" t="s">
        <v>147</v>
      </c>
      <c r="Q697" t="s">
        <v>262</v>
      </c>
      <c r="R697">
        <v>2</v>
      </c>
      <c r="S697">
        <v>45</v>
      </c>
      <c r="T697" t="s">
        <v>222</v>
      </c>
      <c r="U697" t="s">
        <v>267</v>
      </c>
      <c r="V697" t="s">
        <v>267</v>
      </c>
      <c r="W697" t="s">
        <v>267</v>
      </c>
      <c r="AA697" t="s">
        <v>265</v>
      </c>
      <c r="AC697">
        <v>0</v>
      </c>
      <c r="AD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A697">
        <v>727107.00000000105</v>
      </c>
      <c r="BB697">
        <v>3763904</v>
      </c>
    </row>
    <row r="698" spans="1:54" x14ac:dyDescent="0.35">
      <c r="A698">
        <v>109854</v>
      </c>
      <c r="B698">
        <v>221</v>
      </c>
      <c r="C698" t="s">
        <v>135</v>
      </c>
      <c r="D698" s="15">
        <v>701012140922131</v>
      </c>
      <c r="E698">
        <v>2</v>
      </c>
      <c r="F698">
        <v>70</v>
      </c>
      <c r="G698" t="s">
        <v>136</v>
      </c>
      <c r="H698">
        <v>7010</v>
      </c>
      <c r="I698" t="s">
        <v>137</v>
      </c>
      <c r="M698">
        <v>12140922130</v>
      </c>
      <c r="N698" t="s">
        <v>160</v>
      </c>
      <c r="O698">
        <v>12140922130</v>
      </c>
      <c r="Q698" t="s">
        <v>262</v>
      </c>
      <c r="R698">
        <v>2</v>
      </c>
      <c r="S698">
        <v>45</v>
      </c>
      <c r="T698" t="s">
        <v>222</v>
      </c>
      <c r="AA698" t="s">
        <v>265</v>
      </c>
      <c r="AC698">
        <v>0</v>
      </c>
      <c r="AD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A698">
        <v>727073</v>
      </c>
      <c r="BB698">
        <v>3763921</v>
      </c>
    </row>
    <row r="699" spans="1:54" x14ac:dyDescent="0.35">
      <c r="A699">
        <v>109853</v>
      </c>
      <c r="B699">
        <v>220</v>
      </c>
      <c r="C699" t="s">
        <v>135</v>
      </c>
      <c r="D699" s="15">
        <v>701012140922131</v>
      </c>
      <c r="E699">
        <v>1</v>
      </c>
      <c r="F699">
        <v>70</v>
      </c>
      <c r="G699" t="s">
        <v>136</v>
      </c>
      <c r="H699">
        <v>7010</v>
      </c>
      <c r="I699" t="s">
        <v>137</v>
      </c>
      <c r="M699">
        <v>12140922129</v>
      </c>
      <c r="N699" t="s">
        <v>160</v>
      </c>
      <c r="O699">
        <v>12140922129</v>
      </c>
      <c r="Q699" t="s">
        <v>262</v>
      </c>
      <c r="R699">
        <v>2</v>
      </c>
      <c r="S699">
        <v>45</v>
      </c>
      <c r="T699" t="s">
        <v>222</v>
      </c>
      <c r="AA699" t="s">
        <v>265</v>
      </c>
      <c r="AC699">
        <v>0</v>
      </c>
      <c r="AD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A699">
        <v>727044.00000000105</v>
      </c>
      <c r="BB699">
        <v>3763936</v>
      </c>
    </row>
    <row r="700" spans="1:54" x14ac:dyDescent="0.35">
      <c r="A700">
        <v>109852</v>
      </c>
      <c r="B700">
        <v>219</v>
      </c>
      <c r="C700" t="s">
        <v>135</v>
      </c>
      <c r="D700" s="15">
        <v>701012140922131</v>
      </c>
      <c r="E700">
        <v>0</v>
      </c>
      <c r="F700">
        <v>70</v>
      </c>
      <c r="G700" t="s">
        <v>136</v>
      </c>
      <c r="H700">
        <v>7010</v>
      </c>
      <c r="I700" t="s">
        <v>137</v>
      </c>
      <c r="M700">
        <v>12140922128</v>
      </c>
      <c r="N700" t="s">
        <v>160</v>
      </c>
      <c r="O700">
        <v>12140922128</v>
      </c>
      <c r="Q700" t="s">
        <v>262</v>
      </c>
      <c r="R700">
        <v>2</v>
      </c>
      <c r="S700">
        <v>45</v>
      </c>
      <c r="T700" t="s">
        <v>222</v>
      </c>
      <c r="AA700" t="s">
        <v>265</v>
      </c>
      <c r="AC700">
        <v>0</v>
      </c>
      <c r="AD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A700">
        <v>727014</v>
      </c>
      <c r="BB700">
        <v>3763955</v>
      </c>
    </row>
    <row r="701" spans="1:54" x14ac:dyDescent="0.35">
      <c r="A701">
        <v>109851</v>
      </c>
      <c r="B701">
        <v>218</v>
      </c>
      <c r="C701" t="s">
        <v>135</v>
      </c>
      <c r="D701" s="15">
        <v>701012140922131</v>
      </c>
      <c r="F701">
        <v>70</v>
      </c>
      <c r="G701" t="s">
        <v>136</v>
      </c>
      <c r="H701">
        <v>7010</v>
      </c>
      <c r="I701" t="s">
        <v>137</v>
      </c>
      <c r="K701" t="s">
        <v>79</v>
      </c>
      <c r="M701">
        <v>12140922127</v>
      </c>
      <c r="N701" t="s">
        <v>160</v>
      </c>
      <c r="O701">
        <v>12140922127</v>
      </c>
      <c r="Q701" t="s">
        <v>262</v>
      </c>
      <c r="R701">
        <v>2</v>
      </c>
      <c r="S701">
        <v>45</v>
      </c>
      <c r="T701" t="s">
        <v>222</v>
      </c>
      <c r="AA701" t="s">
        <v>265</v>
      </c>
      <c r="AC701">
        <v>0</v>
      </c>
      <c r="AD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A701">
        <v>726964.00000000105</v>
      </c>
      <c r="BB701">
        <v>3763978</v>
      </c>
    </row>
    <row r="702" spans="1:54" x14ac:dyDescent="0.35">
      <c r="A702">
        <v>109850</v>
      </c>
      <c r="B702">
        <v>217</v>
      </c>
      <c r="C702" t="s">
        <v>135</v>
      </c>
      <c r="D702" s="15">
        <v>701012140922127</v>
      </c>
      <c r="F702">
        <v>70</v>
      </c>
      <c r="G702" t="s">
        <v>136</v>
      </c>
      <c r="H702">
        <v>7010</v>
      </c>
      <c r="I702" t="s">
        <v>137</v>
      </c>
      <c r="K702" t="s">
        <v>138</v>
      </c>
      <c r="M702">
        <v>12140922127</v>
      </c>
      <c r="N702" t="s">
        <v>160</v>
      </c>
      <c r="O702">
        <v>12140922127</v>
      </c>
      <c r="P702" t="s">
        <v>147</v>
      </c>
      <c r="Q702" t="s">
        <v>262</v>
      </c>
      <c r="R702">
        <v>2</v>
      </c>
      <c r="S702">
        <v>45</v>
      </c>
      <c r="T702" t="s">
        <v>222</v>
      </c>
      <c r="U702" t="s">
        <v>267</v>
      </c>
      <c r="V702" t="s">
        <v>267</v>
      </c>
      <c r="W702" t="s">
        <v>267</v>
      </c>
      <c r="AA702" t="s">
        <v>265</v>
      </c>
      <c r="AC702">
        <v>0</v>
      </c>
      <c r="AD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A702">
        <v>726964.00000000105</v>
      </c>
      <c r="BB702">
        <v>3763978</v>
      </c>
    </row>
    <row r="703" spans="1:54" x14ac:dyDescent="0.35">
      <c r="A703">
        <v>109849</v>
      </c>
      <c r="B703">
        <v>216</v>
      </c>
      <c r="C703" t="s">
        <v>135</v>
      </c>
      <c r="D703" s="15">
        <v>701012140922127</v>
      </c>
      <c r="F703">
        <v>70</v>
      </c>
      <c r="G703" t="s">
        <v>136</v>
      </c>
      <c r="H703">
        <v>7010</v>
      </c>
      <c r="I703" t="s">
        <v>137</v>
      </c>
      <c r="K703" t="s">
        <v>79</v>
      </c>
      <c r="M703">
        <v>12140922122</v>
      </c>
      <c r="N703" t="s">
        <v>160</v>
      </c>
      <c r="O703">
        <v>12140922122</v>
      </c>
      <c r="Q703" t="s">
        <v>262</v>
      </c>
      <c r="R703">
        <v>2</v>
      </c>
      <c r="S703">
        <v>45</v>
      </c>
      <c r="T703" t="s">
        <v>222</v>
      </c>
      <c r="AA703" t="s">
        <v>265</v>
      </c>
      <c r="AC703">
        <v>0</v>
      </c>
      <c r="AD703">
        <v>0</v>
      </c>
      <c r="AN703" t="s">
        <v>271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A703">
        <v>726929.00000000105</v>
      </c>
      <c r="BB703">
        <v>3763988</v>
      </c>
    </row>
    <row r="704" spans="1:54" x14ac:dyDescent="0.35">
      <c r="A704">
        <v>109848</v>
      </c>
      <c r="B704">
        <v>215</v>
      </c>
      <c r="C704" t="s">
        <v>135</v>
      </c>
      <c r="D704" s="15">
        <v>701012140922126</v>
      </c>
      <c r="F704">
        <v>70</v>
      </c>
      <c r="G704" t="s">
        <v>136</v>
      </c>
      <c r="H704">
        <v>7010</v>
      </c>
      <c r="I704" t="s">
        <v>137</v>
      </c>
      <c r="K704" t="s">
        <v>138</v>
      </c>
      <c r="M704">
        <v>12140922126</v>
      </c>
      <c r="N704" t="s">
        <v>139</v>
      </c>
      <c r="O704">
        <v>12140922126</v>
      </c>
      <c r="P704" t="s">
        <v>140</v>
      </c>
      <c r="Q704" t="s">
        <v>141</v>
      </c>
      <c r="R704">
        <v>0</v>
      </c>
      <c r="T704" t="s">
        <v>146</v>
      </c>
      <c r="U704" t="s">
        <v>298</v>
      </c>
      <c r="V704" t="s">
        <v>298</v>
      </c>
      <c r="W704" t="s">
        <v>298</v>
      </c>
      <c r="X704" t="s">
        <v>298</v>
      </c>
      <c r="AA704" t="s">
        <v>144</v>
      </c>
      <c r="AB704" t="s">
        <v>299</v>
      </c>
      <c r="AC704">
        <v>0</v>
      </c>
      <c r="AD704">
        <v>50</v>
      </c>
      <c r="AE704" t="s">
        <v>147</v>
      </c>
      <c r="AF704" t="s">
        <v>273</v>
      </c>
      <c r="AG704" t="s">
        <v>149</v>
      </c>
      <c r="AH704" t="s">
        <v>161</v>
      </c>
      <c r="AJ704" t="s">
        <v>300</v>
      </c>
      <c r="AK704" t="s">
        <v>186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Z704" t="s">
        <v>301</v>
      </c>
      <c r="BA704">
        <v>726934.00000000105</v>
      </c>
      <c r="BB704">
        <v>3763990</v>
      </c>
    </row>
    <row r="705" spans="1:54" x14ac:dyDescent="0.35">
      <c r="A705">
        <v>109847</v>
      </c>
      <c r="B705">
        <v>214</v>
      </c>
      <c r="C705" t="s">
        <v>135</v>
      </c>
      <c r="D705" s="15">
        <v>701012140922126</v>
      </c>
      <c r="F705">
        <v>70</v>
      </c>
      <c r="G705" t="s">
        <v>136</v>
      </c>
      <c r="H705">
        <v>7010</v>
      </c>
      <c r="I705" t="s">
        <v>137</v>
      </c>
      <c r="K705" t="s">
        <v>79</v>
      </c>
      <c r="M705">
        <v>12140922125</v>
      </c>
      <c r="N705" t="s">
        <v>139</v>
      </c>
      <c r="O705">
        <v>12140922125</v>
      </c>
      <c r="Q705" t="s">
        <v>141</v>
      </c>
      <c r="R705">
        <v>0</v>
      </c>
      <c r="T705" t="s">
        <v>146</v>
      </c>
      <c r="AA705" t="s">
        <v>144</v>
      </c>
      <c r="AB705" t="s">
        <v>299</v>
      </c>
      <c r="AC705">
        <v>0</v>
      </c>
      <c r="AD705">
        <v>50</v>
      </c>
      <c r="AE705" t="s">
        <v>147</v>
      </c>
      <c r="AF705" t="s">
        <v>273</v>
      </c>
      <c r="AG705" t="s">
        <v>149</v>
      </c>
      <c r="AH705" t="s">
        <v>161</v>
      </c>
      <c r="AJ705" t="s">
        <v>300</v>
      </c>
      <c r="AK705" t="s">
        <v>186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Z705" t="s">
        <v>301</v>
      </c>
      <c r="BA705">
        <v>726933.00000000198</v>
      </c>
      <c r="BB705">
        <v>3763992</v>
      </c>
    </row>
    <row r="706" spans="1:54" x14ac:dyDescent="0.35">
      <c r="A706">
        <v>109846</v>
      </c>
      <c r="B706">
        <v>213</v>
      </c>
      <c r="C706" t="s">
        <v>135</v>
      </c>
      <c r="D706" s="15">
        <v>701012140922125</v>
      </c>
      <c r="F706">
        <v>70</v>
      </c>
      <c r="G706" t="s">
        <v>136</v>
      </c>
      <c r="H706">
        <v>7010</v>
      </c>
      <c r="I706" t="s">
        <v>137</v>
      </c>
      <c r="K706" t="s">
        <v>138</v>
      </c>
      <c r="M706">
        <v>12140922125</v>
      </c>
      <c r="N706" t="s">
        <v>160</v>
      </c>
      <c r="O706">
        <v>12140922125</v>
      </c>
      <c r="P706" t="s">
        <v>147</v>
      </c>
      <c r="Q706" t="s">
        <v>262</v>
      </c>
      <c r="R706">
        <v>0</v>
      </c>
      <c r="T706" t="s">
        <v>146</v>
      </c>
      <c r="U706" t="s">
        <v>263</v>
      </c>
      <c r="V706" t="s">
        <v>263</v>
      </c>
      <c r="W706" t="s">
        <v>263</v>
      </c>
      <c r="AA706" t="s">
        <v>264</v>
      </c>
      <c r="AB706" t="s">
        <v>299</v>
      </c>
      <c r="AC706">
        <v>0</v>
      </c>
      <c r="AD706">
        <v>50</v>
      </c>
      <c r="AE706" t="s">
        <v>147</v>
      </c>
      <c r="AF706" t="s">
        <v>273</v>
      </c>
      <c r="AG706" t="s">
        <v>149</v>
      </c>
      <c r="AH706" t="s">
        <v>161</v>
      </c>
      <c r="AJ706" t="s">
        <v>300</v>
      </c>
      <c r="AK706" t="s">
        <v>186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Z706" t="s">
        <v>301</v>
      </c>
      <c r="BA706">
        <v>726933.00000000198</v>
      </c>
      <c r="BB706">
        <v>3763992</v>
      </c>
    </row>
    <row r="707" spans="1:54" x14ac:dyDescent="0.35">
      <c r="A707">
        <v>109845</v>
      </c>
      <c r="B707">
        <v>212</v>
      </c>
      <c r="C707" t="s">
        <v>135</v>
      </c>
      <c r="D707" s="15">
        <v>701012140922125</v>
      </c>
      <c r="F707">
        <v>70</v>
      </c>
      <c r="G707" t="s">
        <v>136</v>
      </c>
      <c r="H707">
        <v>7010</v>
      </c>
      <c r="I707" t="s">
        <v>137</v>
      </c>
      <c r="K707" t="s">
        <v>79</v>
      </c>
      <c r="M707">
        <v>12140922122</v>
      </c>
      <c r="N707" t="s">
        <v>160</v>
      </c>
      <c r="O707">
        <v>12140922122</v>
      </c>
      <c r="Q707" t="s">
        <v>262</v>
      </c>
      <c r="R707">
        <v>2</v>
      </c>
      <c r="S707">
        <v>45</v>
      </c>
      <c r="T707" t="s">
        <v>222</v>
      </c>
      <c r="AA707" t="s">
        <v>265</v>
      </c>
      <c r="AC707">
        <v>0</v>
      </c>
      <c r="AD707">
        <v>0</v>
      </c>
      <c r="AN707" t="s">
        <v>271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A707">
        <v>726929.00000000105</v>
      </c>
      <c r="BB707">
        <v>3763988</v>
      </c>
    </row>
    <row r="708" spans="1:54" x14ac:dyDescent="0.35">
      <c r="A708">
        <v>109844</v>
      </c>
      <c r="B708">
        <v>211</v>
      </c>
      <c r="C708" t="s">
        <v>135</v>
      </c>
      <c r="D708" s="15">
        <v>701012140922124</v>
      </c>
      <c r="F708">
        <v>70</v>
      </c>
      <c r="G708" t="s">
        <v>136</v>
      </c>
      <c r="H708">
        <v>7010</v>
      </c>
      <c r="I708" t="s">
        <v>137</v>
      </c>
      <c r="K708" t="s">
        <v>138</v>
      </c>
      <c r="M708">
        <v>12140922124</v>
      </c>
      <c r="N708" t="s">
        <v>139</v>
      </c>
      <c r="O708">
        <v>12140922124</v>
      </c>
      <c r="P708" t="s">
        <v>140</v>
      </c>
      <c r="Q708" t="s">
        <v>141</v>
      </c>
      <c r="R708">
        <v>0</v>
      </c>
      <c r="T708" t="s">
        <v>146</v>
      </c>
      <c r="U708" t="s">
        <v>188</v>
      </c>
      <c r="V708" t="s">
        <v>188</v>
      </c>
      <c r="W708" t="s">
        <v>188</v>
      </c>
      <c r="X708" t="s">
        <v>188</v>
      </c>
      <c r="AA708" t="s">
        <v>144</v>
      </c>
      <c r="AB708" t="s">
        <v>302</v>
      </c>
      <c r="AC708">
        <v>0</v>
      </c>
      <c r="AD708">
        <v>400</v>
      </c>
      <c r="AE708" t="s">
        <v>147</v>
      </c>
      <c r="AF708" t="s">
        <v>273</v>
      </c>
      <c r="AG708" t="s">
        <v>149</v>
      </c>
      <c r="AH708" t="s">
        <v>150</v>
      </c>
      <c r="AJ708" t="s">
        <v>303</v>
      </c>
      <c r="AK708" t="s">
        <v>304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Z708" t="s">
        <v>305</v>
      </c>
      <c r="BA708">
        <v>726929.20000000205</v>
      </c>
      <c r="BB708">
        <v>3763988.4</v>
      </c>
    </row>
    <row r="709" spans="1:54" x14ac:dyDescent="0.35">
      <c r="A709">
        <v>109843</v>
      </c>
      <c r="B709">
        <v>210</v>
      </c>
      <c r="C709" t="s">
        <v>135</v>
      </c>
      <c r="D709" s="15">
        <v>701012140922124</v>
      </c>
      <c r="F709">
        <v>70</v>
      </c>
      <c r="G709" t="s">
        <v>136</v>
      </c>
      <c r="H709">
        <v>7010</v>
      </c>
      <c r="I709" t="s">
        <v>137</v>
      </c>
      <c r="K709" t="s">
        <v>79</v>
      </c>
      <c r="M709">
        <v>12140922123</v>
      </c>
      <c r="N709" t="s">
        <v>139</v>
      </c>
      <c r="O709">
        <v>12140922123</v>
      </c>
      <c r="Q709" t="s">
        <v>141</v>
      </c>
      <c r="R709">
        <v>0</v>
      </c>
      <c r="T709" t="s">
        <v>146</v>
      </c>
      <c r="AA709" t="s">
        <v>144</v>
      </c>
      <c r="AB709" t="s">
        <v>302</v>
      </c>
      <c r="AC709">
        <v>0</v>
      </c>
      <c r="AD709">
        <v>400</v>
      </c>
      <c r="AE709" t="s">
        <v>147</v>
      </c>
      <c r="AF709" t="s">
        <v>273</v>
      </c>
      <c r="AG709" t="s">
        <v>149</v>
      </c>
      <c r="AH709" t="s">
        <v>150</v>
      </c>
      <c r="AJ709" t="s">
        <v>303</v>
      </c>
      <c r="AK709" t="s">
        <v>304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Z709" t="s">
        <v>305</v>
      </c>
      <c r="BA709">
        <v>726929.10000000102</v>
      </c>
      <c r="BB709">
        <v>3763988.3</v>
      </c>
    </row>
    <row r="710" spans="1:54" x14ac:dyDescent="0.35">
      <c r="A710">
        <v>109842</v>
      </c>
      <c r="B710">
        <v>209</v>
      </c>
      <c r="C710" t="s">
        <v>135</v>
      </c>
      <c r="D710" s="15">
        <v>701012140922123</v>
      </c>
      <c r="F710">
        <v>70</v>
      </c>
      <c r="G710" t="s">
        <v>136</v>
      </c>
      <c r="H710">
        <v>7010</v>
      </c>
      <c r="I710" t="s">
        <v>137</v>
      </c>
      <c r="K710" t="s">
        <v>138</v>
      </c>
      <c r="M710">
        <v>12140922123</v>
      </c>
      <c r="N710" t="s">
        <v>160</v>
      </c>
      <c r="O710">
        <v>12140922123</v>
      </c>
      <c r="P710" t="s">
        <v>147</v>
      </c>
      <c r="Q710" t="s">
        <v>262</v>
      </c>
      <c r="R710">
        <v>0</v>
      </c>
      <c r="T710" t="s">
        <v>146</v>
      </c>
      <c r="U710" t="s">
        <v>263</v>
      </c>
      <c r="V710" t="s">
        <v>263</v>
      </c>
      <c r="W710" t="s">
        <v>263</v>
      </c>
      <c r="AA710" t="s">
        <v>264</v>
      </c>
      <c r="AB710" t="s">
        <v>302</v>
      </c>
      <c r="AC710">
        <v>0</v>
      </c>
      <c r="AD710">
        <v>400</v>
      </c>
      <c r="AE710" t="s">
        <v>147</v>
      </c>
      <c r="AF710" t="s">
        <v>273</v>
      </c>
      <c r="AG710" t="s">
        <v>149</v>
      </c>
      <c r="AH710" t="s">
        <v>150</v>
      </c>
      <c r="AJ710" t="s">
        <v>303</v>
      </c>
      <c r="AK710" t="s">
        <v>304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Z710" t="s">
        <v>305</v>
      </c>
      <c r="BA710">
        <v>726929.10000000102</v>
      </c>
      <c r="BB710">
        <v>3763988.3</v>
      </c>
    </row>
    <row r="711" spans="1:54" x14ac:dyDescent="0.35">
      <c r="A711">
        <v>109841</v>
      </c>
      <c r="B711">
        <v>208</v>
      </c>
      <c r="C711" t="s">
        <v>135</v>
      </c>
      <c r="D711" s="15">
        <v>701012140922123</v>
      </c>
      <c r="F711">
        <v>70</v>
      </c>
      <c r="G711" t="s">
        <v>136</v>
      </c>
      <c r="H711">
        <v>7010</v>
      </c>
      <c r="I711" t="s">
        <v>137</v>
      </c>
      <c r="K711" t="s">
        <v>79</v>
      </c>
      <c r="M711">
        <v>12140922122</v>
      </c>
      <c r="N711" t="s">
        <v>160</v>
      </c>
      <c r="O711">
        <v>12140922122</v>
      </c>
      <c r="Q711" t="s">
        <v>262</v>
      </c>
      <c r="R711">
        <v>2</v>
      </c>
      <c r="S711">
        <v>45</v>
      </c>
      <c r="T711" t="s">
        <v>222</v>
      </c>
      <c r="AA711" t="s">
        <v>265</v>
      </c>
      <c r="AC711">
        <v>0</v>
      </c>
      <c r="AD711">
        <v>0</v>
      </c>
      <c r="AN711" t="s">
        <v>271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A711">
        <v>726929.00000000105</v>
      </c>
      <c r="BB711">
        <v>3763988</v>
      </c>
    </row>
    <row r="712" spans="1:54" x14ac:dyDescent="0.35">
      <c r="A712">
        <v>109840</v>
      </c>
      <c r="B712">
        <v>207</v>
      </c>
      <c r="C712" t="s">
        <v>135</v>
      </c>
      <c r="D712" s="15">
        <v>701012140922122</v>
      </c>
      <c r="F712">
        <v>70</v>
      </c>
      <c r="G712" t="s">
        <v>136</v>
      </c>
      <c r="H712">
        <v>7010</v>
      </c>
      <c r="I712" t="s">
        <v>137</v>
      </c>
      <c r="K712" t="s">
        <v>138</v>
      </c>
      <c r="M712">
        <v>12140922122</v>
      </c>
      <c r="N712" t="s">
        <v>160</v>
      </c>
      <c r="O712">
        <v>12140922122</v>
      </c>
      <c r="P712" t="s">
        <v>147</v>
      </c>
      <c r="Q712" t="s">
        <v>262</v>
      </c>
      <c r="R712">
        <v>2</v>
      </c>
      <c r="S712">
        <v>45</v>
      </c>
      <c r="T712" t="s">
        <v>222</v>
      </c>
      <c r="U712" t="s">
        <v>267</v>
      </c>
      <c r="V712" t="s">
        <v>267</v>
      </c>
      <c r="W712" t="s">
        <v>267</v>
      </c>
      <c r="AA712" t="s">
        <v>265</v>
      </c>
      <c r="AC712">
        <v>0</v>
      </c>
      <c r="AD712">
        <v>0</v>
      </c>
      <c r="AN712" t="s">
        <v>271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A712">
        <v>726929.00000000105</v>
      </c>
      <c r="BB712">
        <v>3763988</v>
      </c>
    </row>
    <row r="713" spans="1:54" x14ac:dyDescent="0.35">
      <c r="A713">
        <v>109839</v>
      </c>
      <c r="B713">
        <v>206</v>
      </c>
      <c r="C713" t="s">
        <v>135</v>
      </c>
      <c r="D713" s="15">
        <v>701012140922122</v>
      </c>
      <c r="F713">
        <v>70</v>
      </c>
      <c r="G713" t="s">
        <v>136</v>
      </c>
      <c r="H713">
        <v>7010</v>
      </c>
      <c r="I713" t="s">
        <v>137</v>
      </c>
      <c r="K713" t="s">
        <v>79</v>
      </c>
      <c r="M713">
        <v>12140922121</v>
      </c>
      <c r="N713" t="s">
        <v>160</v>
      </c>
      <c r="O713">
        <v>12140922121</v>
      </c>
      <c r="Q713" t="s">
        <v>262</v>
      </c>
      <c r="R713">
        <v>2</v>
      </c>
      <c r="S713">
        <v>45</v>
      </c>
      <c r="T713" t="s">
        <v>222</v>
      </c>
      <c r="AA713" t="s">
        <v>265</v>
      </c>
      <c r="AC713">
        <v>0</v>
      </c>
      <c r="AD713">
        <v>0</v>
      </c>
      <c r="AN713" t="s">
        <v>271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A713">
        <v>726916.00000000105</v>
      </c>
      <c r="BB713">
        <v>3763986</v>
      </c>
    </row>
    <row r="714" spans="1:54" x14ac:dyDescent="0.35">
      <c r="A714">
        <v>109838</v>
      </c>
      <c r="B714">
        <v>205</v>
      </c>
      <c r="C714" t="s">
        <v>135</v>
      </c>
      <c r="D714" s="15">
        <v>701012140922121</v>
      </c>
      <c r="F714">
        <v>70</v>
      </c>
      <c r="G714" t="s">
        <v>136</v>
      </c>
      <c r="H714">
        <v>7010</v>
      </c>
      <c r="I714" t="s">
        <v>137</v>
      </c>
      <c r="K714" t="s">
        <v>138</v>
      </c>
      <c r="M714">
        <v>12140922121</v>
      </c>
      <c r="N714" t="s">
        <v>160</v>
      </c>
      <c r="O714">
        <v>12140922121</v>
      </c>
      <c r="P714" t="s">
        <v>147</v>
      </c>
      <c r="Q714" t="s">
        <v>262</v>
      </c>
      <c r="R714">
        <v>2</v>
      </c>
      <c r="S714">
        <v>45</v>
      </c>
      <c r="T714" t="s">
        <v>222</v>
      </c>
      <c r="U714" t="s">
        <v>267</v>
      </c>
      <c r="V714" t="s">
        <v>267</v>
      </c>
      <c r="W714" t="s">
        <v>267</v>
      </c>
      <c r="AA714" t="s">
        <v>265</v>
      </c>
      <c r="AC714">
        <v>0</v>
      </c>
      <c r="AD714">
        <v>0</v>
      </c>
      <c r="AN714" t="s">
        <v>271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A714">
        <v>726916.00000000105</v>
      </c>
      <c r="BB714">
        <v>3763986</v>
      </c>
    </row>
    <row r="715" spans="1:54" x14ac:dyDescent="0.35">
      <c r="A715">
        <v>109837</v>
      </c>
      <c r="B715">
        <v>204</v>
      </c>
      <c r="C715" t="s">
        <v>135</v>
      </c>
      <c r="D715" s="15">
        <v>701012140922121</v>
      </c>
      <c r="F715">
        <v>70</v>
      </c>
      <c r="G715" t="s">
        <v>136</v>
      </c>
      <c r="H715">
        <v>7010</v>
      </c>
      <c r="I715" t="s">
        <v>137</v>
      </c>
      <c r="K715" t="s">
        <v>79</v>
      </c>
      <c r="M715">
        <v>12140922118</v>
      </c>
      <c r="N715" t="s">
        <v>160</v>
      </c>
      <c r="O715">
        <v>12140922118</v>
      </c>
      <c r="Q715" t="s">
        <v>262</v>
      </c>
      <c r="R715">
        <v>2</v>
      </c>
      <c r="S715">
        <v>45</v>
      </c>
      <c r="T715" t="s">
        <v>222</v>
      </c>
      <c r="AA715" t="s">
        <v>265</v>
      </c>
      <c r="AC715">
        <v>0</v>
      </c>
      <c r="AD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A715">
        <v>726891</v>
      </c>
      <c r="BB715">
        <v>3763959</v>
      </c>
    </row>
    <row r="716" spans="1:54" x14ac:dyDescent="0.35">
      <c r="A716">
        <v>109836</v>
      </c>
      <c r="B716">
        <v>203</v>
      </c>
      <c r="C716" t="s">
        <v>135</v>
      </c>
      <c r="D716" s="15">
        <v>701012140922120</v>
      </c>
      <c r="F716">
        <v>70</v>
      </c>
      <c r="G716" t="s">
        <v>136</v>
      </c>
      <c r="H716">
        <v>7010</v>
      </c>
      <c r="I716" t="s">
        <v>137</v>
      </c>
      <c r="K716" t="s">
        <v>138</v>
      </c>
      <c r="M716">
        <v>12140922120</v>
      </c>
      <c r="N716" t="s">
        <v>139</v>
      </c>
      <c r="O716">
        <v>12140922120</v>
      </c>
      <c r="P716" t="s">
        <v>140</v>
      </c>
      <c r="Q716" t="s">
        <v>141</v>
      </c>
      <c r="R716">
        <v>0</v>
      </c>
      <c r="T716" t="s">
        <v>146</v>
      </c>
      <c r="U716" t="s">
        <v>298</v>
      </c>
      <c r="V716" t="s">
        <v>298</v>
      </c>
      <c r="W716" t="s">
        <v>298</v>
      </c>
      <c r="X716" t="s">
        <v>298</v>
      </c>
      <c r="AA716" t="s">
        <v>144</v>
      </c>
      <c r="AB716" t="s">
        <v>306</v>
      </c>
      <c r="AC716">
        <v>0</v>
      </c>
      <c r="AD716">
        <v>25</v>
      </c>
      <c r="AE716" t="s">
        <v>147</v>
      </c>
      <c r="AF716" t="s">
        <v>273</v>
      </c>
      <c r="AG716" t="s">
        <v>149</v>
      </c>
      <c r="AH716" t="s">
        <v>182</v>
      </c>
      <c r="AJ716" t="s">
        <v>307</v>
      </c>
      <c r="AK716" t="s">
        <v>186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Z716" t="s">
        <v>308</v>
      </c>
      <c r="BA716">
        <v>726896</v>
      </c>
      <c r="BB716">
        <v>3763965</v>
      </c>
    </row>
    <row r="717" spans="1:54" x14ac:dyDescent="0.35">
      <c r="A717">
        <v>109835</v>
      </c>
      <c r="B717">
        <v>202</v>
      </c>
      <c r="C717" t="s">
        <v>135</v>
      </c>
      <c r="D717" s="15">
        <v>701012140922120</v>
      </c>
      <c r="F717">
        <v>70</v>
      </c>
      <c r="G717" t="s">
        <v>136</v>
      </c>
      <c r="H717">
        <v>7010</v>
      </c>
      <c r="I717" t="s">
        <v>137</v>
      </c>
      <c r="K717" t="s">
        <v>79</v>
      </c>
      <c r="M717">
        <v>12140922119</v>
      </c>
      <c r="N717" t="s">
        <v>139</v>
      </c>
      <c r="O717">
        <v>12140922119</v>
      </c>
      <c r="Q717" t="s">
        <v>141</v>
      </c>
      <c r="R717">
        <v>0</v>
      </c>
      <c r="T717" t="s">
        <v>146</v>
      </c>
      <c r="AA717" t="s">
        <v>144</v>
      </c>
      <c r="AB717" t="s">
        <v>306</v>
      </c>
      <c r="AC717">
        <v>0</v>
      </c>
      <c r="AD717">
        <v>25</v>
      </c>
      <c r="AE717" t="s">
        <v>147</v>
      </c>
      <c r="AF717" t="s">
        <v>273</v>
      </c>
      <c r="AG717" t="s">
        <v>149</v>
      </c>
      <c r="AH717" t="s">
        <v>182</v>
      </c>
      <c r="AJ717" t="s">
        <v>307</v>
      </c>
      <c r="AK717" t="s">
        <v>186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Z717" t="s">
        <v>308</v>
      </c>
      <c r="BA717">
        <v>726895.00000000105</v>
      </c>
      <c r="BB717">
        <v>3763965</v>
      </c>
    </row>
    <row r="718" spans="1:54" x14ac:dyDescent="0.35">
      <c r="A718">
        <v>109834</v>
      </c>
      <c r="B718">
        <v>201</v>
      </c>
      <c r="C718" t="s">
        <v>135</v>
      </c>
      <c r="D718" s="15">
        <v>701012140922119</v>
      </c>
      <c r="F718">
        <v>70</v>
      </c>
      <c r="G718" t="s">
        <v>136</v>
      </c>
      <c r="H718">
        <v>7010</v>
      </c>
      <c r="I718" t="s">
        <v>137</v>
      </c>
      <c r="K718" t="s">
        <v>138</v>
      </c>
      <c r="M718">
        <v>12140922119</v>
      </c>
      <c r="N718" t="s">
        <v>160</v>
      </c>
      <c r="O718">
        <v>12140922119</v>
      </c>
      <c r="P718" t="s">
        <v>147</v>
      </c>
      <c r="Q718" t="s">
        <v>262</v>
      </c>
      <c r="R718">
        <v>0</v>
      </c>
      <c r="T718" t="s">
        <v>146</v>
      </c>
      <c r="U718" t="s">
        <v>263</v>
      </c>
      <c r="V718" t="s">
        <v>263</v>
      </c>
      <c r="W718" t="s">
        <v>263</v>
      </c>
      <c r="AA718" t="s">
        <v>264</v>
      </c>
      <c r="AB718" t="s">
        <v>306</v>
      </c>
      <c r="AC718">
        <v>0</v>
      </c>
      <c r="AD718">
        <v>25</v>
      </c>
      <c r="AE718" t="s">
        <v>147</v>
      </c>
      <c r="AF718" t="s">
        <v>273</v>
      </c>
      <c r="AG718" t="s">
        <v>149</v>
      </c>
      <c r="AH718" t="s">
        <v>182</v>
      </c>
      <c r="AJ718" t="s">
        <v>307</v>
      </c>
      <c r="AK718" t="s">
        <v>186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Z718" t="s">
        <v>308</v>
      </c>
      <c r="BA718">
        <v>726895.00000000105</v>
      </c>
      <c r="BB718">
        <v>3763965</v>
      </c>
    </row>
    <row r="719" spans="1:54" x14ac:dyDescent="0.35">
      <c r="A719">
        <v>109833</v>
      </c>
      <c r="B719">
        <v>200</v>
      </c>
      <c r="C719" t="s">
        <v>135</v>
      </c>
      <c r="D719" s="15">
        <v>701012140922119</v>
      </c>
      <c r="F719">
        <v>70</v>
      </c>
      <c r="G719" t="s">
        <v>136</v>
      </c>
      <c r="H719">
        <v>7010</v>
      </c>
      <c r="I719" t="s">
        <v>137</v>
      </c>
      <c r="K719" t="s">
        <v>79</v>
      </c>
      <c r="M719">
        <v>12140922118</v>
      </c>
      <c r="N719" t="s">
        <v>160</v>
      </c>
      <c r="O719">
        <v>12140922118</v>
      </c>
      <c r="Q719" t="s">
        <v>262</v>
      </c>
      <c r="R719">
        <v>2</v>
      </c>
      <c r="S719">
        <v>45</v>
      </c>
      <c r="T719" t="s">
        <v>222</v>
      </c>
      <c r="AA719" t="s">
        <v>265</v>
      </c>
      <c r="AC719">
        <v>0</v>
      </c>
      <c r="AD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A719">
        <v>726891</v>
      </c>
      <c r="BB719">
        <v>3763959</v>
      </c>
    </row>
    <row r="720" spans="1:54" x14ac:dyDescent="0.35">
      <c r="A720">
        <v>109832</v>
      </c>
      <c r="B720">
        <v>199</v>
      </c>
      <c r="C720" t="s">
        <v>135</v>
      </c>
      <c r="D720" s="15">
        <v>701012140922118</v>
      </c>
      <c r="F720">
        <v>70</v>
      </c>
      <c r="G720" t="s">
        <v>136</v>
      </c>
      <c r="H720">
        <v>7010</v>
      </c>
      <c r="I720" t="s">
        <v>137</v>
      </c>
      <c r="K720" t="s">
        <v>138</v>
      </c>
      <c r="M720">
        <v>12140922118</v>
      </c>
      <c r="N720" t="s">
        <v>160</v>
      </c>
      <c r="O720">
        <v>12140922118</v>
      </c>
      <c r="P720" t="s">
        <v>147</v>
      </c>
      <c r="Q720" t="s">
        <v>262</v>
      </c>
      <c r="R720">
        <v>2</v>
      </c>
      <c r="S720">
        <v>45</v>
      </c>
      <c r="T720" t="s">
        <v>222</v>
      </c>
      <c r="U720" t="s">
        <v>267</v>
      </c>
      <c r="V720" t="s">
        <v>267</v>
      </c>
      <c r="W720" t="s">
        <v>267</v>
      </c>
      <c r="AA720" t="s">
        <v>265</v>
      </c>
      <c r="AC720">
        <v>0</v>
      </c>
      <c r="AD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A720">
        <v>726891</v>
      </c>
      <c r="BB720">
        <v>3763959</v>
      </c>
    </row>
    <row r="721" spans="1:54" x14ac:dyDescent="0.35">
      <c r="A721">
        <v>109831</v>
      </c>
      <c r="B721">
        <v>198</v>
      </c>
      <c r="C721" t="s">
        <v>135</v>
      </c>
      <c r="D721" s="15">
        <v>701012140922118</v>
      </c>
      <c r="F721">
        <v>70</v>
      </c>
      <c r="G721" t="s">
        <v>136</v>
      </c>
      <c r="H721">
        <v>7010</v>
      </c>
      <c r="I721" t="s">
        <v>137</v>
      </c>
      <c r="K721" t="s">
        <v>79</v>
      </c>
      <c r="M721">
        <v>12140922117</v>
      </c>
      <c r="N721" t="s">
        <v>160</v>
      </c>
      <c r="O721">
        <v>12140922117</v>
      </c>
      <c r="Q721" t="s">
        <v>262</v>
      </c>
      <c r="R721">
        <v>2</v>
      </c>
      <c r="S721">
        <v>45</v>
      </c>
      <c r="T721" t="s">
        <v>222</v>
      </c>
      <c r="AA721" t="s">
        <v>265</v>
      </c>
      <c r="AC721">
        <v>0</v>
      </c>
      <c r="AD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A721">
        <v>726867.00000000105</v>
      </c>
      <c r="BB721">
        <v>3763925</v>
      </c>
    </row>
    <row r="722" spans="1:54" x14ac:dyDescent="0.35">
      <c r="A722">
        <v>109830</v>
      </c>
      <c r="B722">
        <v>197</v>
      </c>
      <c r="C722" t="s">
        <v>135</v>
      </c>
      <c r="D722" s="15">
        <v>701012140922117</v>
      </c>
      <c r="F722">
        <v>70</v>
      </c>
      <c r="G722" t="s">
        <v>136</v>
      </c>
      <c r="H722">
        <v>7010</v>
      </c>
      <c r="I722" t="s">
        <v>137</v>
      </c>
      <c r="K722" t="s">
        <v>138</v>
      </c>
      <c r="M722">
        <v>12140922117</v>
      </c>
      <c r="N722" t="s">
        <v>160</v>
      </c>
      <c r="O722">
        <v>12140922117</v>
      </c>
      <c r="P722" t="s">
        <v>147</v>
      </c>
      <c r="Q722" t="s">
        <v>262</v>
      </c>
      <c r="R722">
        <v>2</v>
      </c>
      <c r="S722">
        <v>45</v>
      </c>
      <c r="T722" t="s">
        <v>222</v>
      </c>
      <c r="U722" t="s">
        <v>267</v>
      </c>
      <c r="V722" t="s">
        <v>267</v>
      </c>
      <c r="W722" t="s">
        <v>267</v>
      </c>
      <c r="AA722" t="s">
        <v>265</v>
      </c>
      <c r="AC722">
        <v>0</v>
      </c>
      <c r="AD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A722">
        <v>726867.00000000105</v>
      </c>
      <c r="BB722">
        <v>3763925</v>
      </c>
    </row>
    <row r="723" spans="1:54" x14ac:dyDescent="0.35">
      <c r="A723">
        <v>109829</v>
      </c>
      <c r="B723">
        <v>196</v>
      </c>
      <c r="C723" t="s">
        <v>135</v>
      </c>
      <c r="D723" s="15">
        <v>701012140922117</v>
      </c>
      <c r="F723">
        <v>70</v>
      </c>
      <c r="G723" t="s">
        <v>136</v>
      </c>
      <c r="H723">
        <v>7010</v>
      </c>
      <c r="I723" t="s">
        <v>137</v>
      </c>
      <c r="K723" t="s">
        <v>79</v>
      </c>
      <c r="M723">
        <v>12120922047</v>
      </c>
      <c r="N723" t="s">
        <v>160</v>
      </c>
      <c r="O723">
        <v>12120922047</v>
      </c>
      <c r="Q723" t="s">
        <v>262</v>
      </c>
      <c r="R723">
        <v>2</v>
      </c>
      <c r="S723">
        <v>45</v>
      </c>
      <c r="T723" t="s">
        <v>222</v>
      </c>
      <c r="AA723" t="s">
        <v>265</v>
      </c>
      <c r="AC723">
        <v>0</v>
      </c>
      <c r="AD723">
        <v>0</v>
      </c>
      <c r="AN723" t="s">
        <v>271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A723">
        <v>726844.00000000105</v>
      </c>
      <c r="BB723">
        <v>3763884</v>
      </c>
    </row>
    <row r="724" spans="1:54" x14ac:dyDescent="0.35">
      <c r="A724">
        <v>109828</v>
      </c>
      <c r="B724">
        <v>195</v>
      </c>
      <c r="C724" t="s">
        <v>135</v>
      </c>
      <c r="D724" s="15">
        <v>701012130922116</v>
      </c>
      <c r="F724">
        <v>70</v>
      </c>
      <c r="G724" t="s">
        <v>136</v>
      </c>
      <c r="H724">
        <v>7010</v>
      </c>
      <c r="I724" t="s">
        <v>137</v>
      </c>
      <c r="K724" t="s">
        <v>138</v>
      </c>
      <c r="M724">
        <v>12130922116</v>
      </c>
      <c r="N724" t="s">
        <v>139</v>
      </c>
      <c r="O724">
        <v>12130922116</v>
      </c>
      <c r="P724" t="s">
        <v>140</v>
      </c>
      <c r="Q724" t="s">
        <v>141</v>
      </c>
      <c r="R724">
        <v>0</v>
      </c>
      <c r="T724" t="s">
        <v>146</v>
      </c>
      <c r="U724" t="s">
        <v>188</v>
      </c>
      <c r="V724" t="s">
        <v>188</v>
      </c>
      <c r="W724" t="s">
        <v>188</v>
      </c>
      <c r="X724" t="s">
        <v>188</v>
      </c>
      <c r="AA724" t="s">
        <v>144</v>
      </c>
      <c r="AB724" t="s">
        <v>309</v>
      </c>
      <c r="AC724">
        <v>0</v>
      </c>
      <c r="AD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Z724" t="s">
        <v>310</v>
      </c>
      <c r="BA724">
        <v>726654.2</v>
      </c>
      <c r="BB724">
        <v>3763691.4</v>
      </c>
    </row>
    <row r="725" spans="1:54" x14ac:dyDescent="0.35">
      <c r="A725">
        <v>109827</v>
      </c>
      <c r="B725">
        <v>194</v>
      </c>
      <c r="C725" t="s">
        <v>135</v>
      </c>
      <c r="D725" s="15">
        <v>701012130922116</v>
      </c>
      <c r="F725">
        <v>70</v>
      </c>
      <c r="G725" t="s">
        <v>136</v>
      </c>
      <c r="H725">
        <v>7010</v>
      </c>
      <c r="I725" t="s">
        <v>137</v>
      </c>
      <c r="K725" t="s">
        <v>79</v>
      </c>
      <c r="M725">
        <v>12130922115</v>
      </c>
      <c r="N725" t="s">
        <v>139</v>
      </c>
      <c r="O725">
        <v>12130922115</v>
      </c>
      <c r="Q725" t="s">
        <v>141</v>
      </c>
      <c r="R725">
        <v>0</v>
      </c>
      <c r="T725" t="s">
        <v>146</v>
      </c>
      <c r="AA725" t="s">
        <v>144</v>
      </c>
      <c r="AB725" t="s">
        <v>309</v>
      </c>
      <c r="AC725">
        <v>0</v>
      </c>
      <c r="AD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Z725" t="s">
        <v>310</v>
      </c>
      <c r="BA725">
        <v>726654.1</v>
      </c>
      <c r="BB725">
        <v>3763691.3</v>
      </c>
    </row>
    <row r="726" spans="1:54" x14ac:dyDescent="0.35">
      <c r="A726">
        <v>109826</v>
      </c>
      <c r="B726">
        <v>193</v>
      </c>
      <c r="C726" t="s">
        <v>135</v>
      </c>
      <c r="D726" s="15">
        <v>701012130922115</v>
      </c>
      <c r="F726">
        <v>70</v>
      </c>
      <c r="G726" t="s">
        <v>136</v>
      </c>
      <c r="H726">
        <v>7010</v>
      </c>
      <c r="I726" t="s">
        <v>137</v>
      </c>
      <c r="K726" t="s">
        <v>138</v>
      </c>
      <c r="M726">
        <v>12130922115</v>
      </c>
      <c r="N726" t="s">
        <v>160</v>
      </c>
      <c r="O726">
        <v>12130922115</v>
      </c>
      <c r="P726" t="s">
        <v>147</v>
      </c>
      <c r="Q726" t="s">
        <v>262</v>
      </c>
      <c r="R726">
        <v>0</v>
      </c>
      <c r="T726" t="s">
        <v>146</v>
      </c>
      <c r="U726" t="s">
        <v>263</v>
      </c>
      <c r="V726" t="s">
        <v>263</v>
      </c>
      <c r="W726" t="s">
        <v>263</v>
      </c>
      <c r="AA726" t="s">
        <v>264</v>
      </c>
      <c r="AB726" t="s">
        <v>309</v>
      </c>
      <c r="AC726">
        <v>0</v>
      </c>
      <c r="AD726">
        <v>400</v>
      </c>
      <c r="AE726" t="s">
        <v>147</v>
      </c>
      <c r="AF726" t="s">
        <v>273</v>
      </c>
      <c r="AG726" t="s">
        <v>149</v>
      </c>
      <c r="AH726" t="s">
        <v>182</v>
      </c>
      <c r="AJ726" t="s">
        <v>311</v>
      </c>
      <c r="AK726" t="s">
        <v>304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Z726" t="s">
        <v>310</v>
      </c>
      <c r="BA726">
        <v>726654.1</v>
      </c>
      <c r="BB726">
        <v>3763691.3</v>
      </c>
    </row>
    <row r="727" spans="1:54" x14ac:dyDescent="0.35">
      <c r="A727">
        <v>109825</v>
      </c>
      <c r="B727">
        <v>192</v>
      </c>
      <c r="C727" t="s">
        <v>135</v>
      </c>
      <c r="D727" s="15">
        <v>701012130922115</v>
      </c>
      <c r="F727">
        <v>70</v>
      </c>
      <c r="G727" t="s">
        <v>136</v>
      </c>
      <c r="H727">
        <v>7010</v>
      </c>
      <c r="I727" t="s">
        <v>137</v>
      </c>
      <c r="K727" t="s">
        <v>79</v>
      </c>
      <c r="M727">
        <v>12130922114</v>
      </c>
      <c r="N727" t="s">
        <v>160</v>
      </c>
      <c r="O727">
        <v>12130922114</v>
      </c>
      <c r="Q727" t="s">
        <v>262</v>
      </c>
      <c r="R727">
        <v>1</v>
      </c>
      <c r="S727">
        <v>36</v>
      </c>
      <c r="T727" t="s">
        <v>222</v>
      </c>
      <c r="AA727" t="s">
        <v>265</v>
      </c>
      <c r="AC727">
        <v>0</v>
      </c>
      <c r="AD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A727">
        <v>726653.99999999895</v>
      </c>
      <c r="BB727">
        <v>3763691</v>
      </c>
    </row>
    <row r="728" spans="1:54" x14ac:dyDescent="0.35">
      <c r="A728">
        <v>109824</v>
      </c>
      <c r="B728">
        <v>191</v>
      </c>
      <c r="C728" t="s">
        <v>135</v>
      </c>
      <c r="D728" s="15">
        <v>701012130922114</v>
      </c>
      <c r="F728">
        <v>70</v>
      </c>
      <c r="G728" t="s">
        <v>136</v>
      </c>
      <c r="H728">
        <v>7010</v>
      </c>
      <c r="I728" t="s">
        <v>137</v>
      </c>
      <c r="K728" t="s">
        <v>138</v>
      </c>
      <c r="M728">
        <v>12130922114</v>
      </c>
      <c r="N728" t="s">
        <v>160</v>
      </c>
      <c r="O728">
        <v>12130922114</v>
      </c>
      <c r="P728" t="s">
        <v>147</v>
      </c>
      <c r="Q728" t="s">
        <v>262</v>
      </c>
      <c r="R728">
        <v>1</v>
      </c>
      <c r="S728">
        <v>36</v>
      </c>
      <c r="T728" t="s">
        <v>222</v>
      </c>
      <c r="U728" t="s">
        <v>263</v>
      </c>
      <c r="V728" t="s">
        <v>263</v>
      </c>
      <c r="W728" t="s">
        <v>263</v>
      </c>
      <c r="AA728" t="s">
        <v>265</v>
      </c>
      <c r="AC728">
        <v>0</v>
      </c>
      <c r="AD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A728">
        <v>726653.99999999895</v>
      </c>
      <c r="BB728">
        <v>3763691</v>
      </c>
    </row>
    <row r="729" spans="1:54" x14ac:dyDescent="0.35">
      <c r="A729">
        <v>109823</v>
      </c>
      <c r="B729">
        <v>190</v>
      </c>
      <c r="C729" t="s">
        <v>135</v>
      </c>
      <c r="D729" s="15">
        <v>701012130922114</v>
      </c>
      <c r="F729">
        <v>70</v>
      </c>
      <c r="G729" t="s">
        <v>136</v>
      </c>
      <c r="H729">
        <v>7010</v>
      </c>
      <c r="I729" t="s">
        <v>137</v>
      </c>
      <c r="K729" t="s">
        <v>79</v>
      </c>
      <c r="M729">
        <v>12130922090</v>
      </c>
      <c r="N729" t="s">
        <v>160</v>
      </c>
      <c r="O729">
        <v>12130922090</v>
      </c>
      <c r="Q729" t="s">
        <v>262</v>
      </c>
      <c r="R729">
        <v>1</v>
      </c>
      <c r="S729">
        <v>36</v>
      </c>
      <c r="T729" t="s">
        <v>142</v>
      </c>
      <c r="AA729" t="s">
        <v>265</v>
      </c>
      <c r="AC729">
        <v>0</v>
      </c>
      <c r="AD729">
        <v>0</v>
      </c>
      <c r="AN729" t="s">
        <v>266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A729">
        <v>726689</v>
      </c>
      <c r="BB729">
        <v>3763674</v>
      </c>
    </row>
    <row r="730" spans="1:54" x14ac:dyDescent="0.35">
      <c r="A730">
        <v>109822</v>
      </c>
      <c r="B730">
        <v>189</v>
      </c>
      <c r="C730" t="s">
        <v>135</v>
      </c>
      <c r="D730" s="15">
        <v>701012130922108</v>
      </c>
      <c r="F730">
        <v>70</v>
      </c>
      <c r="G730" t="s">
        <v>136</v>
      </c>
      <c r="H730">
        <v>7010</v>
      </c>
      <c r="I730" t="s">
        <v>137</v>
      </c>
      <c r="K730" t="s">
        <v>138</v>
      </c>
      <c r="M730">
        <v>12130922108</v>
      </c>
      <c r="N730" t="s">
        <v>139</v>
      </c>
      <c r="O730">
        <v>12130922108</v>
      </c>
      <c r="P730" t="s">
        <v>140</v>
      </c>
      <c r="Q730" t="s">
        <v>141</v>
      </c>
      <c r="R730">
        <v>0</v>
      </c>
      <c r="T730" t="s">
        <v>146</v>
      </c>
      <c r="U730" t="s">
        <v>154</v>
      </c>
      <c r="V730" t="s">
        <v>154</v>
      </c>
      <c r="W730" t="s">
        <v>154</v>
      </c>
      <c r="X730" t="s">
        <v>154</v>
      </c>
      <c r="AA730" t="s">
        <v>144</v>
      </c>
      <c r="AB730" t="s">
        <v>243</v>
      </c>
      <c r="AC730">
        <v>0</v>
      </c>
      <c r="AD730">
        <v>100</v>
      </c>
      <c r="AE730" t="s">
        <v>147</v>
      </c>
      <c r="AF730" t="s">
        <v>148</v>
      </c>
      <c r="AG730" t="s">
        <v>149</v>
      </c>
      <c r="AH730" t="s">
        <v>244</v>
      </c>
      <c r="AJ730" t="s">
        <v>245</v>
      </c>
      <c r="AK730" t="s">
        <v>152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Z730" t="s">
        <v>246</v>
      </c>
      <c r="BA730">
        <v>726581.00000000105</v>
      </c>
      <c r="BB730">
        <v>3763545</v>
      </c>
    </row>
    <row r="731" spans="1:54" x14ac:dyDescent="0.35">
      <c r="A731">
        <v>109821</v>
      </c>
      <c r="B731">
        <v>188</v>
      </c>
      <c r="C731" t="s">
        <v>135</v>
      </c>
      <c r="D731" s="15">
        <v>701012130922108</v>
      </c>
      <c r="F731">
        <v>70</v>
      </c>
      <c r="G731" t="s">
        <v>136</v>
      </c>
      <c r="H731">
        <v>7010</v>
      </c>
      <c r="I731" t="s">
        <v>137</v>
      </c>
      <c r="K731" t="s">
        <v>79</v>
      </c>
      <c r="M731">
        <v>12130922107</v>
      </c>
      <c r="N731" t="s">
        <v>139</v>
      </c>
      <c r="O731">
        <v>12130922107</v>
      </c>
      <c r="Q731" t="s">
        <v>141</v>
      </c>
      <c r="R731">
        <v>0</v>
      </c>
      <c r="T731" t="s">
        <v>146</v>
      </c>
      <c r="AA731" t="s">
        <v>144</v>
      </c>
      <c r="AB731" t="s">
        <v>243</v>
      </c>
      <c r="AC731">
        <v>0</v>
      </c>
      <c r="AD731">
        <v>100</v>
      </c>
      <c r="AE731" t="s">
        <v>147</v>
      </c>
      <c r="AF731" t="s">
        <v>148</v>
      </c>
      <c r="AG731" t="s">
        <v>149</v>
      </c>
      <c r="AH731" t="s">
        <v>244</v>
      </c>
      <c r="AJ731" t="s">
        <v>245</v>
      </c>
      <c r="AK731" t="s">
        <v>152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Z731" t="s">
        <v>246</v>
      </c>
      <c r="BA731">
        <v>726580.00000000198</v>
      </c>
      <c r="BB731">
        <v>3763544</v>
      </c>
    </row>
    <row r="732" spans="1:54" x14ac:dyDescent="0.35">
      <c r="A732">
        <v>109820</v>
      </c>
      <c r="B732">
        <v>187</v>
      </c>
      <c r="C732" t="s">
        <v>135</v>
      </c>
      <c r="D732" s="15">
        <v>701012130922107</v>
      </c>
      <c r="F732">
        <v>70</v>
      </c>
      <c r="G732" t="s">
        <v>136</v>
      </c>
      <c r="H732">
        <v>7010</v>
      </c>
      <c r="I732" t="s">
        <v>137</v>
      </c>
      <c r="K732" t="s">
        <v>138</v>
      </c>
      <c r="M732">
        <v>12130922107</v>
      </c>
      <c r="N732" t="s">
        <v>160</v>
      </c>
      <c r="O732">
        <v>12130922107</v>
      </c>
      <c r="P732" t="s">
        <v>147</v>
      </c>
      <c r="Q732" t="s">
        <v>262</v>
      </c>
      <c r="R732">
        <v>0</v>
      </c>
      <c r="T732" t="s">
        <v>146</v>
      </c>
      <c r="U732" t="s">
        <v>263</v>
      </c>
      <c r="V732" t="s">
        <v>263</v>
      </c>
      <c r="W732" t="s">
        <v>263</v>
      </c>
      <c r="AA732" t="s">
        <v>264</v>
      </c>
      <c r="AB732" t="s">
        <v>243</v>
      </c>
      <c r="AC732">
        <v>0</v>
      </c>
      <c r="AD732">
        <v>100</v>
      </c>
      <c r="AE732" t="s">
        <v>147</v>
      </c>
      <c r="AF732" t="s">
        <v>148</v>
      </c>
      <c r="AG732" t="s">
        <v>149</v>
      </c>
      <c r="AH732" t="s">
        <v>244</v>
      </c>
      <c r="AJ732" t="s">
        <v>245</v>
      </c>
      <c r="AK732" t="s">
        <v>152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Z732" t="s">
        <v>246</v>
      </c>
      <c r="BA732">
        <v>726580.00000000198</v>
      </c>
      <c r="BB732">
        <v>3763544</v>
      </c>
    </row>
    <row r="733" spans="1:54" x14ac:dyDescent="0.35">
      <c r="A733">
        <v>109819</v>
      </c>
      <c r="B733">
        <v>186</v>
      </c>
      <c r="C733" t="s">
        <v>135</v>
      </c>
      <c r="D733" s="15">
        <v>701012130922107</v>
      </c>
      <c r="F733">
        <v>70</v>
      </c>
      <c r="G733" t="s">
        <v>136</v>
      </c>
      <c r="H733">
        <v>7010</v>
      </c>
      <c r="I733" t="s">
        <v>137</v>
      </c>
      <c r="K733" t="s">
        <v>79</v>
      </c>
      <c r="M733">
        <v>12130922106</v>
      </c>
      <c r="N733" t="s">
        <v>160</v>
      </c>
      <c r="O733">
        <v>12130922106</v>
      </c>
      <c r="Q733" t="s">
        <v>262</v>
      </c>
      <c r="R733">
        <v>1</v>
      </c>
      <c r="S733">
        <v>36</v>
      </c>
      <c r="T733" t="s">
        <v>142</v>
      </c>
      <c r="AA733" t="s">
        <v>265</v>
      </c>
      <c r="AC733">
        <v>0</v>
      </c>
      <c r="AD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A733">
        <v>726581.00000000105</v>
      </c>
      <c r="BB733">
        <v>3763543</v>
      </c>
    </row>
    <row r="734" spans="1:54" x14ac:dyDescent="0.35">
      <c r="A734">
        <v>109818</v>
      </c>
      <c r="B734">
        <v>185</v>
      </c>
      <c r="C734" t="s">
        <v>135</v>
      </c>
      <c r="D734" s="15">
        <v>701012130922106</v>
      </c>
      <c r="F734">
        <v>70</v>
      </c>
      <c r="G734" t="s">
        <v>136</v>
      </c>
      <c r="H734">
        <v>7010</v>
      </c>
      <c r="I734" t="s">
        <v>137</v>
      </c>
      <c r="K734" t="s">
        <v>138</v>
      </c>
      <c r="M734">
        <v>12130922106</v>
      </c>
      <c r="N734" t="s">
        <v>160</v>
      </c>
      <c r="O734">
        <v>12130922106</v>
      </c>
      <c r="P734" t="s">
        <v>147</v>
      </c>
      <c r="Q734" t="s">
        <v>262</v>
      </c>
      <c r="R734">
        <v>1</v>
      </c>
      <c r="S734">
        <v>36</v>
      </c>
      <c r="T734" t="s">
        <v>142</v>
      </c>
      <c r="U734" t="s">
        <v>267</v>
      </c>
      <c r="V734" t="s">
        <v>267</v>
      </c>
      <c r="W734" t="s">
        <v>267</v>
      </c>
      <c r="AA734" t="s">
        <v>265</v>
      </c>
      <c r="AC734">
        <v>0</v>
      </c>
      <c r="AD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A734">
        <v>726581.00000000105</v>
      </c>
      <c r="BB734">
        <v>3763543</v>
      </c>
    </row>
    <row r="735" spans="1:54" x14ac:dyDescent="0.35">
      <c r="A735">
        <v>109817</v>
      </c>
      <c r="B735">
        <v>184</v>
      </c>
      <c r="C735" t="s">
        <v>135</v>
      </c>
      <c r="D735" s="15">
        <v>701012130922106</v>
      </c>
      <c r="F735">
        <v>70</v>
      </c>
      <c r="G735" t="s">
        <v>136</v>
      </c>
      <c r="H735">
        <v>7010</v>
      </c>
      <c r="I735" t="s">
        <v>137</v>
      </c>
      <c r="K735" t="s">
        <v>79</v>
      </c>
      <c r="M735">
        <v>12130922099</v>
      </c>
      <c r="N735" t="s">
        <v>160</v>
      </c>
      <c r="O735">
        <v>12130922099</v>
      </c>
      <c r="Q735" t="s">
        <v>262</v>
      </c>
      <c r="R735">
        <v>1</v>
      </c>
      <c r="S735">
        <v>36</v>
      </c>
      <c r="T735" t="s">
        <v>142</v>
      </c>
      <c r="AA735" t="s">
        <v>265</v>
      </c>
      <c r="AC735">
        <v>0</v>
      </c>
      <c r="AD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A735">
        <v>726624.00000000105</v>
      </c>
      <c r="BB735">
        <v>3763583</v>
      </c>
    </row>
    <row r="736" spans="1:54" x14ac:dyDescent="0.35">
      <c r="A736">
        <v>109816</v>
      </c>
      <c r="B736">
        <v>183</v>
      </c>
      <c r="C736" t="s">
        <v>135</v>
      </c>
      <c r="D736" s="15">
        <v>701012130922101</v>
      </c>
      <c r="F736">
        <v>70</v>
      </c>
      <c r="G736" t="s">
        <v>136</v>
      </c>
      <c r="H736">
        <v>7010</v>
      </c>
      <c r="I736" t="s">
        <v>137</v>
      </c>
      <c r="K736" t="s">
        <v>138</v>
      </c>
      <c r="M736">
        <v>12130922101</v>
      </c>
      <c r="N736" t="s">
        <v>139</v>
      </c>
      <c r="O736">
        <v>12130922101</v>
      </c>
      <c r="P736" t="s">
        <v>140</v>
      </c>
      <c r="Q736" t="s">
        <v>141</v>
      </c>
      <c r="R736">
        <v>0</v>
      </c>
      <c r="T736" t="s">
        <v>146</v>
      </c>
      <c r="U736" t="s">
        <v>154</v>
      </c>
      <c r="V736" t="s">
        <v>154</v>
      </c>
      <c r="W736" t="s">
        <v>154</v>
      </c>
      <c r="X736" t="s">
        <v>154</v>
      </c>
      <c r="AA736" t="s">
        <v>144</v>
      </c>
      <c r="AB736" t="s">
        <v>247</v>
      </c>
      <c r="AC736">
        <v>0</v>
      </c>
      <c r="AD736">
        <v>100</v>
      </c>
      <c r="AE736" t="s">
        <v>147</v>
      </c>
      <c r="AF736" t="s">
        <v>148</v>
      </c>
      <c r="AG736" t="s">
        <v>149</v>
      </c>
      <c r="AH736" t="s">
        <v>171</v>
      </c>
      <c r="AJ736" t="s">
        <v>248</v>
      </c>
      <c r="AK736" t="s">
        <v>152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Z736" t="s">
        <v>249</v>
      </c>
      <c r="BA736">
        <v>726626.00000000198</v>
      </c>
      <c r="BB736">
        <v>3763582</v>
      </c>
    </row>
    <row r="737" spans="1:54" x14ac:dyDescent="0.35">
      <c r="A737">
        <v>109815</v>
      </c>
      <c r="B737">
        <v>182</v>
      </c>
      <c r="C737" t="s">
        <v>135</v>
      </c>
      <c r="D737" s="15">
        <v>701012130922101</v>
      </c>
      <c r="F737">
        <v>70</v>
      </c>
      <c r="G737" t="s">
        <v>136</v>
      </c>
      <c r="H737">
        <v>7010</v>
      </c>
      <c r="I737" t="s">
        <v>137</v>
      </c>
      <c r="K737" t="s">
        <v>79</v>
      </c>
      <c r="M737">
        <v>12130922100</v>
      </c>
      <c r="N737" t="s">
        <v>139</v>
      </c>
      <c r="O737">
        <v>12130922100</v>
      </c>
      <c r="Q737" t="s">
        <v>141</v>
      </c>
      <c r="R737">
        <v>0</v>
      </c>
      <c r="T737" t="s">
        <v>146</v>
      </c>
      <c r="AA737" t="s">
        <v>144</v>
      </c>
      <c r="AB737" t="s">
        <v>247</v>
      </c>
      <c r="AC737">
        <v>0</v>
      </c>
      <c r="AD737">
        <v>100</v>
      </c>
      <c r="AE737" t="s">
        <v>147</v>
      </c>
      <c r="AF737" t="s">
        <v>148</v>
      </c>
      <c r="AG737" t="s">
        <v>149</v>
      </c>
      <c r="AH737" t="s">
        <v>171</v>
      </c>
      <c r="AJ737" t="s">
        <v>248</v>
      </c>
      <c r="AK737" t="s">
        <v>152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Z737" t="s">
        <v>249</v>
      </c>
      <c r="BA737">
        <v>726625</v>
      </c>
      <c r="BB737">
        <v>3763583</v>
      </c>
    </row>
    <row r="738" spans="1:54" x14ac:dyDescent="0.35">
      <c r="A738">
        <v>109814</v>
      </c>
      <c r="B738">
        <v>181</v>
      </c>
      <c r="C738" t="s">
        <v>135</v>
      </c>
      <c r="D738" s="15">
        <v>701012130922100</v>
      </c>
      <c r="F738">
        <v>70</v>
      </c>
      <c r="G738" t="s">
        <v>136</v>
      </c>
      <c r="H738">
        <v>7010</v>
      </c>
      <c r="I738" t="s">
        <v>137</v>
      </c>
      <c r="K738" t="s">
        <v>138</v>
      </c>
      <c r="M738">
        <v>12130922100</v>
      </c>
      <c r="N738" t="s">
        <v>160</v>
      </c>
      <c r="O738">
        <v>12130922100</v>
      </c>
      <c r="P738" t="s">
        <v>147</v>
      </c>
      <c r="Q738" t="s">
        <v>262</v>
      </c>
      <c r="R738">
        <v>0</v>
      </c>
      <c r="T738" t="s">
        <v>146</v>
      </c>
      <c r="U738" t="s">
        <v>263</v>
      </c>
      <c r="V738" t="s">
        <v>263</v>
      </c>
      <c r="W738" t="s">
        <v>263</v>
      </c>
      <c r="AA738" t="s">
        <v>264</v>
      </c>
      <c r="AB738" t="s">
        <v>247</v>
      </c>
      <c r="AC738">
        <v>0</v>
      </c>
      <c r="AD738">
        <v>100</v>
      </c>
      <c r="AE738" t="s">
        <v>147</v>
      </c>
      <c r="AF738" t="s">
        <v>148</v>
      </c>
      <c r="AG738" t="s">
        <v>149</v>
      </c>
      <c r="AH738" t="s">
        <v>171</v>
      </c>
      <c r="AJ738" t="s">
        <v>248</v>
      </c>
      <c r="AK738" t="s">
        <v>152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Z738" t="s">
        <v>249</v>
      </c>
      <c r="BA738">
        <v>726625</v>
      </c>
      <c r="BB738">
        <v>3763583</v>
      </c>
    </row>
    <row r="739" spans="1:54" x14ac:dyDescent="0.35">
      <c r="A739">
        <v>109813</v>
      </c>
      <c r="B739">
        <v>180</v>
      </c>
      <c r="C739" t="s">
        <v>135</v>
      </c>
      <c r="D739" s="15">
        <v>701012130922100</v>
      </c>
      <c r="F739">
        <v>70</v>
      </c>
      <c r="G739" t="s">
        <v>136</v>
      </c>
      <c r="H739">
        <v>7010</v>
      </c>
      <c r="I739" t="s">
        <v>137</v>
      </c>
      <c r="K739" t="s">
        <v>79</v>
      </c>
      <c r="M739">
        <v>12130922099</v>
      </c>
      <c r="N739" t="s">
        <v>160</v>
      </c>
      <c r="O739">
        <v>12130922099</v>
      </c>
      <c r="Q739" t="s">
        <v>262</v>
      </c>
      <c r="R739">
        <v>1</v>
      </c>
      <c r="S739">
        <v>36</v>
      </c>
      <c r="T739" t="s">
        <v>142</v>
      </c>
      <c r="AA739" t="s">
        <v>265</v>
      </c>
      <c r="AC739">
        <v>0</v>
      </c>
      <c r="AD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A739">
        <v>726624.00000000105</v>
      </c>
      <c r="BB739">
        <v>3763583</v>
      </c>
    </row>
    <row r="740" spans="1:54" x14ac:dyDescent="0.35">
      <c r="A740">
        <v>109812</v>
      </c>
      <c r="B740">
        <v>179</v>
      </c>
      <c r="C740" t="s">
        <v>135</v>
      </c>
      <c r="D740" s="15">
        <v>701012130922099</v>
      </c>
      <c r="F740">
        <v>70</v>
      </c>
      <c r="G740" t="s">
        <v>136</v>
      </c>
      <c r="H740">
        <v>7010</v>
      </c>
      <c r="I740" t="s">
        <v>137</v>
      </c>
      <c r="K740" t="s">
        <v>138</v>
      </c>
      <c r="M740">
        <v>12130922099</v>
      </c>
      <c r="N740" t="s">
        <v>160</v>
      </c>
      <c r="O740">
        <v>12130922099</v>
      </c>
      <c r="P740" t="s">
        <v>147</v>
      </c>
      <c r="Q740" t="s">
        <v>262</v>
      </c>
      <c r="R740">
        <v>1</v>
      </c>
      <c r="S740">
        <v>36</v>
      </c>
      <c r="T740" t="s">
        <v>142</v>
      </c>
      <c r="U740" t="s">
        <v>267</v>
      </c>
      <c r="V740" t="s">
        <v>267</v>
      </c>
      <c r="W740" t="s">
        <v>267</v>
      </c>
      <c r="AA740" t="s">
        <v>265</v>
      </c>
      <c r="AC740">
        <v>0</v>
      </c>
      <c r="AD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A740">
        <v>726624.00000000105</v>
      </c>
      <c r="BB740">
        <v>3763583</v>
      </c>
    </row>
    <row r="741" spans="1:54" x14ac:dyDescent="0.35">
      <c r="A741">
        <v>109811</v>
      </c>
      <c r="B741">
        <v>178</v>
      </c>
      <c r="C741" t="s">
        <v>135</v>
      </c>
      <c r="D741" s="15">
        <v>701012130922099</v>
      </c>
      <c r="E741">
        <v>0</v>
      </c>
      <c r="F741">
        <v>70</v>
      </c>
      <c r="G741" t="s">
        <v>136</v>
      </c>
      <c r="H741">
        <v>7010</v>
      </c>
      <c r="I741" t="s">
        <v>137</v>
      </c>
      <c r="M741">
        <v>12130922098</v>
      </c>
      <c r="N741" t="s">
        <v>160</v>
      </c>
      <c r="O741">
        <v>12130922098</v>
      </c>
      <c r="Q741" t="s">
        <v>262</v>
      </c>
      <c r="R741">
        <v>1</v>
      </c>
      <c r="S741">
        <v>36</v>
      </c>
      <c r="T741" t="s">
        <v>142</v>
      </c>
      <c r="AA741" t="s">
        <v>265</v>
      </c>
      <c r="AC741">
        <v>0</v>
      </c>
      <c r="AD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A741">
        <v>726642.00000000105</v>
      </c>
      <c r="BB741">
        <v>3763609</v>
      </c>
    </row>
    <row r="742" spans="1:54" x14ac:dyDescent="0.35">
      <c r="A742">
        <v>109810</v>
      </c>
      <c r="B742">
        <v>177</v>
      </c>
      <c r="C742" t="s">
        <v>135</v>
      </c>
      <c r="D742" s="15">
        <v>701012130922099</v>
      </c>
      <c r="F742">
        <v>70</v>
      </c>
      <c r="G742" t="s">
        <v>136</v>
      </c>
      <c r="H742">
        <v>7010</v>
      </c>
      <c r="I742" t="s">
        <v>137</v>
      </c>
      <c r="K742" t="s">
        <v>79</v>
      </c>
      <c r="M742">
        <v>12130922097</v>
      </c>
      <c r="N742" t="s">
        <v>160</v>
      </c>
      <c r="O742">
        <v>12130922097</v>
      </c>
      <c r="Q742" t="s">
        <v>262</v>
      </c>
      <c r="R742">
        <v>1</v>
      </c>
      <c r="S742">
        <v>36</v>
      </c>
      <c r="T742" t="s">
        <v>142</v>
      </c>
      <c r="AA742" t="s">
        <v>265</v>
      </c>
      <c r="AC742">
        <v>0</v>
      </c>
      <c r="AD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A742">
        <v>726664</v>
      </c>
      <c r="BB742">
        <v>3763638</v>
      </c>
    </row>
    <row r="743" spans="1:54" x14ac:dyDescent="0.35">
      <c r="A743">
        <v>109809</v>
      </c>
      <c r="B743">
        <v>176</v>
      </c>
      <c r="C743" t="s">
        <v>135</v>
      </c>
      <c r="D743" s="15">
        <v>701012130922097</v>
      </c>
      <c r="F743">
        <v>70</v>
      </c>
      <c r="G743" t="s">
        <v>136</v>
      </c>
      <c r="H743">
        <v>7010</v>
      </c>
      <c r="I743" t="s">
        <v>137</v>
      </c>
      <c r="K743" t="s">
        <v>138</v>
      </c>
      <c r="M743">
        <v>12130922097</v>
      </c>
      <c r="N743" t="s">
        <v>160</v>
      </c>
      <c r="O743">
        <v>12130922097</v>
      </c>
      <c r="P743" t="s">
        <v>147</v>
      </c>
      <c r="Q743" t="s">
        <v>262</v>
      </c>
      <c r="R743">
        <v>1</v>
      </c>
      <c r="S743">
        <v>36</v>
      </c>
      <c r="T743" t="s">
        <v>142</v>
      </c>
      <c r="U743" t="s">
        <v>267</v>
      </c>
      <c r="V743" t="s">
        <v>267</v>
      </c>
      <c r="W743" t="s">
        <v>267</v>
      </c>
      <c r="AA743" t="s">
        <v>265</v>
      </c>
      <c r="AC743">
        <v>0</v>
      </c>
      <c r="AD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A743">
        <v>726664</v>
      </c>
      <c r="BB743">
        <v>3763638</v>
      </c>
    </row>
    <row r="744" spans="1:54" x14ac:dyDescent="0.35">
      <c r="A744">
        <v>109808</v>
      </c>
      <c r="B744">
        <v>175</v>
      </c>
      <c r="C744" t="s">
        <v>135</v>
      </c>
      <c r="D744" s="15">
        <v>701012130922097</v>
      </c>
      <c r="F744">
        <v>70</v>
      </c>
      <c r="G744" t="s">
        <v>136</v>
      </c>
      <c r="H744">
        <v>7010</v>
      </c>
      <c r="I744" t="s">
        <v>137</v>
      </c>
      <c r="K744" t="s">
        <v>79</v>
      </c>
      <c r="M744">
        <v>12130922090</v>
      </c>
      <c r="N744" t="s">
        <v>160</v>
      </c>
      <c r="O744">
        <v>12130922090</v>
      </c>
      <c r="Q744" t="s">
        <v>262</v>
      </c>
      <c r="R744">
        <v>1</v>
      </c>
      <c r="S744">
        <v>36</v>
      </c>
      <c r="T744" t="s">
        <v>142</v>
      </c>
      <c r="AA744" t="s">
        <v>265</v>
      </c>
      <c r="AC744">
        <v>0</v>
      </c>
      <c r="AD744">
        <v>0</v>
      </c>
      <c r="AN744" t="s">
        <v>266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A744">
        <v>726689</v>
      </c>
      <c r="BB744">
        <v>3763674</v>
      </c>
    </row>
    <row r="745" spans="1:54" x14ac:dyDescent="0.35">
      <c r="A745">
        <v>109807</v>
      </c>
      <c r="B745">
        <v>174</v>
      </c>
      <c r="C745" t="s">
        <v>135</v>
      </c>
      <c r="D745" s="15">
        <v>701012130922094</v>
      </c>
      <c r="F745">
        <v>70</v>
      </c>
      <c r="G745" t="s">
        <v>136</v>
      </c>
      <c r="H745">
        <v>7010</v>
      </c>
      <c r="I745" t="s">
        <v>137</v>
      </c>
      <c r="K745" t="s">
        <v>138</v>
      </c>
      <c r="M745">
        <v>12130922094</v>
      </c>
      <c r="N745" t="s">
        <v>139</v>
      </c>
      <c r="O745">
        <v>12130922094</v>
      </c>
      <c r="P745" t="s">
        <v>140</v>
      </c>
      <c r="Q745" t="s">
        <v>141</v>
      </c>
      <c r="R745">
        <v>0</v>
      </c>
      <c r="T745" t="s">
        <v>146</v>
      </c>
      <c r="U745" t="s">
        <v>154</v>
      </c>
      <c r="V745" t="s">
        <v>154</v>
      </c>
      <c r="W745" t="s">
        <v>154</v>
      </c>
      <c r="X745" t="s">
        <v>154</v>
      </c>
      <c r="AA745" t="s">
        <v>144</v>
      </c>
      <c r="AB745" t="s">
        <v>250</v>
      </c>
      <c r="AC745">
        <v>0</v>
      </c>
      <c r="AD745">
        <v>100</v>
      </c>
      <c r="AE745" t="s">
        <v>147</v>
      </c>
      <c r="AF745" t="s">
        <v>148</v>
      </c>
      <c r="AG745" t="s">
        <v>149</v>
      </c>
      <c r="AH745" t="s">
        <v>234</v>
      </c>
      <c r="AJ745" t="s">
        <v>251</v>
      </c>
      <c r="AK745" t="s">
        <v>152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Z745" t="s">
        <v>252</v>
      </c>
      <c r="BA745">
        <v>726737.20000000205</v>
      </c>
      <c r="BB745">
        <v>3763631.4</v>
      </c>
    </row>
    <row r="746" spans="1:54" x14ac:dyDescent="0.35">
      <c r="A746">
        <v>109806</v>
      </c>
      <c r="B746">
        <v>173</v>
      </c>
      <c r="C746" t="s">
        <v>135</v>
      </c>
      <c r="D746" s="15">
        <v>701012130922094</v>
      </c>
      <c r="F746">
        <v>70</v>
      </c>
      <c r="G746" t="s">
        <v>136</v>
      </c>
      <c r="H746">
        <v>7010</v>
      </c>
      <c r="I746" t="s">
        <v>137</v>
      </c>
      <c r="K746" t="s">
        <v>79</v>
      </c>
      <c r="M746">
        <v>12130922093</v>
      </c>
      <c r="N746" t="s">
        <v>139</v>
      </c>
      <c r="O746">
        <v>12130922093</v>
      </c>
      <c r="Q746" t="s">
        <v>141</v>
      </c>
      <c r="R746">
        <v>0</v>
      </c>
      <c r="T746" t="s">
        <v>146</v>
      </c>
      <c r="AA746" t="s">
        <v>144</v>
      </c>
      <c r="AB746" t="s">
        <v>250</v>
      </c>
      <c r="AC746">
        <v>0</v>
      </c>
      <c r="AD746">
        <v>100</v>
      </c>
      <c r="AE746" t="s">
        <v>147</v>
      </c>
      <c r="AF746" t="s">
        <v>148</v>
      </c>
      <c r="AG746" t="s">
        <v>149</v>
      </c>
      <c r="AH746" t="s">
        <v>234</v>
      </c>
      <c r="AJ746" t="s">
        <v>251</v>
      </c>
      <c r="AK746" t="s">
        <v>152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Z746" t="s">
        <v>252</v>
      </c>
      <c r="BA746">
        <v>726737.10000000102</v>
      </c>
      <c r="BB746">
        <v>3763631.3</v>
      </c>
    </row>
    <row r="747" spans="1:54" x14ac:dyDescent="0.35">
      <c r="A747">
        <v>109805</v>
      </c>
      <c r="B747">
        <v>172</v>
      </c>
      <c r="C747" t="s">
        <v>135</v>
      </c>
      <c r="D747" s="15">
        <v>701012130922093</v>
      </c>
      <c r="F747">
        <v>70</v>
      </c>
      <c r="G747" t="s">
        <v>136</v>
      </c>
      <c r="H747">
        <v>7010</v>
      </c>
      <c r="I747" t="s">
        <v>137</v>
      </c>
      <c r="K747" t="s">
        <v>138</v>
      </c>
      <c r="M747">
        <v>12130922093</v>
      </c>
      <c r="N747" t="s">
        <v>160</v>
      </c>
      <c r="O747">
        <v>12130922093</v>
      </c>
      <c r="P747" t="s">
        <v>147</v>
      </c>
      <c r="Q747" t="s">
        <v>262</v>
      </c>
      <c r="R747">
        <v>0</v>
      </c>
      <c r="T747" t="s">
        <v>146</v>
      </c>
      <c r="U747" t="s">
        <v>263</v>
      </c>
      <c r="V747" t="s">
        <v>263</v>
      </c>
      <c r="W747" t="s">
        <v>263</v>
      </c>
      <c r="AA747" t="s">
        <v>264</v>
      </c>
      <c r="AB747" t="s">
        <v>250</v>
      </c>
      <c r="AC747">
        <v>0</v>
      </c>
      <c r="AD747">
        <v>100</v>
      </c>
      <c r="AE747" t="s">
        <v>147</v>
      </c>
      <c r="AF747" t="s">
        <v>148</v>
      </c>
      <c r="AG747" t="s">
        <v>149</v>
      </c>
      <c r="AH747" t="s">
        <v>234</v>
      </c>
      <c r="AJ747" t="s">
        <v>251</v>
      </c>
      <c r="AK747" t="s">
        <v>152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Z747" t="s">
        <v>252</v>
      </c>
      <c r="BA747">
        <v>726737.10000000102</v>
      </c>
      <c r="BB747">
        <v>3763631.3</v>
      </c>
    </row>
    <row r="748" spans="1:54" x14ac:dyDescent="0.35">
      <c r="A748">
        <v>109804</v>
      </c>
      <c r="B748">
        <v>171</v>
      </c>
      <c r="C748" t="s">
        <v>135</v>
      </c>
      <c r="D748" s="15">
        <v>701012130922093</v>
      </c>
      <c r="F748">
        <v>70</v>
      </c>
      <c r="G748" t="s">
        <v>136</v>
      </c>
      <c r="H748">
        <v>7010</v>
      </c>
      <c r="I748" t="s">
        <v>137</v>
      </c>
      <c r="K748" t="s">
        <v>79</v>
      </c>
      <c r="M748">
        <v>12130922092</v>
      </c>
      <c r="N748" t="s">
        <v>160</v>
      </c>
      <c r="O748">
        <v>12130922092</v>
      </c>
      <c r="Q748" t="s">
        <v>262</v>
      </c>
      <c r="R748">
        <v>1</v>
      </c>
      <c r="S748">
        <v>36</v>
      </c>
      <c r="T748" t="s">
        <v>142</v>
      </c>
      <c r="AA748" t="s">
        <v>265</v>
      </c>
      <c r="AC748">
        <v>0</v>
      </c>
      <c r="AD748">
        <v>0</v>
      </c>
      <c r="AN748" t="s">
        <v>266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A748">
        <v>726737.00000000105</v>
      </c>
      <c r="BB748">
        <v>3763631</v>
      </c>
    </row>
    <row r="749" spans="1:54" x14ac:dyDescent="0.35">
      <c r="A749">
        <v>109803</v>
      </c>
      <c r="B749">
        <v>170</v>
      </c>
      <c r="C749" t="s">
        <v>135</v>
      </c>
      <c r="D749" s="15">
        <v>701012130922092</v>
      </c>
      <c r="F749">
        <v>70</v>
      </c>
      <c r="G749" t="s">
        <v>136</v>
      </c>
      <c r="H749">
        <v>7010</v>
      </c>
      <c r="I749" t="s">
        <v>137</v>
      </c>
      <c r="K749" t="s">
        <v>138</v>
      </c>
      <c r="M749">
        <v>12130922092</v>
      </c>
      <c r="N749" t="s">
        <v>160</v>
      </c>
      <c r="O749">
        <v>12130922092</v>
      </c>
      <c r="P749" t="s">
        <v>147</v>
      </c>
      <c r="Q749" t="s">
        <v>262</v>
      </c>
      <c r="R749">
        <v>1</v>
      </c>
      <c r="S749">
        <v>36</v>
      </c>
      <c r="T749" t="s">
        <v>142</v>
      </c>
      <c r="U749" t="s">
        <v>263</v>
      </c>
      <c r="V749" t="s">
        <v>263</v>
      </c>
      <c r="W749" t="s">
        <v>263</v>
      </c>
      <c r="AA749" t="s">
        <v>265</v>
      </c>
      <c r="AC749">
        <v>0</v>
      </c>
      <c r="AD749">
        <v>0</v>
      </c>
      <c r="AN749" t="s">
        <v>266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A749">
        <v>726737.00000000105</v>
      </c>
      <c r="BB749">
        <v>3763631</v>
      </c>
    </row>
    <row r="750" spans="1:54" x14ac:dyDescent="0.35">
      <c r="A750">
        <v>109802</v>
      </c>
      <c r="B750">
        <v>169</v>
      </c>
      <c r="C750" t="s">
        <v>135</v>
      </c>
      <c r="D750" s="15">
        <v>701012130922092</v>
      </c>
      <c r="E750">
        <v>0</v>
      </c>
      <c r="F750">
        <v>70</v>
      </c>
      <c r="G750" t="s">
        <v>136</v>
      </c>
      <c r="H750">
        <v>7010</v>
      </c>
      <c r="I750" t="s">
        <v>137</v>
      </c>
      <c r="M750">
        <v>12130922091</v>
      </c>
      <c r="N750" t="s">
        <v>160</v>
      </c>
      <c r="O750">
        <v>12130922091</v>
      </c>
      <c r="Q750" t="s">
        <v>262</v>
      </c>
      <c r="R750">
        <v>1</v>
      </c>
      <c r="S750">
        <v>36</v>
      </c>
      <c r="T750" t="s">
        <v>142</v>
      </c>
      <c r="AA750" t="s">
        <v>265</v>
      </c>
      <c r="AC750">
        <v>0</v>
      </c>
      <c r="AD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A750">
        <v>726709.00000000105</v>
      </c>
      <c r="BB750">
        <v>3763660</v>
      </c>
    </row>
    <row r="751" spans="1:54" x14ac:dyDescent="0.35">
      <c r="A751">
        <v>109801</v>
      </c>
      <c r="B751">
        <v>168</v>
      </c>
      <c r="C751" t="s">
        <v>135</v>
      </c>
      <c r="D751" s="15">
        <v>701012130922092</v>
      </c>
      <c r="F751">
        <v>70</v>
      </c>
      <c r="G751" t="s">
        <v>136</v>
      </c>
      <c r="H751">
        <v>7010</v>
      </c>
      <c r="I751" t="s">
        <v>137</v>
      </c>
      <c r="K751" t="s">
        <v>79</v>
      </c>
      <c r="M751">
        <v>12130922090</v>
      </c>
      <c r="N751" t="s">
        <v>160</v>
      </c>
      <c r="O751">
        <v>12130922090</v>
      </c>
      <c r="Q751" t="s">
        <v>262</v>
      </c>
      <c r="R751">
        <v>1</v>
      </c>
      <c r="S751">
        <v>36</v>
      </c>
      <c r="T751" t="s">
        <v>142</v>
      </c>
      <c r="AA751" t="s">
        <v>265</v>
      </c>
      <c r="AC751">
        <v>0</v>
      </c>
      <c r="AD751">
        <v>0</v>
      </c>
      <c r="AN751" t="s">
        <v>266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A751">
        <v>726689</v>
      </c>
      <c r="BB751">
        <v>3763674</v>
      </c>
    </row>
    <row r="752" spans="1:54" x14ac:dyDescent="0.35">
      <c r="A752">
        <v>109800</v>
      </c>
      <c r="B752">
        <v>167</v>
      </c>
      <c r="C752" t="s">
        <v>135</v>
      </c>
      <c r="D752" s="15">
        <v>701012130922090</v>
      </c>
      <c r="F752">
        <v>70</v>
      </c>
      <c r="G752" t="s">
        <v>136</v>
      </c>
      <c r="H752">
        <v>7010</v>
      </c>
      <c r="I752" t="s">
        <v>137</v>
      </c>
      <c r="K752" t="s">
        <v>138</v>
      </c>
      <c r="M752">
        <v>12130922090</v>
      </c>
      <c r="N752" t="s">
        <v>160</v>
      </c>
      <c r="O752">
        <v>12130922090</v>
      </c>
      <c r="P752" t="s">
        <v>147</v>
      </c>
      <c r="Q752" t="s">
        <v>262</v>
      </c>
      <c r="R752">
        <v>1</v>
      </c>
      <c r="S752">
        <v>36</v>
      </c>
      <c r="T752" t="s">
        <v>142</v>
      </c>
      <c r="U752" t="s">
        <v>267</v>
      </c>
      <c r="V752" t="s">
        <v>267</v>
      </c>
      <c r="W752" t="s">
        <v>267</v>
      </c>
      <c r="AA752" t="s">
        <v>265</v>
      </c>
      <c r="AC752">
        <v>0</v>
      </c>
      <c r="AD752">
        <v>0</v>
      </c>
      <c r="AN752" t="s">
        <v>266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A752">
        <v>726689</v>
      </c>
      <c r="BB752">
        <v>3763674</v>
      </c>
    </row>
    <row r="753" spans="1:54" x14ac:dyDescent="0.35">
      <c r="A753">
        <v>109799</v>
      </c>
      <c r="B753">
        <v>166</v>
      </c>
      <c r="C753" t="s">
        <v>135</v>
      </c>
      <c r="D753" s="15">
        <v>701012130922090</v>
      </c>
      <c r="E753">
        <v>0</v>
      </c>
      <c r="F753">
        <v>70</v>
      </c>
      <c r="G753" t="s">
        <v>136</v>
      </c>
      <c r="H753">
        <v>7010</v>
      </c>
      <c r="I753" t="s">
        <v>137</v>
      </c>
      <c r="M753">
        <v>12130922089</v>
      </c>
      <c r="N753" t="s">
        <v>160</v>
      </c>
      <c r="O753">
        <v>12130922089</v>
      </c>
      <c r="Q753" t="s">
        <v>262</v>
      </c>
      <c r="R753">
        <v>1</v>
      </c>
      <c r="S753">
        <v>36</v>
      </c>
      <c r="T753" t="s">
        <v>142</v>
      </c>
      <c r="AA753" t="s">
        <v>265</v>
      </c>
      <c r="AC753">
        <v>0</v>
      </c>
      <c r="AD753">
        <v>0</v>
      </c>
      <c r="AN753" t="s">
        <v>266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A753">
        <v>726719.00000000105</v>
      </c>
      <c r="BB753">
        <v>3763717</v>
      </c>
    </row>
    <row r="754" spans="1:54" x14ac:dyDescent="0.35">
      <c r="A754">
        <v>109798</v>
      </c>
      <c r="B754">
        <v>165</v>
      </c>
      <c r="C754" t="s">
        <v>135</v>
      </c>
      <c r="D754" s="15">
        <v>701012130922090</v>
      </c>
      <c r="F754">
        <v>70</v>
      </c>
      <c r="G754" t="s">
        <v>136</v>
      </c>
      <c r="H754">
        <v>7010</v>
      </c>
      <c r="I754" t="s">
        <v>137</v>
      </c>
      <c r="K754" t="s">
        <v>79</v>
      </c>
      <c r="M754">
        <v>12130922086</v>
      </c>
      <c r="N754" t="s">
        <v>160</v>
      </c>
      <c r="O754">
        <v>12130922086</v>
      </c>
      <c r="Q754" t="s">
        <v>262</v>
      </c>
      <c r="R754">
        <v>1</v>
      </c>
      <c r="S754">
        <v>36</v>
      </c>
      <c r="T754" t="s">
        <v>142</v>
      </c>
      <c r="AA754" t="s">
        <v>265</v>
      </c>
      <c r="AC754">
        <v>0</v>
      </c>
      <c r="AD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A754">
        <v>726752.00000000105</v>
      </c>
      <c r="BB754">
        <v>3763763</v>
      </c>
    </row>
    <row r="755" spans="1:54" x14ac:dyDescent="0.35">
      <c r="A755">
        <v>109797</v>
      </c>
      <c r="B755">
        <v>164</v>
      </c>
      <c r="C755" t="s">
        <v>135</v>
      </c>
      <c r="D755" s="15">
        <v>701012130922088</v>
      </c>
      <c r="F755">
        <v>70</v>
      </c>
      <c r="G755" t="s">
        <v>136</v>
      </c>
      <c r="H755">
        <v>7010</v>
      </c>
      <c r="I755" t="s">
        <v>137</v>
      </c>
      <c r="K755" t="s">
        <v>138</v>
      </c>
      <c r="M755">
        <v>12130922088</v>
      </c>
      <c r="N755" t="s">
        <v>139</v>
      </c>
      <c r="O755">
        <v>12130922088</v>
      </c>
      <c r="P755" t="s">
        <v>140</v>
      </c>
      <c r="Q755" t="s">
        <v>141</v>
      </c>
      <c r="R755">
        <v>0</v>
      </c>
      <c r="T755" t="s">
        <v>146</v>
      </c>
      <c r="U755" t="s">
        <v>188</v>
      </c>
      <c r="V755" t="s">
        <v>188</v>
      </c>
      <c r="W755" t="s">
        <v>188</v>
      </c>
      <c r="X755" t="s">
        <v>188</v>
      </c>
      <c r="AA755" t="s">
        <v>144</v>
      </c>
      <c r="AB755" t="s">
        <v>312</v>
      </c>
      <c r="AC755">
        <v>0</v>
      </c>
      <c r="AD755">
        <v>100</v>
      </c>
      <c r="AE755" t="s">
        <v>147</v>
      </c>
      <c r="AF755" t="s">
        <v>273</v>
      </c>
      <c r="AG755" t="s">
        <v>149</v>
      </c>
      <c r="AH755" t="s">
        <v>161</v>
      </c>
      <c r="AI755" t="s">
        <v>313</v>
      </c>
      <c r="AJ755" t="s">
        <v>288</v>
      </c>
      <c r="AK755" t="s">
        <v>152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Z755" t="s">
        <v>314</v>
      </c>
      <c r="BA755">
        <v>726749.00000000105</v>
      </c>
      <c r="BB755">
        <v>3763763</v>
      </c>
    </row>
    <row r="756" spans="1:54" x14ac:dyDescent="0.35">
      <c r="A756">
        <v>109796</v>
      </c>
      <c r="B756">
        <v>163</v>
      </c>
      <c r="C756" t="s">
        <v>135</v>
      </c>
      <c r="D756" s="15">
        <v>701012130922088</v>
      </c>
      <c r="F756">
        <v>70</v>
      </c>
      <c r="G756" t="s">
        <v>136</v>
      </c>
      <c r="H756">
        <v>7010</v>
      </c>
      <c r="I756" t="s">
        <v>137</v>
      </c>
      <c r="K756" t="s">
        <v>79</v>
      </c>
      <c r="M756">
        <v>12130922087</v>
      </c>
      <c r="N756" t="s">
        <v>139</v>
      </c>
      <c r="O756">
        <v>12130922087</v>
      </c>
      <c r="Q756" t="s">
        <v>141</v>
      </c>
      <c r="R756">
        <v>0</v>
      </c>
      <c r="T756" t="s">
        <v>146</v>
      </c>
      <c r="AA756" t="s">
        <v>144</v>
      </c>
      <c r="AB756" t="s">
        <v>312</v>
      </c>
      <c r="AC756">
        <v>0</v>
      </c>
      <c r="AD756">
        <v>100</v>
      </c>
      <c r="AE756" t="s">
        <v>147</v>
      </c>
      <c r="AF756" t="s">
        <v>273</v>
      </c>
      <c r="AG756" t="s">
        <v>149</v>
      </c>
      <c r="AH756" t="s">
        <v>161</v>
      </c>
      <c r="AI756" t="s">
        <v>313</v>
      </c>
      <c r="AJ756" t="s">
        <v>288</v>
      </c>
      <c r="AK756" t="s">
        <v>152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Z756" t="s">
        <v>314</v>
      </c>
      <c r="BA756">
        <v>726750.00000000105</v>
      </c>
      <c r="BB756">
        <v>3763763</v>
      </c>
    </row>
    <row r="757" spans="1:54" x14ac:dyDescent="0.35">
      <c r="A757">
        <v>109795</v>
      </c>
      <c r="B757">
        <v>162</v>
      </c>
      <c r="C757" t="s">
        <v>135</v>
      </c>
      <c r="D757" s="15">
        <v>701012130922087</v>
      </c>
      <c r="F757">
        <v>70</v>
      </c>
      <c r="G757" t="s">
        <v>136</v>
      </c>
      <c r="H757">
        <v>7010</v>
      </c>
      <c r="I757" t="s">
        <v>137</v>
      </c>
      <c r="K757" t="s">
        <v>138</v>
      </c>
      <c r="M757">
        <v>12130922087</v>
      </c>
      <c r="N757" t="s">
        <v>160</v>
      </c>
      <c r="O757">
        <v>12130922087</v>
      </c>
      <c r="P757" t="s">
        <v>147</v>
      </c>
      <c r="Q757" t="s">
        <v>262</v>
      </c>
      <c r="R757">
        <v>0</v>
      </c>
      <c r="T757" t="s">
        <v>146</v>
      </c>
      <c r="U757" t="s">
        <v>263</v>
      </c>
      <c r="V757" t="s">
        <v>263</v>
      </c>
      <c r="W757" t="s">
        <v>263</v>
      </c>
      <c r="AA757" t="s">
        <v>264</v>
      </c>
      <c r="AB757" t="s">
        <v>312</v>
      </c>
      <c r="AC757">
        <v>0</v>
      </c>
      <c r="AD757">
        <v>100</v>
      </c>
      <c r="AE757" t="s">
        <v>147</v>
      </c>
      <c r="AF757" t="s">
        <v>273</v>
      </c>
      <c r="AG757" t="s">
        <v>149</v>
      </c>
      <c r="AH757" t="s">
        <v>161</v>
      </c>
      <c r="AI757" t="s">
        <v>313</v>
      </c>
      <c r="AJ757" t="s">
        <v>288</v>
      </c>
      <c r="AK757" t="s">
        <v>152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Z757" t="s">
        <v>314</v>
      </c>
      <c r="BA757">
        <v>726750.00000000105</v>
      </c>
      <c r="BB757">
        <v>3763763</v>
      </c>
    </row>
    <row r="758" spans="1:54" x14ac:dyDescent="0.35">
      <c r="A758">
        <v>109794</v>
      </c>
      <c r="B758">
        <v>161</v>
      </c>
      <c r="C758" t="s">
        <v>135</v>
      </c>
      <c r="D758" s="15">
        <v>701012130922087</v>
      </c>
      <c r="F758">
        <v>70</v>
      </c>
      <c r="G758" t="s">
        <v>136</v>
      </c>
      <c r="H758">
        <v>7010</v>
      </c>
      <c r="I758" t="s">
        <v>137</v>
      </c>
      <c r="K758" t="s">
        <v>79</v>
      </c>
      <c r="M758">
        <v>12130922086</v>
      </c>
      <c r="N758" t="s">
        <v>160</v>
      </c>
      <c r="O758">
        <v>12130922086</v>
      </c>
      <c r="Q758" t="s">
        <v>262</v>
      </c>
      <c r="R758">
        <v>1</v>
      </c>
      <c r="S758">
        <v>58</v>
      </c>
      <c r="T758" t="s">
        <v>222</v>
      </c>
      <c r="AA758" t="s">
        <v>265</v>
      </c>
      <c r="AC758">
        <v>0</v>
      </c>
      <c r="AD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A758">
        <v>726752.00000000105</v>
      </c>
      <c r="BB758">
        <v>3763763</v>
      </c>
    </row>
    <row r="759" spans="1:54" x14ac:dyDescent="0.35">
      <c r="A759">
        <v>109793</v>
      </c>
      <c r="B759">
        <v>160</v>
      </c>
      <c r="C759" t="s">
        <v>135</v>
      </c>
      <c r="D759" s="15">
        <v>701012130922086</v>
      </c>
      <c r="F759">
        <v>70</v>
      </c>
      <c r="G759" t="s">
        <v>136</v>
      </c>
      <c r="H759">
        <v>7010</v>
      </c>
      <c r="I759" t="s">
        <v>137</v>
      </c>
      <c r="K759" t="s">
        <v>138</v>
      </c>
      <c r="M759">
        <v>12130922086</v>
      </c>
      <c r="N759" t="s">
        <v>160</v>
      </c>
      <c r="O759">
        <v>12130922086</v>
      </c>
      <c r="P759" t="s">
        <v>147</v>
      </c>
      <c r="Q759" t="s">
        <v>262</v>
      </c>
      <c r="R759">
        <v>1</v>
      </c>
      <c r="S759">
        <v>58</v>
      </c>
      <c r="T759" t="s">
        <v>222</v>
      </c>
      <c r="U759" t="s">
        <v>267</v>
      </c>
      <c r="V759" t="s">
        <v>267</v>
      </c>
      <c r="W759" t="s">
        <v>267</v>
      </c>
      <c r="AA759" t="s">
        <v>265</v>
      </c>
      <c r="AC759">
        <v>0</v>
      </c>
      <c r="AD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A759">
        <v>726752.00000000105</v>
      </c>
      <c r="BB759">
        <v>3763763</v>
      </c>
    </row>
    <row r="760" spans="1:54" x14ac:dyDescent="0.35">
      <c r="A760">
        <v>109792</v>
      </c>
      <c r="B760">
        <v>159</v>
      </c>
      <c r="C760" t="s">
        <v>135</v>
      </c>
      <c r="D760" s="15">
        <v>701012130922086</v>
      </c>
      <c r="F760">
        <v>70</v>
      </c>
      <c r="G760" t="s">
        <v>136</v>
      </c>
      <c r="H760">
        <v>7010</v>
      </c>
      <c r="I760" t="s">
        <v>137</v>
      </c>
      <c r="K760" t="s">
        <v>79</v>
      </c>
      <c r="M760">
        <v>12130922079</v>
      </c>
      <c r="N760" t="s">
        <v>160</v>
      </c>
      <c r="O760">
        <v>12130922079</v>
      </c>
      <c r="Q760" t="s">
        <v>262</v>
      </c>
      <c r="R760">
        <v>1</v>
      </c>
      <c r="S760">
        <v>58</v>
      </c>
      <c r="T760" t="s">
        <v>222</v>
      </c>
      <c r="AA760" t="s">
        <v>265</v>
      </c>
      <c r="AC760">
        <v>0</v>
      </c>
      <c r="AD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A760">
        <v>726778.00000000105</v>
      </c>
      <c r="BB760">
        <v>3763793</v>
      </c>
    </row>
    <row r="761" spans="1:54" x14ac:dyDescent="0.35">
      <c r="A761">
        <v>109791</v>
      </c>
      <c r="B761">
        <v>158</v>
      </c>
      <c r="C761" t="s">
        <v>135</v>
      </c>
      <c r="D761" s="15">
        <v>701012130922081</v>
      </c>
      <c r="F761">
        <v>70</v>
      </c>
      <c r="G761" t="s">
        <v>136</v>
      </c>
      <c r="H761">
        <v>7010</v>
      </c>
      <c r="I761" t="s">
        <v>137</v>
      </c>
      <c r="K761" t="s">
        <v>138</v>
      </c>
      <c r="M761">
        <v>12130922081</v>
      </c>
      <c r="N761" t="s">
        <v>139</v>
      </c>
      <c r="O761">
        <v>12130922081</v>
      </c>
      <c r="P761" t="s">
        <v>140</v>
      </c>
      <c r="Q761" t="s">
        <v>141</v>
      </c>
      <c r="R761">
        <v>0</v>
      </c>
      <c r="T761" t="s">
        <v>146</v>
      </c>
      <c r="U761" t="s">
        <v>188</v>
      </c>
      <c r="V761" t="s">
        <v>188</v>
      </c>
      <c r="W761" t="s">
        <v>188</v>
      </c>
      <c r="X761" t="s">
        <v>188</v>
      </c>
      <c r="AA761" t="s">
        <v>144</v>
      </c>
      <c r="AB761" t="s">
        <v>253</v>
      </c>
      <c r="AC761">
        <v>0</v>
      </c>
      <c r="AD761">
        <v>100</v>
      </c>
      <c r="AE761" t="s">
        <v>147</v>
      </c>
      <c r="AF761" t="s">
        <v>148</v>
      </c>
      <c r="AG761" t="s">
        <v>149</v>
      </c>
      <c r="AH761" t="s">
        <v>255</v>
      </c>
      <c r="AJ761" t="s">
        <v>256</v>
      </c>
      <c r="AK761" t="s">
        <v>186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Z761" t="s">
        <v>257</v>
      </c>
      <c r="BA761">
        <v>726778.20000000205</v>
      </c>
      <c r="BB761">
        <v>3763793.5</v>
      </c>
    </row>
    <row r="762" spans="1:54" x14ac:dyDescent="0.35">
      <c r="A762">
        <v>109790</v>
      </c>
      <c r="B762">
        <v>157</v>
      </c>
      <c r="C762" t="s">
        <v>135</v>
      </c>
      <c r="D762" s="15">
        <v>701012130922081</v>
      </c>
      <c r="F762">
        <v>70</v>
      </c>
      <c r="G762" t="s">
        <v>136</v>
      </c>
      <c r="H762">
        <v>7010</v>
      </c>
      <c r="I762" t="s">
        <v>137</v>
      </c>
      <c r="K762" t="s">
        <v>79</v>
      </c>
      <c r="M762">
        <v>12130922080</v>
      </c>
      <c r="N762" t="s">
        <v>139</v>
      </c>
      <c r="O762">
        <v>12130922080</v>
      </c>
      <c r="Q762" t="s">
        <v>141</v>
      </c>
      <c r="R762">
        <v>0</v>
      </c>
      <c r="T762" t="s">
        <v>146</v>
      </c>
      <c r="AA762" t="s">
        <v>144</v>
      </c>
      <c r="AB762" t="s">
        <v>253</v>
      </c>
      <c r="AC762">
        <v>0</v>
      </c>
      <c r="AD762">
        <v>100</v>
      </c>
      <c r="AE762" t="s">
        <v>147</v>
      </c>
      <c r="AF762" t="s">
        <v>148</v>
      </c>
      <c r="AG762" t="s">
        <v>149</v>
      </c>
      <c r="AH762" t="s">
        <v>255</v>
      </c>
      <c r="AJ762" t="s">
        <v>256</v>
      </c>
      <c r="AK762" t="s">
        <v>186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Z762" t="s">
        <v>257</v>
      </c>
      <c r="BA762">
        <v>726778.10000000102</v>
      </c>
      <c r="BB762">
        <v>3763793.3</v>
      </c>
    </row>
    <row r="763" spans="1:54" x14ac:dyDescent="0.35">
      <c r="A763">
        <v>109789</v>
      </c>
      <c r="B763">
        <v>156</v>
      </c>
      <c r="C763" t="s">
        <v>135</v>
      </c>
      <c r="D763" s="15">
        <v>701012130922080</v>
      </c>
      <c r="F763">
        <v>70</v>
      </c>
      <c r="G763" t="s">
        <v>136</v>
      </c>
      <c r="H763">
        <v>7010</v>
      </c>
      <c r="I763" t="s">
        <v>137</v>
      </c>
      <c r="K763" t="s">
        <v>138</v>
      </c>
      <c r="M763">
        <v>12130922080</v>
      </c>
      <c r="N763" t="s">
        <v>160</v>
      </c>
      <c r="O763">
        <v>12130922080</v>
      </c>
      <c r="P763" t="s">
        <v>147</v>
      </c>
      <c r="Q763" t="s">
        <v>262</v>
      </c>
      <c r="R763">
        <v>0</v>
      </c>
      <c r="T763" t="s">
        <v>146</v>
      </c>
      <c r="U763" t="s">
        <v>263</v>
      </c>
      <c r="V763" t="s">
        <v>263</v>
      </c>
      <c r="W763" t="s">
        <v>263</v>
      </c>
      <c r="AA763" t="s">
        <v>264</v>
      </c>
      <c r="AB763" t="s">
        <v>253</v>
      </c>
      <c r="AC763">
        <v>0</v>
      </c>
      <c r="AD763">
        <v>100</v>
      </c>
      <c r="AE763" t="s">
        <v>147</v>
      </c>
      <c r="AF763" t="s">
        <v>148</v>
      </c>
      <c r="AG763" t="s">
        <v>149</v>
      </c>
      <c r="AH763" t="s">
        <v>255</v>
      </c>
      <c r="AJ763" t="s">
        <v>256</v>
      </c>
      <c r="AK763" t="s">
        <v>186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Z763" t="s">
        <v>257</v>
      </c>
      <c r="BA763">
        <v>726778.10000000102</v>
      </c>
      <c r="BB763">
        <v>3763793.3</v>
      </c>
    </row>
    <row r="764" spans="1:54" x14ac:dyDescent="0.35">
      <c r="A764">
        <v>109788</v>
      </c>
      <c r="B764">
        <v>155</v>
      </c>
      <c r="C764" t="s">
        <v>135</v>
      </c>
      <c r="D764" s="15">
        <v>701012130922080</v>
      </c>
      <c r="F764">
        <v>70</v>
      </c>
      <c r="G764" t="s">
        <v>136</v>
      </c>
      <c r="H764">
        <v>7010</v>
      </c>
      <c r="I764" t="s">
        <v>137</v>
      </c>
      <c r="K764" t="s">
        <v>79</v>
      </c>
      <c r="M764">
        <v>12130922079</v>
      </c>
      <c r="N764" t="s">
        <v>160</v>
      </c>
      <c r="O764">
        <v>12130922079</v>
      </c>
      <c r="Q764" t="s">
        <v>262</v>
      </c>
      <c r="R764">
        <v>1</v>
      </c>
      <c r="S764">
        <v>58</v>
      </c>
      <c r="T764" t="s">
        <v>222</v>
      </c>
      <c r="AA764" t="s">
        <v>265</v>
      </c>
      <c r="AC764">
        <v>0</v>
      </c>
      <c r="AD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A764">
        <v>726778.00000000105</v>
      </c>
      <c r="BB764">
        <v>3763793</v>
      </c>
    </row>
    <row r="765" spans="1:54" x14ac:dyDescent="0.35">
      <c r="A765">
        <v>109787</v>
      </c>
      <c r="B765">
        <v>154</v>
      </c>
      <c r="C765" t="s">
        <v>135</v>
      </c>
      <c r="D765" s="15">
        <v>701012130922079</v>
      </c>
      <c r="F765">
        <v>70</v>
      </c>
      <c r="G765" t="s">
        <v>136</v>
      </c>
      <c r="H765">
        <v>7010</v>
      </c>
      <c r="I765" t="s">
        <v>137</v>
      </c>
      <c r="K765" t="s">
        <v>138</v>
      </c>
      <c r="M765">
        <v>12130922079</v>
      </c>
      <c r="N765" t="s">
        <v>160</v>
      </c>
      <c r="O765">
        <v>12130922079</v>
      </c>
      <c r="P765" t="s">
        <v>147</v>
      </c>
      <c r="Q765" t="s">
        <v>262</v>
      </c>
      <c r="R765">
        <v>1</v>
      </c>
      <c r="S765">
        <v>58</v>
      </c>
      <c r="T765" t="s">
        <v>222</v>
      </c>
      <c r="U765" t="s">
        <v>267</v>
      </c>
      <c r="V765" t="s">
        <v>267</v>
      </c>
      <c r="W765" t="s">
        <v>267</v>
      </c>
      <c r="AA765" t="s">
        <v>265</v>
      </c>
      <c r="AC765">
        <v>0</v>
      </c>
      <c r="AD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A765">
        <v>726778.00000000105</v>
      </c>
      <c r="BB765">
        <v>3763793</v>
      </c>
    </row>
    <row r="766" spans="1:54" x14ac:dyDescent="0.35">
      <c r="A766">
        <v>109786</v>
      </c>
      <c r="B766">
        <v>153</v>
      </c>
      <c r="C766" t="s">
        <v>135</v>
      </c>
      <c r="D766" s="15">
        <v>701012130922079</v>
      </c>
      <c r="F766">
        <v>70</v>
      </c>
      <c r="G766" t="s">
        <v>136</v>
      </c>
      <c r="H766">
        <v>7010</v>
      </c>
      <c r="I766" t="s">
        <v>137</v>
      </c>
      <c r="K766" t="s">
        <v>79</v>
      </c>
      <c r="M766">
        <v>12130922071</v>
      </c>
      <c r="N766" t="s">
        <v>160</v>
      </c>
      <c r="O766">
        <v>12130922071</v>
      </c>
      <c r="Q766" t="s">
        <v>262</v>
      </c>
      <c r="R766">
        <v>1</v>
      </c>
      <c r="S766">
        <v>36</v>
      </c>
      <c r="T766" t="s">
        <v>142</v>
      </c>
      <c r="AA766" t="s">
        <v>265</v>
      </c>
      <c r="AC766">
        <v>0</v>
      </c>
      <c r="AD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A766">
        <v>726816.00000000105</v>
      </c>
      <c r="BB766">
        <v>3763849</v>
      </c>
    </row>
    <row r="767" spans="1:54" x14ac:dyDescent="0.35">
      <c r="A767">
        <v>109785</v>
      </c>
      <c r="B767">
        <v>152</v>
      </c>
      <c r="C767" t="s">
        <v>135</v>
      </c>
      <c r="D767" s="15">
        <v>701012130922075</v>
      </c>
      <c r="F767">
        <v>70</v>
      </c>
      <c r="G767" t="s">
        <v>136</v>
      </c>
      <c r="H767">
        <v>7010</v>
      </c>
      <c r="I767" t="s">
        <v>137</v>
      </c>
      <c r="K767" t="s">
        <v>138</v>
      </c>
      <c r="M767">
        <v>12130922075</v>
      </c>
      <c r="N767" t="s">
        <v>139</v>
      </c>
      <c r="O767">
        <v>12130922075</v>
      </c>
      <c r="P767" t="s">
        <v>140</v>
      </c>
      <c r="Q767" t="s">
        <v>141</v>
      </c>
      <c r="R767">
        <v>0</v>
      </c>
      <c r="T767" t="s">
        <v>146</v>
      </c>
      <c r="U767" t="s">
        <v>188</v>
      </c>
      <c r="V767" t="s">
        <v>188</v>
      </c>
      <c r="W767" t="s">
        <v>188</v>
      </c>
      <c r="X767" t="s">
        <v>188</v>
      </c>
      <c r="AA767" t="s">
        <v>144</v>
      </c>
      <c r="AB767" t="s">
        <v>315</v>
      </c>
      <c r="AC767">
        <v>0</v>
      </c>
      <c r="AD767">
        <v>200</v>
      </c>
      <c r="AE767" t="s">
        <v>147</v>
      </c>
      <c r="AF767" t="s">
        <v>273</v>
      </c>
      <c r="AG767" t="s">
        <v>149</v>
      </c>
      <c r="AH767" t="s">
        <v>150</v>
      </c>
      <c r="AJ767" t="s">
        <v>316</v>
      </c>
      <c r="AK767" t="s">
        <v>304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Z767" t="s">
        <v>317</v>
      </c>
      <c r="BA767">
        <v>726791.10000000102</v>
      </c>
      <c r="BB767">
        <v>3763823.4</v>
      </c>
    </row>
    <row r="768" spans="1:54" x14ac:dyDescent="0.35">
      <c r="A768">
        <v>109784</v>
      </c>
      <c r="B768">
        <v>151</v>
      </c>
      <c r="C768" t="s">
        <v>135</v>
      </c>
      <c r="D768" s="15">
        <v>701012130922075</v>
      </c>
      <c r="F768">
        <v>70</v>
      </c>
      <c r="G768" t="s">
        <v>136</v>
      </c>
      <c r="H768">
        <v>7010</v>
      </c>
      <c r="I768" t="s">
        <v>137</v>
      </c>
      <c r="K768" t="s">
        <v>79</v>
      </c>
      <c r="M768">
        <v>12130922074</v>
      </c>
      <c r="N768" t="s">
        <v>139</v>
      </c>
      <c r="O768">
        <v>12130922074</v>
      </c>
      <c r="Q768" t="s">
        <v>141</v>
      </c>
      <c r="R768">
        <v>0</v>
      </c>
      <c r="T768" t="s">
        <v>146</v>
      </c>
      <c r="AA768" t="s">
        <v>144</v>
      </c>
      <c r="AB768" t="s">
        <v>315</v>
      </c>
      <c r="AC768">
        <v>0</v>
      </c>
      <c r="AD768">
        <v>200</v>
      </c>
      <c r="AE768" t="s">
        <v>147</v>
      </c>
      <c r="AF768" t="s">
        <v>273</v>
      </c>
      <c r="AG768" t="s">
        <v>149</v>
      </c>
      <c r="AH768" t="s">
        <v>150</v>
      </c>
      <c r="AJ768" t="s">
        <v>316</v>
      </c>
      <c r="AK768" t="s">
        <v>304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Z768" t="s">
        <v>317</v>
      </c>
      <c r="BA768">
        <v>726791</v>
      </c>
      <c r="BB768">
        <v>3763823</v>
      </c>
    </row>
    <row r="769" spans="1:54" x14ac:dyDescent="0.35">
      <c r="A769">
        <v>109783</v>
      </c>
      <c r="B769">
        <v>150</v>
      </c>
      <c r="C769" t="s">
        <v>135</v>
      </c>
      <c r="D769" s="15">
        <v>701012130922074</v>
      </c>
      <c r="F769">
        <v>70</v>
      </c>
      <c r="G769" t="s">
        <v>136</v>
      </c>
      <c r="H769">
        <v>7010</v>
      </c>
      <c r="I769" t="s">
        <v>137</v>
      </c>
      <c r="K769" t="s">
        <v>138</v>
      </c>
      <c r="M769">
        <v>12130922074</v>
      </c>
      <c r="N769" t="s">
        <v>160</v>
      </c>
      <c r="O769">
        <v>12130922074</v>
      </c>
      <c r="P769" t="s">
        <v>147</v>
      </c>
      <c r="Q769" t="s">
        <v>262</v>
      </c>
      <c r="R769">
        <v>0</v>
      </c>
      <c r="T769" t="s">
        <v>146</v>
      </c>
      <c r="U769" t="s">
        <v>318</v>
      </c>
      <c r="V769" t="s">
        <v>318</v>
      </c>
      <c r="W769" t="s">
        <v>318</v>
      </c>
      <c r="AA769" t="s">
        <v>264</v>
      </c>
      <c r="AB769" t="s">
        <v>315</v>
      </c>
      <c r="AC769">
        <v>0</v>
      </c>
      <c r="AD769">
        <v>200</v>
      </c>
      <c r="AE769" t="s">
        <v>147</v>
      </c>
      <c r="AF769" t="s">
        <v>273</v>
      </c>
      <c r="AG769" t="s">
        <v>149</v>
      </c>
      <c r="AH769" t="s">
        <v>150</v>
      </c>
      <c r="AJ769" t="s">
        <v>316</v>
      </c>
      <c r="AK769" t="s">
        <v>304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Z769" t="s">
        <v>317</v>
      </c>
      <c r="BA769">
        <v>726791</v>
      </c>
      <c r="BB769">
        <v>3763823</v>
      </c>
    </row>
    <row r="770" spans="1:54" x14ac:dyDescent="0.35">
      <c r="A770">
        <v>109782</v>
      </c>
      <c r="B770">
        <v>149</v>
      </c>
      <c r="C770" t="s">
        <v>135</v>
      </c>
      <c r="D770" s="15">
        <v>701012130922074</v>
      </c>
      <c r="F770">
        <v>70</v>
      </c>
      <c r="G770" t="s">
        <v>136</v>
      </c>
      <c r="H770">
        <v>7010</v>
      </c>
      <c r="I770" t="s">
        <v>137</v>
      </c>
      <c r="K770" t="s">
        <v>79</v>
      </c>
      <c r="M770">
        <v>12130922071</v>
      </c>
      <c r="N770" t="s">
        <v>160</v>
      </c>
      <c r="O770">
        <v>12130922071</v>
      </c>
      <c r="Q770" t="s">
        <v>262</v>
      </c>
      <c r="R770">
        <v>1</v>
      </c>
      <c r="S770">
        <v>36</v>
      </c>
      <c r="T770" t="s">
        <v>142</v>
      </c>
      <c r="AA770" t="s">
        <v>265</v>
      </c>
      <c r="AC770">
        <v>0</v>
      </c>
      <c r="AD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A770">
        <v>726816.00000000105</v>
      </c>
      <c r="BB770">
        <v>3763849</v>
      </c>
    </row>
    <row r="771" spans="1:54" x14ac:dyDescent="0.35">
      <c r="A771">
        <v>109781</v>
      </c>
      <c r="B771">
        <v>148</v>
      </c>
      <c r="C771" t="s">
        <v>135</v>
      </c>
      <c r="D771" s="15">
        <v>701012130922073</v>
      </c>
      <c r="F771">
        <v>70</v>
      </c>
      <c r="G771" t="s">
        <v>136</v>
      </c>
      <c r="H771">
        <v>7010</v>
      </c>
      <c r="I771" t="s">
        <v>137</v>
      </c>
      <c r="K771" t="s">
        <v>138</v>
      </c>
      <c r="M771">
        <v>12130922073</v>
      </c>
      <c r="N771" t="s">
        <v>139</v>
      </c>
      <c r="O771">
        <v>12130922073</v>
      </c>
      <c r="P771" t="s">
        <v>140</v>
      </c>
      <c r="Q771" t="s">
        <v>141</v>
      </c>
      <c r="R771">
        <v>0</v>
      </c>
      <c r="T771" t="s">
        <v>146</v>
      </c>
      <c r="U771" t="s">
        <v>143</v>
      </c>
      <c r="V771" t="s">
        <v>143</v>
      </c>
      <c r="W771" t="s">
        <v>143</v>
      </c>
      <c r="X771" t="s">
        <v>143</v>
      </c>
      <c r="AA771" t="s">
        <v>144</v>
      </c>
      <c r="AB771" t="s">
        <v>258</v>
      </c>
      <c r="AC771">
        <v>0</v>
      </c>
      <c r="AD771">
        <v>100</v>
      </c>
      <c r="AE771" t="s">
        <v>147</v>
      </c>
      <c r="AF771" t="s">
        <v>148</v>
      </c>
      <c r="AG771" t="s">
        <v>149</v>
      </c>
      <c r="AH771" t="s">
        <v>182</v>
      </c>
      <c r="AJ771" t="s">
        <v>260</v>
      </c>
      <c r="AK771" t="s">
        <v>152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Z771" t="s">
        <v>261</v>
      </c>
      <c r="BA771">
        <v>726816.00000000105</v>
      </c>
      <c r="BB771">
        <v>3763847</v>
      </c>
    </row>
    <row r="772" spans="1:54" x14ac:dyDescent="0.35">
      <c r="A772">
        <v>109780</v>
      </c>
      <c r="B772">
        <v>147</v>
      </c>
      <c r="C772" t="s">
        <v>135</v>
      </c>
      <c r="D772" s="15">
        <v>701012130922073</v>
      </c>
      <c r="F772">
        <v>70</v>
      </c>
      <c r="G772" t="s">
        <v>136</v>
      </c>
      <c r="H772">
        <v>7010</v>
      </c>
      <c r="I772" t="s">
        <v>137</v>
      </c>
      <c r="K772" t="s">
        <v>79</v>
      </c>
      <c r="M772">
        <v>12130922072</v>
      </c>
      <c r="N772" t="s">
        <v>139</v>
      </c>
      <c r="O772">
        <v>12130922072</v>
      </c>
      <c r="Q772" t="s">
        <v>141</v>
      </c>
      <c r="R772">
        <v>0</v>
      </c>
      <c r="T772" t="s">
        <v>146</v>
      </c>
      <c r="AA772" t="s">
        <v>144</v>
      </c>
      <c r="AB772" t="s">
        <v>258</v>
      </c>
      <c r="AC772">
        <v>0</v>
      </c>
      <c r="AD772">
        <v>100</v>
      </c>
      <c r="AE772" t="s">
        <v>147</v>
      </c>
      <c r="AF772" t="s">
        <v>148</v>
      </c>
      <c r="AG772" t="s">
        <v>149</v>
      </c>
      <c r="AH772" t="s">
        <v>182</v>
      </c>
      <c r="AJ772" t="s">
        <v>260</v>
      </c>
      <c r="AK772" t="s">
        <v>152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Z772" t="s">
        <v>261</v>
      </c>
      <c r="BA772">
        <v>726816.00000000105</v>
      </c>
      <c r="BB772">
        <v>3763848</v>
      </c>
    </row>
    <row r="773" spans="1:54" x14ac:dyDescent="0.35">
      <c r="A773">
        <v>109779</v>
      </c>
      <c r="B773">
        <v>146</v>
      </c>
      <c r="C773" t="s">
        <v>135</v>
      </c>
      <c r="D773" s="15">
        <v>701012130922072</v>
      </c>
      <c r="F773">
        <v>70</v>
      </c>
      <c r="G773" t="s">
        <v>136</v>
      </c>
      <c r="H773">
        <v>7010</v>
      </c>
      <c r="I773" t="s">
        <v>137</v>
      </c>
      <c r="K773" t="s">
        <v>138</v>
      </c>
      <c r="M773">
        <v>12130922072</v>
      </c>
      <c r="N773" t="s">
        <v>160</v>
      </c>
      <c r="O773">
        <v>12130922072</v>
      </c>
      <c r="P773" t="s">
        <v>147</v>
      </c>
      <c r="Q773" t="s">
        <v>262</v>
      </c>
      <c r="R773">
        <v>0</v>
      </c>
      <c r="T773" t="s">
        <v>146</v>
      </c>
      <c r="U773" t="s">
        <v>263</v>
      </c>
      <c r="V773" t="s">
        <v>263</v>
      </c>
      <c r="W773" t="s">
        <v>263</v>
      </c>
      <c r="AA773" t="s">
        <v>264</v>
      </c>
      <c r="AB773" t="s">
        <v>258</v>
      </c>
      <c r="AC773">
        <v>0</v>
      </c>
      <c r="AD773">
        <v>100</v>
      </c>
      <c r="AE773" t="s">
        <v>147</v>
      </c>
      <c r="AF773" t="s">
        <v>148</v>
      </c>
      <c r="AG773" t="s">
        <v>149</v>
      </c>
      <c r="AH773" t="s">
        <v>182</v>
      </c>
      <c r="AJ773" t="s">
        <v>260</v>
      </c>
      <c r="AK773" t="s">
        <v>152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Z773" t="s">
        <v>261</v>
      </c>
      <c r="BA773">
        <v>726816.00000000105</v>
      </c>
      <c r="BB773">
        <v>3763848</v>
      </c>
    </row>
    <row r="774" spans="1:54" x14ac:dyDescent="0.35">
      <c r="A774">
        <v>109778</v>
      </c>
      <c r="B774">
        <v>145</v>
      </c>
      <c r="C774" t="s">
        <v>135</v>
      </c>
      <c r="D774" s="15">
        <v>701012130922072</v>
      </c>
      <c r="F774">
        <v>70</v>
      </c>
      <c r="G774" t="s">
        <v>136</v>
      </c>
      <c r="H774">
        <v>7010</v>
      </c>
      <c r="I774" t="s">
        <v>137</v>
      </c>
      <c r="K774" t="s">
        <v>79</v>
      </c>
      <c r="M774">
        <v>12130922071</v>
      </c>
      <c r="N774" t="s">
        <v>160</v>
      </c>
      <c r="O774">
        <v>12130922071</v>
      </c>
      <c r="Q774" t="s">
        <v>262</v>
      </c>
      <c r="R774">
        <v>1</v>
      </c>
      <c r="S774">
        <v>36</v>
      </c>
      <c r="T774" t="s">
        <v>142</v>
      </c>
      <c r="AA774" t="s">
        <v>265</v>
      </c>
      <c r="AC774">
        <v>0</v>
      </c>
      <c r="AD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A774">
        <v>726816.00000000105</v>
      </c>
      <c r="BB774">
        <v>3763849</v>
      </c>
    </row>
    <row r="775" spans="1:54" x14ac:dyDescent="0.35">
      <c r="A775">
        <v>109777</v>
      </c>
      <c r="B775">
        <v>144</v>
      </c>
      <c r="C775" t="s">
        <v>135</v>
      </c>
      <c r="D775" s="15">
        <v>701012130922071</v>
      </c>
      <c r="F775">
        <v>70</v>
      </c>
      <c r="G775" t="s">
        <v>136</v>
      </c>
      <c r="H775">
        <v>7010</v>
      </c>
      <c r="I775" t="s">
        <v>137</v>
      </c>
      <c r="K775" t="s">
        <v>138</v>
      </c>
      <c r="M775">
        <v>12130922071</v>
      </c>
      <c r="N775" t="s">
        <v>160</v>
      </c>
      <c r="O775">
        <v>12130922071</v>
      </c>
      <c r="P775" t="s">
        <v>147</v>
      </c>
      <c r="Q775" t="s">
        <v>262</v>
      </c>
      <c r="R775">
        <v>1</v>
      </c>
      <c r="S775">
        <v>36</v>
      </c>
      <c r="T775" t="s">
        <v>142</v>
      </c>
      <c r="U775" t="s">
        <v>267</v>
      </c>
      <c r="V775" t="s">
        <v>267</v>
      </c>
      <c r="W775" t="s">
        <v>267</v>
      </c>
      <c r="AA775" t="s">
        <v>265</v>
      </c>
      <c r="AC775">
        <v>0</v>
      </c>
      <c r="AD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A775">
        <v>726816.00000000105</v>
      </c>
      <c r="BB775">
        <v>3763849</v>
      </c>
    </row>
    <row r="776" spans="1:54" x14ac:dyDescent="0.35">
      <c r="A776">
        <v>109776</v>
      </c>
      <c r="B776">
        <v>143</v>
      </c>
      <c r="C776" t="s">
        <v>135</v>
      </c>
      <c r="D776" s="15">
        <v>701012130922071</v>
      </c>
      <c r="F776">
        <v>70</v>
      </c>
      <c r="G776" t="s">
        <v>136</v>
      </c>
      <c r="H776">
        <v>7010</v>
      </c>
      <c r="I776" t="s">
        <v>137</v>
      </c>
      <c r="K776" t="s">
        <v>79</v>
      </c>
      <c r="M776">
        <v>12120922047</v>
      </c>
      <c r="N776" t="s">
        <v>160</v>
      </c>
      <c r="O776">
        <v>12120922047</v>
      </c>
      <c r="Q776" t="s">
        <v>262</v>
      </c>
      <c r="R776">
        <v>1</v>
      </c>
      <c r="S776">
        <v>45</v>
      </c>
      <c r="T776" t="s">
        <v>222</v>
      </c>
      <c r="AA776" t="s">
        <v>265</v>
      </c>
      <c r="AC776">
        <v>0</v>
      </c>
      <c r="AD776">
        <v>0</v>
      </c>
      <c r="AN776" t="s">
        <v>271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A776">
        <v>726844.00000000105</v>
      </c>
      <c r="BB776">
        <v>3763884</v>
      </c>
    </row>
    <row r="777" spans="1:54" x14ac:dyDescent="0.35">
      <c r="A777">
        <v>109775</v>
      </c>
      <c r="B777">
        <v>142</v>
      </c>
      <c r="C777" t="s">
        <v>135</v>
      </c>
      <c r="D777" s="15">
        <v>701012130922070</v>
      </c>
      <c r="F777">
        <v>70</v>
      </c>
      <c r="G777" t="s">
        <v>136</v>
      </c>
      <c r="H777">
        <v>7010</v>
      </c>
      <c r="I777" t="s">
        <v>137</v>
      </c>
      <c r="K777" t="s">
        <v>138</v>
      </c>
      <c r="M777">
        <v>12130922070</v>
      </c>
      <c r="N777" t="s">
        <v>139</v>
      </c>
      <c r="O777">
        <v>12130922070</v>
      </c>
      <c r="P777" t="s">
        <v>140</v>
      </c>
      <c r="Q777" t="s">
        <v>141</v>
      </c>
      <c r="R777">
        <v>0</v>
      </c>
      <c r="T777" t="s">
        <v>146</v>
      </c>
      <c r="U777" t="s">
        <v>188</v>
      </c>
      <c r="V777" t="s">
        <v>188</v>
      </c>
      <c r="W777" t="s">
        <v>188</v>
      </c>
      <c r="X777" t="s">
        <v>188</v>
      </c>
      <c r="AA777" t="s">
        <v>144</v>
      </c>
      <c r="AB777" t="s">
        <v>319</v>
      </c>
      <c r="AC777">
        <v>0</v>
      </c>
      <c r="AD777">
        <v>200</v>
      </c>
      <c r="AE777" t="s">
        <v>147</v>
      </c>
      <c r="AF777" t="s">
        <v>148</v>
      </c>
      <c r="AG777" t="s">
        <v>149</v>
      </c>
      <c r="AH777" t="s">
        <v>182</v>
      </c>
      <c r="AJ777" t="s">
        <v>320</v>
      </c>
      <c r="AK777" t="s">
        <v>152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Z777" t="s">
        <v>321</v>
      </c>
      <c r="BA777">
        <v>727080</v>
      </c>
      <c r="BB777">
        <v>3764302</v>
      </c>
    </row>
    <row r="778" spans="1:54" x14ac:dyDescent="0.35">
      <c r="A778">
        <v>109774</v>
      </c>
      <c r="B778">
        <v>141</v>
      </c>
      <c r="C778" t="s">
        <v>135</v>
      </c>
      <c r="D778" s="15">
        <v>701012130922070</v>
      </c>
      <c r="F778">
        <v>70</v>
      </c>
      <c r="G778" t="s">
        <v>136</v>
      </c>
      <c r="H778">
        <v>7010</v>
      </c>
      <c r="I778" t="s">
        <v>137</v>
      </c>
      <c r="K778" t="s">
        <v>79</v>
      </c>
      <c r="M778">
        <v>12130922069</v>
      </c>
      <c r="N778" t="s">
        <v>139</v>
      </c>
      <c r="O778">
        <v>12130922069</v>
      </c>
      <c r="Q778" t="s">
        <v>141</v>
      </c>
      <c r="R778">
        <v>0</v>
      </c>
      <c r="T778" t="s">
        <v>146</v>
      </c>
      <c r="AA778" t="s">
        <v>144</v>
      </c>
      <c r="AB778" t="s">
        <v>319</v>
      </c>
      <c r="AC778">
        <v>0</v>
      </c>
      <c r="AD778">
        <v>200</v>
      </c>
      <c r="AE778" t="s">
        <v>147</v>
      </c>
      <c r="AF778" t="s">
        <v>148</v>
      </c>
      <c r="AG778" t="s">
        <v>149</v>
      </c>
      <c r="AH778" t="s">
        <v>182</v>
      </c>
      <c r="AJ778" t="s">
        <v>320</v>
      </c>
      <c r="AK778" t="s">
        <v>152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Z778" t="s">
        <v>321</v>
      </c>
      <c r="BA778">
        <v>727079.00000000105</v>
      </c>
      <c r="BB778">
        <v>3764302</v>
      </c>
    </row>
    <row r="779" spans="1:54" x14ac:dyDescent="0.35">
      <c r="A779">
        <v>109773</v>
      </c>
      <c r="B779">
        <v>140</v>
      </c>
      <c r="C779" t="s">
        <v>135</v>
      </c>
      <c r="D779" s="15">
        <v>701012130922069</v>
      </c>
      <c r="F779">
        <v>70</v>
      </c>
      <c r="G779" t="s">
        <v>136</v>
      </c>
      <c r="H779">
        <v>7010</v>
      </c>
      <c r="I779" t="s">
        <v>137</v>
      </c>
      <c r="K779" t="s">
        <v>138</v>
      </c>
      <c r="M779">
        <v>12130922069</v>
      </c>
      <c r="N779" t="s">
        <v>160</v>
      </c>
      <c r="O779">
        <v>12130922069</v>
      </c>
      <c r="P779" t="s">
        <v>147</v>
      </c>
      <c r="Q779" t="s">
        <v>262</v>
      </c>
      <c r="R779">
        <v>0</v>
      </c>
      <c r="T779" t="s">
        <v>146</v>
      </c>
      <c r="U779" t="s">
        <v>263</v>
      </c>
      <c r="V779" t="s">
        <v>263</v>
      </c>
      <c r="W779" t="s">
        <v>263</v>
      </c>
      <c r="AA779" t="s">
        <v>264</v>
      </c>
      <c r="AB779" t="s">
        <v>319</v>
      </c>
      <c r="AC779">
        <v>0</v>
      </c>
      <c r="AD779">
        <v>200</v>
      </c>
      <c r="AE779" t="s">
        <v>147</v>
      </c>
      <c r="AF779" t="s">
        <v>148</v>
      </c>
      <c r="AG779" t="s">
        <v>149</v>
      </c>
      <c r="AH779" t="s">
        <v>182</v>
      </c>
      <c r="AJ779" t="s">
        <v>320</v>
      </c>
      <c r="AK779" t="s">
        <v>152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Z779" t="s">
        <v>321</v>
      </c>
      <c r="BA779">
        <v>727079.00000000105</v>
      </c>
      <c r="BB779">
        <v>3764302</v>
      </c>
    </row>
    <row r="780" spans="1:54" x14ac:dyDescent="0.35">
      <c r="A780">
        <v>109772</v>
      </c>
      <c r="B780">
        <v>139</v>
      </c>
      <c r="C780" t="s">
        <v>135</v>
      </c>
      <c r="D780" s="15">
        <v>701012130922069</v>
      </c>
      <c r="F780">
        <v>70</v>
      </c>
      <c r="G780" t="s">
        <v>136</v>
      </c>
      <c r="H780">
        <v>7010</v>
      </c>
      <c r="I780" t="s">
        <v>137</v>
      </c>
      <c r="K780" t="s">
        <v>79</v>
      </c>
      <c r="M780">
        <v>12130922068</v>
      </c>
      <c r="N780" t="s">
        <v>160</v>
      </c>
      <c r="O780">
        <v>12130922068</v>
      </c>
      <c r="Q780" t="s">
        <v>262</v>
      </c>
      <c r="R780">
        <v>1</v>
      </c>
      <c r="S780">
        <v>36</v>
      </c>
      <c r="T780" t="s">
        <v>222</v>
      </c>
      <c r="AA780" t="s">
        <v>265</v>
      </c>
      <c r="AC780">
        <v>0</v>
      </c>
      <c r="AD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A780">
        <v>727079.00000000105</v>
      </c>
      <c r="BB780">
        <v>3764303</v>
      </c>
    </row>
    <row r="781" spans="1:54" x14ac:dyDescent="0.35">
      <c r="A781">
        <v>109771</v>
      </c>
      <c r="B781">
        <v>138</v>
      </c>
      <c r="C781" t="s">
        <v>135</v>
      </c>
      <c r="D781" s="15">
        <v>701012130922068</v>
      </c>
      <c r="F781">
        <v>70</v>
      </c>
      <c r="G781" t="s">
        <v>136</v>
      </c>
      <c r="H781">
        <v>7010</v>
      </c>
      <c r="I781" t="s">
        <v>137</v>
      </c>
      <c r="K781" t="s">
        <v>138</v>
      </c>
      <c r="M781">
        <v>12130922068</v>
      </c>
      <c r="N781" t="s">
        <v>160</v>
      </c>
      <c r="O781">
        <v>12130922068</v>
      </c>
      <c r="P781" t="s">
        <v>147</v>
      </c>
      <c r="Q781" t="s">
        <v>262</v>
      </c>
      <c r="R781">
        <v>1</v>
      </c>
      <c r="S781">
        <v>36</v>
      </c>
      <c r="T781" t="s">
        <v>222</v>
      </c>
      <c r="U781" t="s">
        <v>263</v>
      </c>
      <c r="V781" t="s">
        <v>263</v>
      </c>
      <c r="W781" t="s">
        <v>263</v>
      </c>
      <c r="AA781" t="s">
        <v>265</v>
      </c>
      <c r="AC781">
        <v>0</v>
      </c>
      <c r="AD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A781">
        <v>727079.00000000105</v>
      </c>
      <c r="BB781">
        <v>3764303</v>
      </c>
    </row>
    <row r="782" spans="1:54" x14ac:dyDescent="0.35">
      <c r="A782">
        <v>109770</v>
      </c>
      <c r="B782">
        <v>137</v>
      </c>
      <c r="C782" t="s">
        <v>135</v>
      </c>
      <c r="D782" s="15">
        <v>701012130922068</v>
      </c>
      <c r="E782">
        <v>1</v>
      </c>
      <c r="F782">
        <v>70</v>
      </c>
      <c r="G782" t="s">
        <v>136</v>
      </c>
      <c r="H782">
        <v>7010</v>
      </c>
      <c r="I782" t="s">
        <v>137</v>
      </c>
      <c r="M782">
        <v>12130922067</v>
      </c>
      <c r="N782" t="s">
        <v>160</v>
      </c>
      <c r="O782">
        <v>12130922067</v>
      </c>
      <c r="Q782" t="s">
        <v>262</v>
      </c>
      <c r="R782">
        <v>1</v>
      </c>
      <c r="S782">
        <v>36</v>
      </c>
      <c r="T782" t="s">
        <v>142</v>
      </c>
      <c r="AA782" t="s">
        <v>265</v>
      </c>
      <c r="AC782">
        <v>0</v>
      </c>
      <c r="AD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A782">
        <v>727062.00000000105</v>
      </c>
      <c r="BB782">
        <v>3764258</v>
      </c>
    </row>
    <row r="783" spans="1:54" x14ac:dyDescent="0.35">
      <c r="A783">
        <v>109769</v>
      </c>
      <c r="B783">
        <v>136</v>
      </c>
      <c r="C783" t="s">
        <v>135</v>
      </c>
      <c r="D783" s="15">
        <v>701012130922068</v>
      </c>
      <c r="E783">
        <v>0</v>
      </c>
      <c r="F783">
        <v>70</v>
      </c>
      <c r="G783" t="s">
        <v>136</v>
      </c>
      <c r="H783">
        <v>7010</v>
      </c>
      <c r="I783" t="s">
        <v>137</v>
      </c>
      <c r="M783">
        <v>12130922066</v>
      </c>
      <c r="N783" t="s">
        <v>160</v>
      </c>
      <c r="O783">
        <v>12130922066</v>
      </c>
      <c r="Q783" t="s">
        <v>262</v>
      </c>
      <c r="R783">
        <v>1</v>
      </c>
      <c r="S783">
        <v>36</v>
      </c>
      <c r="T783" t="s">
        <v>142</v>
      </c>
      <c r="AA783" t="s">
        <v>265</v>
      </c>
      <c r="AC783">
        <v>0</v>
      </c>
      <c r="AD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A783">
        <v>727045</v>
      </c>
      <c r="BB783">
        <v>3764222</v>
      </c>
    </row>
    <row r="784" spans="1:54" x14ac:dyDescent="0.35">
      <c r="A784">
        <v>109768</v>
      </c>
      <c r="B784">
        <v>135</v>
      </c>
      <c r="C784" t="s">
        <v>135</v>
      </c>
      <c r="D784" s="15">
        <v>701012130922068</v>
      </c>
      <c r="F784">
        <v>70</v>
      </c>
      <c r="G784" t="s">
        <v>136</v>
      </c>
      <c r="H784">
        <v>7010</v>
      </c>
      <c r="I784" t="s">
        <v>137</v>
      </c>
      <c r="K784" t="s">
        <v>79</v>
      </c>
      <c r="M784">
        <v>12130922065</v>
      </c>
      <c r="N784" t="s">
        <v>160</v>
      </c>
      <c r="O784">
        <v>12130922065</v>
      </c>
      <c r="Q784" t="s">
        <v>262</v>
      </c>
      <c r="R784">
        <v>1</v>
      </c>
      <c r="S784">
        <v>36</v>
      </c>
      <c r="T784" t="s">
        <v>142</v>
      </c>
      <c r="AA784" t="s">
        <v>265</v>
      </c>
      <c r="AC784">
        <v>0</v>
      </c>
      <c r="AD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A784">
        <v>727028.00000000105</v>
      </c>
      <c r="BB784">
        <v>3764186</v>
      </c>
    </row>
    <row r="785" spans="1:54" x14ac:dyDescent="0.35">
      <c r="A785">
        <v>109767</v>
      </c>
      <c r="B785">
        <v>134</v>
      </c>
      <c r="C785" t="s">
        <v>135</v>
      </c>
      <c r="D785" s="15">
        <v>701012130922065</v>
      </c>
      <c r="F785">
        <v>70</v>
      </c>
      <c r="G785" t="s">
        <v>136</v>
      </c>
      <c r="H785">
        <v>7010</v>
      </c>
      <c r="I785" t="s">
        <v>137</v>
      </c>
      <c r="K785" t="s">
        <v>138</v>
      </c>
      <c r="M785">
        <v>12130922065</v>
      </c>
      <c r="N785" t="s">
        <v>160</v>
      </c>
      <c r="O785">
        <v>12130922065</v>
      </c>
      <c r="P785" t="s">
        <v>147</v>
      </c>
      <c r="Q785" t="s">
        <v>262</v>
      </c>
      <c r="R785">
        <v>1</v>
      </c>
      <c r="S785">
        <v>36</v>
      </c>
      <c r="T785" t="s">
        <v>142</v>
      </c>
      <c r="U785" t="s">
        <v>263</v>
      </c>
      <c r="V785" t="s">
        <v>263</v>
      </c>
      <c r="W785" t="s">
        <v>263</v>
      </c>
      <c r="AA785" t="s">
        <v>265</v>
      </c>
      <c r="AC785">
        <v>0</v>
      </c>
      <c r="AD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A785">
        <v>727028.00000000105</v>
      </c>
      <c r="BB785">
        <v>3764186</v>
      </c>
    </row>
    <row r="786" spans="1:54" x14ac:dyDescent="0.35">
      <c r="A786">
        <v>109766</v>
      </c>
      <c r="B786">
        <v>133</v>
      </c>
      <c r="C786" t="s">
        <v>135</v>
      </c>
      <c r="D786" s="15">
        <v>701012130922065</v>
      </c>
      <c r="F786">
        <v>70</v>
      </c>
      <c r="G786" t="s">
        <v>136</v>
      </c>
      <c r="H786">
        <v>7010</v>
      </c>
      <c r="I786" t="s">
        <v>137</v>
      </c>
      <c r="K786" t="s">
        <v>79</v>
      </c>
      <c r="M786">
        <v>12130922062</v>
      </c>
      <c r="N786" t="s">
        <v>160</v>
      </c>
      <c r="O786">
        <v>12130922062</v>
      </c>
      <c r="Q786" t="s">
        <v>262</v>
      </c>
      <c r="R786">
        <v>1</v>
      </c>
      <c r="S786">
        <v>45</v>
      </c>
      <c r="T786" t="s">
        <v>222</v>
      </c>
      <c r="AA786" t="s">
        <v>265</v>
      </c>
      <c r="AC786">
        <v>0</v>
      </c>
      <c r="AD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A786">
        <v>727025.00000000198</v>
      </c>
      <c r="BB786">
        <v>3764097</v>
      </c>
    </row>
    <row r="787" spans="1:54" x14ac:dyDescent="0.35">
      <c r="A787">
        <v>109765</v>
      </c>
      <c r="B787">
        <v>132</v>
      </c>
      <c r="C787" t="s">
        <v>135</v>
      </c>
      <c r="D787" s="15">
        <v>701012130922064</v>
      </c>
      <c r="F787">
        <v>70</v>
      </c>
      <c r="G787" t="s">
        <v>136</v>
      </c>
      <c r="H787">
        <v>7010</v>
      </c>
      <c r="I787" t="s">
        <v>137</v>
      </c>
      <c r="K787" t="s">
        <v>138</v>
      </c>
      <c r="M787">
        <v>12130922064</v>
      </c>
      <c r="N787" t="s">
        <v>139</v>
      </c>
      <c r="O787">
        <v>12130922064</v>
      </c>
      <c r="P787" t="s">
        <v>140</v>
      </c>
      <c r="Q787" t="s">
        <v>141</v>
      </c>
      <c r="R787">
        <v>0</v>
      </c>
      <c r="T787" t="s">
        <v>146</v>
      </c>
      <c r="U787" t="s">
        <v>298</v>
      </c>
      <c r="V787" t="s">
        <v>298</v>
      </c>
      <c r="W787" t="s">
        <v>298</v>
      </c>
      <c r="X787" t="s">
        <v>298</v>
      </c>
      <c r="AA787" t="s">
        <v>144</v>
      </c>
      <c r="AB787" t="s">
        <v>322</v>
      </c>
      <c r="AC787">
        <v>0</v>
      </c>
      <c r="AD787">
        <v>50</v>
      </c>
      <c r="AE787" t="s">
        <v>147</v>
      </c>
      <c r="AF787" t="s">
        <v>273</v>
      </c>
      <c r="AG787" t="s">
        <v>149</v>
      </c>
      <c r="AH787" t="s">
        <v>323</v>
      </c>
      <c r="AJ787" t="s">
        <v>324</v>
      </c>
      <c r="AK787" t="s">
        <v>186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Z787" t="s">
        <v>325</v>
      </c>
      <c r="BA787">
        <v>727025.00000000198</v>
      </c>
      <c r="BB787">
        <v>3764094</v>
      </c>
    </row>
    <row r="788" spans="1:54" x14ac:dyDescent="0.35">
      <c r="A788">
        <v>109764</v>
      </c>
      <c r="B788">
        <v>131</v>
      </c>
      <c r="C788" t="s">
        <v>135</v>
      </c>
      <c r="D788" s="15">
        <v>701012130922064</v>
      </c>
      <c r="F788">
        <v>70</v>
      </c>
      <c r="G788" t="s">
        <v>136</v>
      </c>
      <c r="H788">
        <v>7010</v>
      </c>
      <c r="I788" t="s">
        <v>137</v>
      </c>
      <c r="K788" t="s">
        <v>79</v>
      </c>
      <c r="M788">
        <v>12130922063</v>
      </c>
      <c r="N788" t="s">
        <v>139</v>
      </c>
      <c r="O788">
        <v>12130922063</v>
      </c>
      <c r="Q788" t="s">
        <v>141</v>
      </c>
      <c r="R788">
        <v>0</v>
      </c>
      <c r="T788" t="s">
        <v>146</v>
      </c>
      <c r="AA788" t="s">
        <v>144</v>
      </c>
      <c r="AB788" t="s">
        <v>322</v>
      </c>
      <c r="AC788">
        <v>0</v>
      </c>
      <c r="AD788">
        <v>50</v>
      </c>
      <c r="AE788" t="s">
        <v>147</v>
      </c>
      <c r="AF788" t="s">
        <v>273</v>
      </c>
      <c r="AG788" t="s">
        <v>149</v>
      </c>
      <c r="AH788" t="s">
        <v>323</v>
      </c>
      <c r="AJ788" t="s">
        <v>324</v>
      </c>
      <c r="AK788" t="s">
        <v>186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Z788" t="s">
        <v>325</v>
      </c>
      <c r="BA788">
        <v>727025.00000000198</v>
      </c>
      <c r="BB788">
        <v>3764095</v>
      </c>
    </row>
    <row r="789" spans="1:54" x14ac:dyDescent="0.35">
      <c r="A789">
        <v>109763</v>
      </c>
      <c r="B789">
        <v>130</v>
      </c>
      <c r="C789" t="s">
        <v>135</v>
      </c>
      <c r="D789" s="15">
        <v>701012130922063</v>
      </c>
      <c r="F789">
        <v>70</v>
      </c>
      <c r="G789" t="s">
        <v>136</v>
      </c>
      <c r="H789">
        <v>7010</v>
      </c>
      <c r="I789" t="s">
        <v>137</v>
      </c>
      <c r="K789" t="s">
        <v>138</v>
      </c>
      <c r="M789">
        <v>12130922063</v>
      </c>
      <c r="N789" t="s">
        <v>160</v>
      </c>
      <c r="O789">
        <v>12130922063</v>
      </c>
      <c r="P789" t="s">
        <v>147</v>
      </c>
      <c r="Q789" t="s">
        <v>262</v>
      </c>
      <c r="R789">
        <v>0</v>
      </c>
      <c r="T789" t="s">
        <v>146</v>
      </c>
      <c r="U789" t="s">
        <v>263</v>
      </c>
      <c r="V789" t="s">
        <v>263</v>
      </c>
      <c r="W789" t="s">
        <v>263</v>
      </c>
      <c r="AA789" t="s">
        <v>264</v>
      </c>
      <c r="AB789" t="s">
        <v>322</v>
      </c>
      <c r="AC789">
        <v>0</v>
      </c>
      <c r="AD789">
        <v>50</v>
      </c>
      <c r="AE789" t="s">
        <v>147</v>
      </c>
      <c r="AF789" t="s">
        <v>273</v>
      </c>
      <c r="AG789" t="s">
        <v>149</v>
      </c>
      <c r="AH789" t="s">
        <v>323</v>
      </c>
      <c r="AJ789" t="s">
        <v>324</v>
      </c>
      <c r="AK789" t="s">
        <v>186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Z789" t="s">
        <v>325</v>
      </c>
      <c r="BA789">
        <v>727025.00000000198</v>
      </c>
      <c r="BB789">
        <v>3764095</v>
      </c>
    </row>
    <row r="790" spans="1:54" x14ac:dyDescent="0.35">
      <c r="A790">
        <v>109762</v>
      </c>
      <c r="B790">
        <v>129</v>
      </c>
      <c r="C790" t="s">
        <v>135</v>
      </c>
      <c r="D790" s="15">
        <v>701012130922063</v>
      </c>
      <c r="F790">
        <v>70</v>
      </c>
      <c r="G790" t="s">
        <v>136</v>
      </c>
      <c r="H790">
        <v>7010</v>
      </c>
      <c r="I790" t="s">
        <v>137</v>
      </c>
      <c r="K790" t="s">
        <v>79</v>
      </c>
      <c r="M790">
        <v>12130922062</v>
      </c>
      <c r="N790" t="s">
        <v>160</v>
      </c>
      <c r="O790">
        <v>12130922062</v>
      </c>
      <c r="Q790" t="s">
        <v>262</v>
      </c>
      <c r="R790">
        <v>1</v>
      </c>
      <c r="S790">
        <v>45</v>
      </c>
      <c r="T790" t="s">
        <v>222</v>
      </c>
      <c r="AA790" t="s">
        <v>265</v>
      </c>
      <c r="AC790">
        <v>0</v>
      </c>
      <c r="AD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A790">
        <v>727025.00000000198</v>
      </c>
      <c r="BB790">
        <v>3764097</v>
      </c>
    </row>
    <row r="791" spans="1:54" x14ac:dyDescent="0.35">
      <c r="A791">
        <v>109761</v>
      </c>
      <c r="B791">
        <v>128</v>
      </c>
      <c r="C791" t="s">
        <v>135</v>
      </c>
      <c r="D791" s="15">
        <v>701012130922062</v>
      </c>
      <c r="F791">
        <v>70</v>
      </c>
      <c r="G791" t="s">
        <v>136</v>
      </c>
      <c r="H791">
        <v>7010</v>
      </c>
      <c r="I791" t="s">
        <v>137</v>
      </c>
      <c r="K791" t="s">
        <v>138</v>
      </c>
      <c r="M791">
        <v>12130922062</v>
      </c>
      <c r="N791" t="s">
        <v>160</v>
      </c>
      <c r="O791">
        <v>12130922062</v>
      </c>
      <c r="P791" t="s">
        <v>147</v>
      </c>
      <c r="Q791" t="s">
        <v>262</v>
      </c>
      <c r="R791">
        <v>1</v>
      </c>
      <c r="S791">
        <v>45</v>
      </c>
      <c r="T791" t="s">
        <v>222</v>
      </c>
      <c r="U791" t="s">
        <v>263</v>
      </c>
      <c r="V791" t="s">
        <v>263</v>
      </c>
      <c r="W791" t="s">
        <v>263</v>
      </c>
      <c r="AA791" t="s">
        <v>265</v>
      </c>
      <c r="AC791">
        <v>0</v>
      </c>
      <c r="AD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A791">
        <v>727025.00000000198</v>
      </c>
      <c r="BB791">
        <v>3764097</v>
      </c>
    </row>
    <row r="792" spans="1:54" x14ac:dyDescent="0.35">
      <c r="A792">
        <v>109760</v>
      </c>
      <c r="B792">
        <v>127</v>
      </c>
      <c r="C792" t="s">
        <v>135</v>
      </c>
      <c r="D792" s="15">
        <v>701012130922062</v>
      </c>
      <c r="E792">
        <v>0</v>
      </c>
      <c r="F792">
        <v>70</v>
      </c>
      <c r="G792" t="s">
        <v>136</v>
      </c>
      <c r="H792">
        <v>7010</v>
      </c>
      <c r="I792" t="s">
        <v>137</v>
      </c>
      <c r="M792">
        <v>12130922061</v>
      </c>
      <c r="N792" t="s">
        <v>160</v>
      </c>
      <c r="O792">
        <v>12130922061</v>
      </c>
      <c r="Q792" t="s">
        <v>262</v>
      </c>
      <c r="R792">
        <v>1</v>
      </c>
      <c r="S792">
        <v>45</v>
      </c>
      <c r="T792" t="s">
        <v>222</v>
      </c>
      <c r="AA792" t="s">
        <v>265</v>
      </c>
      <c r="AC792">
        <v>0</v>
      </c>
      <c r="AD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A792">
        <v>726987.00000000105</v>
      </c>
      <c r="BB792">
        <v>3764104</v>
      </c>
    </row>
    <row r="793" spans="1:54" x14ac:dyDescent="0.35">
      <c r="A793">
        <v>109759</v>
      </c>
      <c r="B793">
        <v>126</v>
      </c>
      <c r="C793" t="s">
        <v>135</v>
      </c>
      <c r="D793" s="15">
        <v>701012130922062</v>
      </c>
      <c r="F793">
        <v>70</v>
      </c>
      <c r="G793" t="s">
        <v>136</v>
      </c>
      <c r="H793">
        <v>7010</v>
      </c>
      <c r="I793" t="s">
        <v>137</v>
      </c>
      <c r="K793" t="s">
        <v>79</v>
      </c>
      <c r="M793">
        <v>12130922060</v>
      </c>
      <c r="N793" t="s">
        <v>160</v>
      </c>
      <c r="O793">
        <v>12130922060</v>
      </c>
      <c r="Q793" t="s">
        <v>262</v>
      </c>
      <c r="R793">
        <v>1</v>
      </c>
      <c r="S793">
        <v>45</v>
      </c>
      <c r="T793" t="s">
        <v>222</v>
      </c>
      <c r="AA793" t="s">
        <v>265</v>
      </c>
      <c r="AC793">
        <v>0</v>
      </c>
      <c r="AD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A793">
        <v>726959.00000000105</v>
      </c>
      <c r="BB793">
        <v>3764105</v>
      </c>
    </row>
    <row r="794" spans="1:54" x14ac:dyDescent="0.35">
      <c r="A794">
        <v>109758</v>
      </c>
      <c r="B794">
        <v>125</v>
      </c>
      <c r="C794" t="s">
        <v>135</v>
      </c>
      <c r="D794" s="15">
        <v>701012130922060</v>
      </c>
      <c r="F794">
        <v>70</v>
      </c>
      <c r="G794" t="s">
        <v>136</v>
      </c>
      <c r="H794">
        <v>7010</v>
      </c>
      <c r="I794" t="s">
        <v>137</v>
      </c>
      <c r="K794" t="s">
        <v>138</v>
      </c>
      <c r="M794">
        <v>12130922060</v>
      </c>
      <c r="N794" t="s">
        <v>160</v>
      </c>
      <c r="O794">
        <v>12130922060</v>
      </c>
      <c r="P794" t="s">
        <v>147</v>
      </c>
      <c r="Q794" t="s">
        <v>262</v>
      </c>
      <c r="R794">
        <v>1</v>
      </c>
      <c r="S794">
        <v>45</v>
      </c>
      <c r="T794" t="s">
        <v>222</v>
      </c>
      <c r="U794" t="s">
        <v>263</v>
      </c>
      <c r="V794" t="s">
        <v>263</v>
      </c>
      <c r="W794" t="s">
        <v>263</v>
      </c>
      <c r="AA794" t="s">
        <v>265</v>
      </c>
      <c r="AC794">
        <v>0</v>
      </c>
      <c r="AD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A794">
        <v>726959.00000000105</v>
      </c>
      <c r="BB794">
        <v>3764105</v>
      </c>
    </row>
    <row r="795" spans="1:54" x14ac:dyDescent="0.35">
      <c r="A795">
        <v>109757</v>
      </c>
      <c r="B795">
        <v>124</v>
      </c>
      <c r="C795" t="s">
        <v>135</v>
      </c>
      <c r="D795" s="15">
        <v>701012130922060</v>
      </c>
      <c r="F795">
        <v>70</v>
      </c>
      <c r="G795" t="s">
        <v>136</v>
      </c>
      <c r="H795">
        <v>7010</v>
      </c>
      <c r="I795" t="s">
        <v>137</v>
      </c>
      <c r="K795" t="s">
        <v>79</v>
      </c>
      <c r="M795">
        <v>12120922041</v>
      </c>
      <c r="N795" t="s">
        <v>160</v>
      </c>
      <c r="O795">
        <v>12120922041</v>
      </c>
      <c r="Q795" t="s">
        <v>262</v>
      </c>
      <c r="R795">
        <v>1</v>
      </c>
      <c r="S795">
        <v>36</v>
      </c>
      <c r="T795" t="s">
        <v>222</v>
      </c>
      <c r="AA795" t="s">
        <v>265</v>
      </c>
      <c r="AC795">
        <v>0</v>
      </c>
      <c r="AD795">
        <v>0</v>
      </c>
      <c r="AN795" t="s">
        <v>266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A795">
        <v>726916.00000000105</v>
      </c>
      <c r="BB795">
        <v>3764112</v>
      </c>
    </row>
    <row r="796" spans="1:54" x14ac:dyDescent="0.35">
      <c r="A796">
        <v>109756</v>
      </c>
      <c r="B796">
        <v>123</v>
      </c>
      <c r="C796" t="s">
        <v>135</v>
      </c>
      <c r="D796" s="15">
        <v>701012130922059</v>
      </c>
      <c r="F796">
        <v>70</v>
      </c>
      <c r="G796" t="s">
        <v>136</v>
      </c>
      <c r="H796">
        <v>7010</v>
      </c>
      <c r="I796" t="s">
        <v>137</v>
      </c>
      <c r="K796" t="s">
        <v>138</v>
      </c>
      <c r="M796">
        <v>12130922059</v>
      </c>
      <c r="N796" t="s">
        <v>139</v>
      </c>
      <c r="O796">
        <v>12130922059</v>
      </c>
      <c r="P796" t="s">
        <v>140</v>
      </c>
      <c r="Q796" t="s">
        <v>141</v>
      </c>
      <c r="R796">
        <v>0</v>
      </c>
      <c r="T796" t="s">
        <v>146</v>
      </c>
      <c r="U796" t="s">
        <v>275</v>
      </c>
      <c r="V796" t="s">
        <v>275</v>
      </c>
      <c r="W796" t="s">
        <v>275</v>
      </c>
      <c r="X796" t="s">
        <v>275</v>
      </c>
      <c r="AA796" t="s">
        <v>144</v>
      </c>
      <c r="AB796" t="s">
        <v>326</v>
      </c>
      <c r="AC796">
        <v>0</v>
      </c>
      <c r="AD796">
        <v>50</v>
      </c>
      <c r="AE796" t="s">
        <v>147</v>
      </c>
      <c r="AF796" t="s">
        <v>273</v>
      </c>
      <c r="AG796" t="s">
        <v>149</v>
      </c>
      <c r="AH796" t="s">
        <v>150</v>
      </c>
      <c r="AI796" t="s">
        <v>313</v>
      </c>
      <c r="AJ796" t="s">
        <v>327</v>
      </c>
      <c r="AK796" t="s">
        <v>186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Z796" t="s">
        <v>328</v>
      </c>
      <c r="BA796">
        <v>726868.200000001</v>
      </c>
      <c r="BB796">
        <v>3764462.4</v>
      </c>
    </row>
    <row r="797" spans="1:54" x14ac:dyDescent="0.35">
      <c r="A797">
        <v>109755</v>
      </c>
      <c r="B797">
        <v>122</v>
      </c>
      <c r="C797" t="s">
        <v>135</v>
      </c>
      <c r="D797" s="15">
        <v>701012130922059</v>
      </c>
      <c r="F797">
        <v>70</v>
      </c>
      <c r="G797" t="s">
        <v>136</v>
      </c>
      <c r="H797">
        <v>7010</v>
      </c>
      <c r="I797" t="s">
        <v>137</v>
      </c>
      <c r="K797" t="s">
        <v>79</v>
      </c>
      <c r="M797">
        <v>12130922058</v>
      </c>
      <c r="N797" t="s">
        <v>139</v>
      </c>
      <c r="O797">
        <v>12130922058</v>
      </c>
      <c r="Q797" t="s">
        <v>141</v>
      </c>
      <c r="R797">
        <v>0</v>
      </c>
      <c r="T797" t="s">
        <v>146</v>
      </c>
      <c r="AA797" t="s">
        <v>144</v>
      </c>
      <c r="AB797" t="s">
        <v>326</v>
      </c>
      <c r="AC797">
        <v>0</v>
      </c>
      <c r="AD797">
        <v>50</v>
      </c>
      <c r="AE797" t="s">
        <v>147</v>
      </c>
      <c r="AF797" t="s">
        <v>273</v>
      </c>
      <c r="AG797" t="s">
        <v>149</v>
      </c>
      <c r="AH797" t="s">
        <v>150</v>
      </c>
      <c r="AI797" t="s">
        <v>313</v>
      </c>
      <c r="AJ797" t="s">
        <v>327</v>
      </c>
      <c r="AK797" t="s">
        <v>186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Z797" t="s">
        <v>328</v>
      </c>
      <c r="BA797">
        <v>726868.10000000102</v>
      </c>
      <c r="BB797">
        <v>3764462.3</v>
      </c>
    </row>
    <row r="798" spans="1:54" x14ac:dyDescent="0.35">
      <c r="A798">
        <v>109754</v>
      </c>
      <c r="B798">
        <v>121</v>
      </c>
      <c r="C798" t="s">
        <v>135</v>
      </c>
      <c r="D798" s="15">
        <v>701012130922058</v>
      </c>
      <c r="F798">
        <v>70</v>
      </c>
      <c r="G798" t="s">
        <v>136</v>
      </c>
      <c r="H798">
        <v>7010</v>
      </c>
      <c r="I798" t="s">
        <v>137</v>
      </c>
      <c r="K798" t="s">
        <v>138</v>
      </c>
      <c r="M798">
        <v>12130922058</v>
      </c>
      <c r="N798" t="s">
        <v>160</v>
      </c>
      <c r="O798">
        <v>12130922058</v>
      </c>
      <c r="P798" t="s">
        <v>147</v>
      </c>
      <c r="Q798" t="s">
        <v>262</v>
      </c>
      <c r="R798">
        <v>0</v>
      </c>
      <c r="T798" t="s">
        <v>146</v>
      </c>
      <c r="U798" t="s">
        <v>263</v>
      </c>
      <c r="V798" t="s">
        <v>263</v>
      </c>
      <c r="W798" t="s">
        <v>263</v>
      </c>
      <c r="AA798" t="s">
        <v>264</v>
      </c>
      <c r="AB798" t="s">
        <v>326</v>
      </c>
      <c r="AC798">
        <v>0</v>
      </c>
      <c r="AD798">
        <v>50</v>
      </c>
      <c r="AE798" t="s">
        <v>147</v>
      </c>
      <c r="AF798" t="s">
        <v>273</v>
      </c>
      <c r="AG798" t="s">
        <v>149</v>
      </c>
      <c r="AH798" t="s">
        <v>150</v>
      </c>
      <c r="AI798" t="s">
        <v>313</v>
      </c>
      <c r="AJ798" t="s">
        <v>327</v>
      </c>
      <c r="AK798" t="s">
        <v>186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Z798" t="s">
        <v>328</v>
      </c>
      <c r="BA798">
        <v>726868.10000000102</v>
      </c>
      <c r="BB798">
        <v>3764462.3</v>
      </c>
    </row>
    <row r="799" spans="1:54" x14ac:dyDescent="0.35">
      <c r="A799">
        <v>109753</v>
      </c>
      <c r="B799">
        <v>120</v>
      </c>
      <c r="C799" t="s">
        <v>135</v>
      </c>
      <c r="D799" s="15">
        <v>701012130922058</v>
      </c>
      <c r="F799">
        <v>70</v>
      </c>
      <c r="G799" t="s">
        <v>136</v>
      </c>
      <c r="H799">
        <v>7010</v>
      </c>
      <c r="I799" t="s">
        <v>137</v>
      </c>
      <c r="K799" t="s">
        <v>79</v>
      </c>
      <c r="M799">
        <v>12130922057</v>
      </c>
      <c r="N799" t="s">
        <v>160</v>
      </c>
      <c r="O799">
        <v>12130922057</v>
      </c>
      <c r="Q799" t="s">
        <v>262</v>
      </c>
      <c r="R799">
        <v>0</v>
      </c>
      <c r="S799">
        <v>36</v>
      </c>
      <c r="T799" t="s">
        <v>222</v>
      </c>
      <c r="AA799" t="s">
        <v>265</v>
      </c>
      <c r="AC799">
        <v>0</v>
      </c>
      <c r="AD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A799">
        <v>726868</v>
      </c>
      <c r="BB799">
        <v>3764462</v>
      </c>
    </row>
    <row r="800" spans="1:54" x14ac:dyDescent="0.35">
      <c r="A800">
        <v>109752</v>
      </c>
      <c r="B800">
        <v>119</v>
      </c>
      <c r="C800" t="s">
        <v>135</v>
      </c>
      <c r="D800" s="15">
        <v>701012130922057</v>
      </c>
      <c r="F800">
        <v>70</v>
      </c>
      <c r="G800" t="s">
        <v>136</v>
      </c>
      <c r="H800">
        <v>7010</v>
      </c>
      <c r="I800" t="s">
        <v>137</v>
      </c>
      <c r="K800" t="s">
        <v>138</v>
      </c>
      <c r="M800">
        <v>12130922057</v>
      </c>
      <c r="N800" t="s">
        <v>160</v>
      </c>
      <c r="O800">
        <v>12130922057</v>
      </c>
      <c r="P800" t="s">
        <v>147</v>
      </c>
      <c r="Q800" t="s">
        <v>262</v>
      </c>
      <c r="R800">
        <v>0</v>
      </c>
      <c r="S800">
        <v>36</v>
      </c>
      <c r="T800" t="s">
        <v>222</v>
      </c>
      <c r="U800" t="s">
        <v>263</v>
      </c>
      <c r="V800" t="s">
        <v>263</v>
      </c>
      <c r="W800" t="s">
        <v>263</v>
      </c>
      <c r="AA800" t="s">
        <v>265</v>
      </c>
      <c r="AC800">
        <v>0</v>
      </c>
      <c r="AD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A800">
        <v>726868</v>
      </c>
      <c r="BB800">
        <v>3764462</v>
      </c>
    </row>
    <row r="801" spans="1:54" x14ac:dyDescent="0.35">
      <c r="A801">
        <v>109751</v>
      </c>
      <c r="B801">
        <v>118</v>
      </c>
      <c r="C801" t="s">
        <v>135</v>
      </c>
      <c r="D801" s="15">
        <v>701012130922057</v>
      </c>
      <c r="E801">
        <v>2</v>
      </c>
      <c r="F801">
        <v>70</v>
      </c>
      <c r="G801" t="s">
        <v>136</v>
      </c>
      <c r="H801">
        <v>7010</v>
      </c>
      <c r="I801" t="s">
        <v>137</v>
      </c>
      <c r="K801" t="s">
        <v>79</v>
      </c>
      <c r="M801">
        <v>12120922033</v>
      </c>
      <c r="N801" t="s">
        <v>160</v>
      </c>
      <c r="O801">
        <v>12120922033</v>
      </c>
      <c r="Q801" t="s">
        <v>262</v>
      </c>
      <c r="R801">
        <v>0</v>
      </c>
      <c r="S801">
        <v>36</v>
      </c>
      <c r="T801" t="s">
        <v>222</v>
      </c>
      <c r="AA801" t="s">
        <v>265</v>
      </c>
      <c r="AC801">
        <v>0</v>
      </c>
      <c r="AD801">
        <v>0</v>
      </c>
      <c r="AN801" t="s">
        <v>266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A801">
        <v>726857.00000000105</v>
      </c>
      <c r="BB801">
        <v>3764422</v>
      </c>
    </row>
    <row r="802" spans="1:54" x14ac:dyDescent="0.35">
      <c r="A802">
        <v>109750</v>
      </c>
      <c r="B802">
        <v>117</v>
      </c>
      <c r="C802" t="s">
        <v>135</v>
      </c>
      <c r="D802" s="15">
        <v>701012130922056</v>
      </c>
      <c r="F802">
        <v>70</v>
      </c>
      <c r="G802" t="s">
        <v>136</v>
      </c>
      <c r="H802">
        <v>7010</v>
      </c>
      <c r="I802" t="s">
        <v>137</v>
      </c>
      <c r="K802" t="s">
        <v>138</v>
      </c>
      <c r="M802">
        <v>12130922056</v>
      </c>
      <c r="N802" t="s">
        <v>139</v>
      </c>
      <c r="O802">
        <v>12130922056</v>
      </c>
      <c r="P802" t="s">
        <v>140</v>
      </c>
      <c r="Q802" t="s">
        <v>141</v>
      </c>
      <c r="R802">
        <v>0</v>
      </c>
      <c r="T802" t="s">
        <v>146</v>
      </c>
      <c r="U802" t="s">
        <v>188</v>
      </c>
      <c r="V802" t="s">
        <v>188</v>
      </c>
      <c r="W802" t="s">
        <v>188</v>
      </c>
      <c r="X802" t="s">
        <v>188</v>
      </c>
      <c r="AA802" t="s">
        <v>144</v>
      </c>
      <c r="AB802" t="s">
        <v>329</v>
      </c>
      <c r="AC802">
        <v>0</v>
      </c>
      <c r="AD802">
        <v>200</v>
      </c>
      <c r="AE802" t="s">
        <v>147</v>
      </c>
      <c r="AF802" t="s">
        <v>273</v>
      </c>
      <c r="AG802" t="s">
        <v>149</v>
      </c>
      <c r="AH802" t="s">
        <v>182</v>
      </c>
      <c r="AJ802" t="s">
        <v>330</v>
      </c>
      <c r="AK802" t="s">
        <v>152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Z802" t="s">
        <v>331</v>
      </c>
      <c r="BA802">
        <v>726669</v>
      </c>
      <c r="BB802">
        <v>3764553</v>
      </c>
    </row>
    <row r="803" spans="1:54" x14ac:dyDescent="0.35">
      <c r="A803">
        <v>109749</v>
      </c>
      <c r="B803">
        <v>116</v>
      </c>
      <c r="C803" t="s">
        <v>135</v>
      </c>
      <c r="D803" s="15">
        <v>701012130922056</v>
      </c>
      <c r="F803">
        <v>70</v>
      </c>
      <c r="G803" t="s">
        <v>136</v>
      </c>
      <c r="H803">
        <v>7010</v>
      </c>
      <c r="I803" t="s">
        <v>137</v>
      </c>
      <c r="K803" t="s">
        <v>79</v>
      </c>
      <c r="M803">
        <v>12130922055</v>
      </c>
      <c r="N803" t="s">
        <v>139</v>
      </c>
      <c r="O803">
        <v>12130922055</v>
      </c>
      <c r="Q803" t="s">
        <v>141</v>
      </c>
      <c r="R803">
        <v>0</v>
      </c>
      <c r="T803" t="s">
        <v>146</v>
      </c>
      <c r="AA803" t="s">
        <v>144</v>
      </c>
      <c r="AB803" t="s">
        <v>329</v>
      </c>
      <c r="AC803">
        <v>0</v>
      </c>
      <c r="AD803">
        <v>200</v>
      </c>
      <c r="AE803" t="s">
        <v>147</v>
      </c>
      <c r="AF803" t="s">
        <v>273</v>
      </c>
      <c r="AG803" t="s">
        <v>149</v>
      </c>
      <c r="AH803" t="s">
        <v>182</v>
      </c>
      <c r="AJ803" t="s">
        <v>330</v>
      </c>
      <c r="AK803" t="s">
        <v>152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Z803" t="s">
        <v>331</v>
      </c>
      <c r="BA803">
        <v>726668.00000000105</v>
      </c>
      <c r="BB803">
        <v>3764552</v>
      </c>
    </row>
    <row r="804" spans="1:54" x14ac:dyDescent="0.35">
      <c r="A804">
        <v>109748</v>
      </c>
      <c r="B804">
        <v>115</v>
      </c>
      <c r="C804" t="s">
        <v>135</v>
      </c>
      <c r="D804" s="15">
        <v>701012130922055</v>
      </c>
      <c r="F804">
        <v>70</v>
      </c>
      <c r="G804" t="s">
        <v>136</v>
      </c>
      <c r="H804">
        <v>7010</v>
      </c>
      <c r="I804" t="s">
        <v>137</v>
      </c>
      <c r="K804" t="s">
        <v>138</v>
      </c>
      <c r="M804">
        <v>12130922055</v>
      </c>
      <c r="N804" t="s">
        <v>160</v>
      </c>
      <c r="O804">
        <v>12130922055</v>
      </c>
      <c r="P804" t="s">
        <v>147</v>
      </c>
      <c r="Q804" t="s">
        <v>262</v>
      </c>
      <c r="R804">
        <v>0</v>
      </c>
      <c r="T804" t="s">
        <v>146</v>
      </c>
      <c r="U804" t="s">
        <v>263</v>
      </c>
      <c r="V804" t="s">
        <v>263</v>
      </c>
      <c r="W804" t="s">
        <v>263</v>
      </c>
      <c r="AA804" t="s">
        <v>264</v>
      </c>
      <c r="AB804" t="s">
        <v>329</v>
      </c>
      <c r="AC804">
        <v>0</v>
      </c>
      <c r="AD804">
        <v>200</v>
      </c>
      <c r="AE804" t="s">
        <v>147</v>
      </c>
      <c r="AF804" t="s">
        <v>273</v>
      </c>
      <c r="AG804" t="s">
        <v>149</v>
      </c>
      <c r="AH804" t="s">
        <v>182</v>
      </c>
      <c r="AJ804" t="s">
        <v>330</v>
      </c>
      <c r="AK804" t="s">
        <v>152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Z804" t="s">
        <v>331</v>
      </c>
      <c r="BA804">
        <v>726668.00000000105</v>
      </c>
      <c r="BB804">
        <v>3764552</v>
      </c>
    </row>
    <row r="805" spans="1:54" x14ac:dyDescent="0.35">
      <c r="A805">
        <v>109747</v>
      </c>
      <c r="B805">
        <v>114</v>
      </c>
      <c r="C805" t="s">
        <v>135</v>
      </c>
      <c r="D805" s="15">
        <v>701012130922055</v>
      </c>
      <c r="F805">
        <v>70</v>
      </c>
      <c r="G805" t="s">
        <v>136</v>
      </c>
      <c r="H805">
        <v>7010</v>
      </c>
      <c r="I805" t="s">
        <v>137</v>
      </c>
      <c r="K805" t="s">
        <v>79</v>
      </c>
      <c r="M805">
        <v>12130922052</v>
      </c>
      <c r="N805" t="s">
        <v>160</v>
      </c>
      <c r="O805">
        <v>12130922052</v>
      </c>
      <c r="Q805" t="s">
        <v>262</v>
      </c>
      <c r="R805">
        <v>1</v>
      </c>
      <c r="S805">
        <v>45</v>
      </c>
      <c r="T805" t="s">
        <v>222</v>
      </c>
      <c r="AA805" t="s">
        <v>265</v>
      </c>
      <c r="AC805">
        <v>0</v>
      </c>
      <c r="AD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A805">
        <v>726666</v>
      </c>
      <c r="BB805">
        <v>3764552</v>
      </c>
    </row>
    <row r="806" spans="1:54" x14ac:dyDescent="0.35">
      <c r="A806">
        <v>109746</v>
      </c>
      <c r="B806">
        <v>113</v>
      </c>
      <c r="C806" t="s">
        <v>135</v>
      </c>
      <c r="D806" s="15">
        <v>701012130922054</v>
      </c>
      <c r="F806">
        <v>70</v>
      </c>
      <c r="G806" t="s">
        <v>136</v>
      </c>
      <c r="H806">
        <v>7010</v>
      </c>
      <c r="I806" t="s">
        <v>137</v>
      </c>
      <c r="K806" t="s">
        <v>138</v>
      </c>
      <c r="M806">
        <v>12130922054</v>
      </c>
      <c r="N806" t="s">
        <v>139</v>
      </c>
      <c r="O806">
        <v>12130922054</v>
      </c>
      <c r="P806" t="s">
        <v>140</v>
      </c>
      <c r="Q806" t="s">
        <v>141</v>
      </c>
      <c r="R806">
        <v>0</v>
      </c>
      <c r="T806" t="s">
        <v>146</v>
      </c>
      <c r="U806" t="s">
        <v>188</v>
      </c>
      <c r="V806" t="s">
        <v>188</v>
      </c>
      <c r="W806" t="s">
        <v>188</v>
      </c>
      <c r="X806" t="s">
        <v>188</v>
      </c>
      <c r="AA806" t="s">
        <v>144</v>
      </c>
      <c r="AB806" t="s">
        <v>332</v>
      </c>
      <c r="AC806">
        <v>0</v>
      </c>
      <c r="AD806">
        <v>200</v>
      </c>
      <c r="AE806" t="s">
        <v>147</v>
      </c>
      <c r="AF806" t="s">
        <v>273</v>
      </c>
      <c r="AG806" t="s">
        <v>149</v>
      </c>
      <c r="AH806" t="s">
        <v>182</v>
      </c>
      <c r="AJ806" t="s">
        <v>330</v>
      </c>
      <c r="AK806" t="s">
        <v>152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Z806" t="s">
        <v>333</v>
      </c>
      <c r="BA806">
        <v>726667.00000000198</v>
      </c>
      <c r="BB806">
        <v>3764552</v>
      </c>
    </row>
    <row r="807" spans="1:54" x14ac:dyDescent="0.35">
      <c r="A807">
        <v>109745</v>
      </c>
      <c r="B807">
        <v>112</v>
      </c>
      <c r="C807" t="s">
        <v>135</v>
      </c>
      <c r="D807" s="15">
        <v>701012130922054</v>
      </c>
      <c r="F807">
        <v>70</v>
      </c>
      <c r="G807" t="s">
        <v>136</v>
      </c>
      <c r="H807">
        <v>7010</v>
      </c>
      <c r="I807" t="s">
        <v>137</v>
      </c>
      <c r="K807" t="s">
        <v>79</v>
      </c>
      <c r="M807">
        <v>12130922053</v>
      </c>
      <c r="N807" t="s">
        <v>139</v>
      </c>
      <c r="O807">
        <v>12130922053</v>
      </c>
      <c r="Q807" t="s">
        <v>141</v>
      </c>
      <c r="R807">
        <v>0</v>
      </c>
      <c r="T807" t="s">
        <v>146</v>
      </c>
      <c r="AA807" t="s">
        <v>144</v>
      </c>
      <c r="AB807" t="s">
        <v>332</v>
      </c>
      <c r="AC807">
        <v>0</v>
      </c>
      <c r="AD807">
        <v>200</v>
      </c>
      <c r="AE807" t="s">
        <v>147</v>
      </c>
      <c r="AF807" t="s">
        <v>273</v>
      </c>
      <c r="AG807" t="s">
        <v>149</v>
      </c>
      <c r="AH807" t="s">
        <v>182</v>
      </c>
      <c r="AJ807" t="s">
        <v>330</v>
      </c>
      <c r="AK807" t="s">
        <v>152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Z807" t="s">
        <v>333</v>
      </c>
      <c r="BA807">
        <v>726667.00000000198</v>
      </c>
      <c r="BB807">
        <v>3764553</v>
      </c>
    </row>
    <row r="808" spans="1:54" x14ac:dyDescent="0.35">
      <c r="A808">
        <v>109744</v>
      </c>
      <c r="B808">
        <v>111</v>
      </c>
      <c r="C808" t="s">
        <v>135</v>
      </c>
      <c r="D808" s="15">
        <v>701012130922053</v>
      </c>
      <c r="F808">
        <v>70</v>
      </c>
      <c r="G808" t="s">
        <v>136</v>
      </c>
      <c r="H808">
        <v>7010</v>
      </c>
      <c r="I808" t="s">
        <v>137</v>
      </c>
      <c r="K808" t="s">
        <v>138</v>
      </c>
      <c r="M808">
        <v>12130922053</v>
      </c>
      <c r="N808" t="s">
        <v>160</v>
      </c>
      <c r="O808">
        <v>12130922053</v>
      </c>
      <c r="P808" t="s">
        <v>147</v>
      </c>
      <c r="Q808" t="s">
        <v>262</v>
      </c>
      <c r="R808">
        <v>0</v>
      </c>
      <c r="T808" t="s">
        <v>146</v>
      </c>
      <c r="U808" t="s">
        <v>263</v>
      </c>
      <c r="V808" t="s">
        <v>263</v>
      </c>
      <c r="W808" t="s">
        <v>263</v>
      </c>
      <c r="AA808" t="s">
        <v>264</v>
      </c>
      <c r="AB808" t="s">
        <v>332</v>
      </c>
      <c r="AC808">
        <v>0</v>
      </c>
      <c r="AD808">
        <v>200</v>
      </c>
      <c r="AE808" t="s">
        <v>147</v>
      </c>
      <c r="AF808" t="s">
        <v>273</v>
      </c>
      <c r="AG808" t="s">
        <v>149</v>
      </c>
      <c r="AH808" t="s">
        <v>182</v>
      </c>
      <c r="AJ808" t="s">
        <v>330</v>
      </c>
      <c r="AK808" t="s">
        <v>152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Z808" t="s">
        <v>333</v>
      </c>
      <c r="BA808">
        <v>726667.00000000198</v>
      </c>
      <c r="BB808">
        <v>3764553</v>
      </c>
    </row>
    <row r="809" spans="1:54" x14ac:dyDescent="0.35">
      <c r="A809">
        <v>109743</v>
      </c>
      <c r="B809">
        <v>110</v>
      </c>
      <c r="C809" t="s">
        <v>135</v>
      </c>
      <c r="D809" s="15">
        <v>701012130922053</v>
      </c>
      <c r="F809">
        <v>70</v>
      </c>
      <c r="G809" t="s">
        <v>136</v>
      </c>
      <c r="H809">
        <v>7010</v>
      </c>
      <c r="I809" t="s">
        <v>137</v>
      </c>
      <c r="K809" t="s">
        <v>79</v>
      </c>
      <c r="M809">
        <v>12130922052</v>
      </c>
      <c r="N809" t="s">
        <v>160</v>
      </c>
      <c r="O809">
        <v>12130922052</v>
      </c>
      <c r="Q809" t="s">
        <v>262</v>
      </c>
      <c r="R809">
        <v>1</v>
      </c>
      <c r="S809">
        <v>36</v>
      </c>
      <c r="T809" t="s">
        <v>222</v>
      </c>
      <c r="AA809" t="s">
        <v>265</v>
      </c>
      <c r="AC809">
        <v>0</v>
      </c>
      <c r="AD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A809">
        <v>726666</v>
      </c>
      <c r="BB809">
        <v>3764552</v>
      </c>
    </row>
    <row r="810" spans="1:54" x14ac:dyDescent="0.35">
      <c r="A810">
        <v>109742</v>
      </c>
      <c r="B810">
        <v>109</v>
      </c>
      <c r="C810" t="s">
        <v>135</v>
      </c>
      <c r="D810" s="15">
        <v>701012130922052</v>
      </c>
      <c r="F810">
        <v>70</v>
      </c>
      <c r="G810" t="s">
        <v>136</v>
      </c>
      <c r="H810">
        <v>7010</v>
      </c>
      <c r="I810" t="s">
        <v>137</v>
      </c>
      <c r="K810" t="s">
        <v>138</v>
      </c>
      <c r="M810">
        <v>12130922052</v>
      </c>
      <c r="N810" t="s">
        <v>160</v>
      </c>
      <c r="O810">
        <v>12130922052</v>
      </c>
      <c r="P810" t="s">
        <v>147</v>
      </c>
      <c r="Q810" t="s">
        <v>262</v>
      </c>
      <c r="R810">
        <v>1</v>
      </c>
      <c r="S810">
        <v>36</v>
      </c>
      <c r="T810" t="s">
        <v>222</v>
      </c>
      <c r="U810" t="s">
        <v>263</v>
      </c>
      <c r="V810" t="s">
        <v>263</v>
      </c>
      <c r="W810" t="s">
        <v>263</v>
      </c>
      <c r="AA810" t="s">
        <v>265</v>
      </c>
      <c r="AC810">
        <v>0</v>
      </c>
      <c r="AD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A810">
        <v>726666</v>
      </c>
      <c r="BB810">
        <v>3764552</v>
      </c>
    </row>
    <row r="811" spans="1:54" x14ac:dyDescent="0.35">
      <c r="A811">
        <v>109741</v>
      </c>
      <c r="B811">
        <v>108</v>
      </c>
      <c r="C811" t="s">
        <v>135</v>
      </c>
      <c r="D811" s="15">
        <v>701012130922052</v>
      </c>
      <c r="F811">
        <v>70</v>
      </c>
      <c r="G811" t="s">
        <v>136</v>
      </c>
      <c r="H811">
        <v>7010</v>
      </c>
      <c r="I811" t="s">
        <v>137</v>
      </c>
      <c r="K811" t="s">
        <v>79</v>
      </c>
      <c r="M811">
        <v>12130922049</v>
      </c>
      <c r="N811" t="s">
        <v>160</v>
      </c>
      <c r="O811">
        <v>12130922049</v>
      </c>
      <c r="Q811" t="s">
        <v>262</v>
      </c>
      <c r="R811">
        <v>1</v>
      </c>
      <c r="S811">
        <v>36</v>
      </c>
      <c r="T811" t="s">
        <v>222</v>
      </c>
      <c r="AA811" t="s">
        <v>265</v>
      </c>
      <c r="AC811">
        <v>0</v>
      </c>
      <c r="AD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A811">
        <v>726643</v>
      </c>
      <c r="BB811">
        <v>3764518</v>
      </c>
    </row>
    <row r="812" spans="1:54" x14ac:dyDescent="0.35">
      <c r="A812">
        <v>109740</v>
      </c>
      <c r="B812">
        <v>107</v>
      </c>
      <c r="C812" t="s">
        <v>135</v>
      </c>
      <c r="D812" s="15">
        <v>701012130922051</v>
      </c>
      <c r="F812">
        <v>70</v>
      </c>
      <c r="G812" t="s">
        <v>136</v>
      </c>
      <c r="H812">
        <v>7010</v>
      </c>
      <c r="I812" t="s">
        <v>137</v>
      </c>
      <c r="K812" t="s">
        <v>138</v>
      </c>
      <c r="M812">
        <v>12130922051</v>
      </c>
      <c r="N812" t="s">
        <v>139</v>
      </c>
      <c r="O812">
        <v>12130922051</v>
      </c>
      <c r="P812" t="s">
        <v>140</v>
      </c>
      <c r="Q812" t="s">
        <v>141</v>
      </c>
      <c r="R812">
        <v>0</v>
      </c>
      <c r="T812" t="s">
        <v>146</v>
      </c>
      <c r="U812" t="s">
        <v>298</v>
      </c>
      <c r="V812" t="s">
        <v>298</v>
      </c>
      <c r="W812" t="s">
        <v>298</v>
      </c>
      <c r="X812" t="s">
        <v>298</v>
      </c>
      <c r="AA812" t="s">
        <v>144</v>
      </c>
      <c r="AB812" t="s">
        <v>334</v>
      </c>
      <c r="AC812">
        <v>0</v>
      </c>
      <c r="AD812">
        <v>25</v>
      </c>
      <c r="AE812" t="s">
        <v>147</v>
      </c>
      <c r="AF812" t="s">
        <v>273</v>
      </c>
      <c r="AG812" t="s">
        <v>149</v>
      </c>
      <c r="AH812" t="s">
        <v>182</v>
      </c>
      <c r="AJ812" t="s">
        <v>335</v>
      </c>
      <c r="AK812" t="s">
        <v>186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Z812" t="s">
        <v>336</v>
      </c>
      <c r="BA812">
        <v>726646</v>
      </c>
      <c r="BB812">
        <v>3764518</v>
      </c>
    </row>
    <row r="813" spans="1:54" x14ac:dyDescent="0.35">
      <c r="A813">
        <v>109739</v>
      </c>
      <c r="B813">
        <v>106</v>
      </c>
      <c r="C813" t="s">
        <v>135</v>
      </c>
      <c r="D813" s="15">
        <v>701012130922051</v>
      </c>
      <c r="F813">
        <v>70</v>
      </c>
      <c r="G813" t="s">
        <v>136</v>
      </c>
      <c r="H813">
        <v>7010</v>
      </c>
      <c r="I813" t="s">
        <v>137</v>
      </c>
      <c r="K813" t="s">
        <v>79</v>
      </c>
      <c r="M813">
        <v>12130922050</v>
      </c>
      <c r="N813" t="s">
        <v>139</v>
      </c>
      <c r="O813">
        <v>12130922050</v>
      </c>
      <c r="Q813" t="s">
        <v>141</v>
      </c>
      <c r="R813">
        <v>0</v>
      </c>
      <c r="T813" t="s">
        <v>146</v>
      </c>
      <c r="AA813" t="s">
        <v>144</v>
      </c>
      <c r="AB813" t="s">
        <v>334</v>
      </c>
      <c r="AC813">
        <v>0</v>
      </c>
      <c r="AD813">
        <v>25</v>
      </c>
      <c r="AE813" t="s">
        <v>147</v>
      </c>
      <c r="AF813" t="s">
        <v>273</v>
      </c>
      <c r="AG813" t="s">
        <v>149</v>
      </c>
      <c r="AH813" t="s">
        <v>182</v>
      </c>
      <c r="AJ813" t="s">
        <v>335</v>
      </c>
      <c r="AK813" t="s">
        <v>186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Z813" t="s">
        <v>336</v>
      </c>
      <c r="BA813">
        <v>726645.00000000105</v>
      </c>
      <c r="BB813">
        <v>3764517</v>
      </c>
    </row>
    <row r="814" spans="1:54" x14ac:dyDescent="0.35">
      <c r="A814">
        <v>109738</v>
      </c>
      <c r="B814">
        <v>105</v>
      </c>
      <c r="C814" t="s">
        <v>135</v>
      </c>
      <c r="D814" s="15">
        <v>701012130922050</v>
      </c>
      <c r="F814">
        <v>70</v>
      </c>
      <c r="G814" t="s">
        <v>136</v>
      </c>
      <c r="H814">
        <v>7010</v>
      </c>
      <c r="I814" t="s">
        <v>137</v>
      </c>
      <c r="K814" t="s">
        <v>138</v>
      </c>
      <c r="M814">
        <v>12130922050</v>
      </c>
      <c r="N814" t="s">
        <v>160</v>
      </c>
      <c r="O814">
        <v>12130922050</v>
      </c>
      <c r="P814" t="s">
        <v>147</v>
      </c>
      <c r="Q814" t="s">
        <v>262</v>
      </c>
      <c r="R814">
        <v>0</v>
      </c>
      <c r="T814" t="s">
        <v>146</v>
      </c>
      <c r="U814" t="s">
        <v>263</v>
      </c>
      <c r="V814" t="s">
        <v>263</v>
      </c>
      <c r="W814" t="s">
        <v>263</v>
      </c>
      <c r="AA814" t="s">
        <v>264</v>
      </c>
      <c r="AB814" t="s">
        <v>334</v>
      </c>
      <c r="AC814">
        <v>0</v>
      </c>
      <c r="AD814">
        <v>25</v>
      </c>
      <c r="AE814" t="s">
        <v>147</v>
      </c>
      <c r="AF814" t="s">
        <v>273</v>
      </c>
      <c r="AG814" t="s">
        <v>149</v>
      </c>
      <c r="AH814" t="s">
        <v>182</v>
      </c>
      <c r="AJ814" t="s">
        <v>335</v>
      </c>
      <c r="AK814" t="s">
        <v>186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Z814" t="s">
        <v>336</v>
      </c>
      <c r="BA814">
        <v>726645.00000000105</v>
      </c>
      <c r="BB814">
        <v>3764517</v>
      </c>
    </row>
    <row r="815" spans="1:54" x14ac:dyDescent="0.35">
      <c r="A815">
        <v>109737</v>
      </c>
      <c r="B815">
        <v>104</v>
      </c>
      <c r="C815" t="s">
        <v>135</v>
      </c>
      <c r="D815" s="15">
        <v>701012130922050</v>
      </c>
      <c r="F815">
        <v>70</v>
      </c>
      <c r="G815" t="s">
        <v>136</v>
      </c>
      <c r="H815">
        <v>7010</v>
      </c>
      <c r="I815" t="s">
        <v>137</v>
      </c>
      <c r="K815" t="s">
        <v>79</v>
      </c>
      <c r="M815">
        <v>12130922049</v>
      </c>
      <c r="N815" t="s">
        <v>160</v>
      </c>
      <c r="O815">
        <v>12130922049</v>
      </c>
      <c r="Q815" t="s">
        <v>262</v>
      </c>
      <c r="R815">
        <v>1</v>
      </c>
      <c r="S815">
        <v>36</v>
      </c>
      <c r="T815" t="s">
        <v>222</v>
      </c>
      <c r="AA815" t="s">
        <v>265</v>
      </c>
      <c r="AC815">
        <v>0</v>
      </c>
      <c r="AD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A815">
        <v>726643</v>
      </c>
      <c r="BB815">
        <v>3764518</v>
      </c>
    </row>
    <row r="816" spans="1:54" x14ac:dyDescent="0.35">
      <c r="A816">
        <v>109736</v>
      </c>
      <c r="B816">
        <v>103</v>
      </c>
      <c r="C816" t="s">
        <v>135</v>
      </c>
      <c r="D816" s="15">
        <v>701012130922049</v>
      </c>
      <c r="F816">
        <v>70</v>
      </c>
      <c r="G816" t="s">
        <v>136</v>
      </c>
      <c r="H816">
        <v>7010</v>
      </c>
      <c r="I816" t="s">
        <v>137</v>
      </c>
      <c r="K816" t="s">
        <v>138</v>
      </c>
      <c r="M816">
        <v>12130922049</v>
      </c>
      <c r="N816" t="s">
        <v>160</v>
      </c>
      <c r="O816">
        <v>12130922049</v>
      </c>
      <c r="P816" t="s">
        <v>147</v>
      </c>
      <c r="Q816" t="s">
        <v>262</v>
      </c>
      <c r="R816">
        <v>1</v>
      </c>
      <c r="S816">
        <v>36</v>
      </c>
      <c r="T816" t="s">
        <v>222</v>
      </c>
      <c r="U816" t="s">
        <v>263</v>
      </c>
      <c r="V816" t="s">
        <v>263</v>
      </c>
      <c r="W816" t="s">
        <v>263</v>
      </c>
      <c r="AA816" t="s">
        <v>265</v>
      </c>
      <c r="AC816">
        <v>0</v>
      </c>
      <c r="AD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A816">
        <v>726643</v>
      </c>
      <c r="BB816">
        <v>3764518</v>
      </c>
    </row>
    <row r="817" spans="1:54" x14ac:dyDescent="0.35">
      <c r="A817">
        <v>109735</v>
      </c>
      <c r="B817">
        <v>102</v>
      </c>
      <c r="C817" t="s">
        <v>135</v>
      </c>
      <c r="D817" s="15">
        <v>701012130922049</v>
      </c>
      <c r="F817">
        <v>70</v>
      </c>
      <c r="G817" t="s">
        <v>136</v>
      </c>
      <c r="H817">
        <v>7010</v>
      </c>
      <c r="I817" t="s">
        <v>137</v>
      </c>
      <c r="K817" t="s">
        <v>79</v>
      </c>
      <c r="M817">
        <v>12130922048</v>
      </c>
      <c r="N817" t="s">
        <v>160</v>
      </c>
      <c r="O817">
        <v>12130922048</v>
      </c>
      <c r="Q817" t="s">
        <v>262</v>
      </c>
      <c r="R817">
        <v>1</v>
      </c>
      <c r="S817">
        <v>36</v>
      </c>
      <c r="T817" t="s">
        <v>222</v>
      </c>
      <c r="AA817" t="s">
        <v>265</v>
      </c>
      <c r="AC817">
        <v>0</v>
      </c>
      <c r="AD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A817">
        <v>726636</v>
      </c>
      <c r="BB817">
        <v>3764484</v>
      </c>
    </row>
    <row r="818" spans="1:54" x14ac:dyDescent="0.35">
      <c r="A818">
        <v>109734</v>
      </c>
      <c r="B818">
        <v>101</v>
      </c>
      <c r="C818" t="s">
        <v>135</v>
      </c>
      <c r="D818" s="15">
        <v>701012130922048</v>
      </c>
      <c r="F818">
        <v>70</v>
      </c>
      <c r="G818" t="s">
        <v>136</v>
      </c>
      <c r="H818">
        <v>7010</v>
      </c>
      <c r="I818" t="s">
        <v>137</v>
      </c>
      <c r="K818" t="s">
        <v>138</v>
      </c>
      <c r="M818">
        <v>12130922048</v>
      </c>
      <c r="N818" t="s">
        <v>160</v>
      </c>
      <c r="O818">
        <v>12130922048</v>
      </c>
      <c r="P818" t="s">
        <v>147</v>
      </c>
      <c r="Q818" t="s">
        <v>262</v>
      </c>
      <c r="R818">
        <v>1</v>
      </c>
      <c r="S818">
        <v>36</v>
      </c>
      <c r="T818" t="s">
        <v>222</v>
      </c>
      <c r="U818" t="s">
        <v>267</v>
      </c>
      <c r="V818" t="s">
        <v>267</v>
      </c>
      <c r="W818" t="s">
        <v>267</v>
      </c>
      <c r="AA818" t="s">
        <v>265</v>
      </c>
      <c r="AC818">
        <v>0</v>
      </c>
      <c r="AD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A818">
        <v>726636</v>
      </c>
      <c r="BB818">
        <v>3764484</v>
      </c>
    </row>
    <row r="819" spans="1:54" x14ac:dyDescent="0.35">
      <c r="A819">
        <v>109733</v>
      </c>
      <c r="B819">
        <v>100</v>
      </c>
      <c r="C819" t="s">
        <v>135</v>
      </c>
      <c r="D819" s="15">
        <v>701012130922048</v>
      </c>
      <c r="F819">
        <v>70</v>
      </c>
      <c r="G819" t="s">
        <v>136</v>
      </c>
      <c r="H819">
        <v>7010</v>
      </c>
      <c r="I819" t="s">
        <v>137</v>
      </c>
      <c r="K819" t="s">
        <v>79</v>
      </c>
      <c r="M819">
        <v>12120922030</v>
      </c>
      <c r="N819" t="s">
        <v>160</v>
      </c>
      <c r="O819">
        <v>12120922030</v>
      </c>
      <c r="Q819" t="s">
        <v>262</v>
      </c>
      <c r="R819">
        <v>2</v>
      </c>
      <c r="S819">
        <v>36</v>
      </c>
      <c r="T819" t="s">
        <v>222</v>
      </c>
      <c r="AA819" t="s">
        <v>265</v>
      </c>
      <c r="AC819">
        <v>0</v>
      </c>
      <c r="AD819">
        <v>0</v>
      </c>
      <c r="AN819" t="s">
        <v>266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A819">
        <v>726614.00000000105</v>
      </c>
      <c r="BB819">
        <v>3764431</v>
      </c>
    </row>
    <row r="820" spans="1:54" x14ac:dyDescent="0.35">
      <c r="A820">
        <v>109732</v>
      </c>
      <c r="B820">
        <v>99</v>
      </c>
      <c r="C820" t="s">
        <v>135</v>
      </c>
      <c r="D820" s="15">
        <v>701012120922047</v>
      </c>
      <c r="F820">
        <v>70</v>
      </c>
      <c r="G820" t="s">
        <v>136</v>
      </c>
      <c r="H820">
        <v>7010</v>
      </c>
      <c r="I820" t="s">
        <v>137</v>
      </c>
      <c r="K820" t="s">
        <v>138</v>
      </c>
      <c r="M820">
        <v>12120922047</v>
      </c>
      <c r="N820" t="s">
        <v>160</v>
      </c>
      <c r="O820">
        <v>12120922047</v>
      </c>
      <c r="Q820" t="s">
        <v>262</v>
      </c>
      <c r="R820">
        <v>1</v>
      </c>
      <c r="S820">
        <v>36</v>
      </c>
      <c r="T820" t="s">
        <v>222</v>
      </c>
      <c r="U820" t="s">
        <v>267</v>
      </c>
      <c r="V820" t="s">
        <v>267</v>
      </c>
      <c r="W820" t="s">
        <v>267</v>
      </c>
      <c r="AA820" t="s">
        <v>265</v>
      </c>
      <c r="AC820">
        <v>0</v>
      </c>
      <c r="AD820">
        <v>0</v>
      </c>
      <c r="AN820" t="s">
        <v>271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A820">
        <v>726844.00000000105</v>
      </c>
      <c r="BB820">
        <v>3763884</v>
      </c>
    </row>
    <row r="821" spans="1:54" x14ac:dyDescent="0.35">
      <c r="A821">
        <v>109731</v>
      </c>
      <c r="B821">
        <v>98</v>
      </c>
      <c r="C821" t="s">
        <v>135</v>
      </c>
      <c r="D821" s="15">
        <v>701012120922047</v>
      </c>
      <c r="F821">
        <v>70</v>
      </c>
      <c r="G821" t="s">
        <v>136</v>
      </c>
      <c r="H821">
        <v>7010</v>
      </c>
      <c r="I821" t="s">
        <v>137</v>
      </c>
      <c r="K821" t="s">
        <v>79</v>
      </c>
      <c r="M821">
        <v>12120922046</v>
      </c>
      <c r="N821" t="s">
        <v>160</v>
      </c>
      <c r="O821">
        <v>12120922046</v>
      </c>
      <c r="Q821" t="s">
        <v>262</v>
      </c>
      <c r="R821">
        <v>1</v>
      </c>
      <c r="S821">
        <v>36</v>
      </c>
      <c r="T821" t="s">
        <v>222</v>
      </c>
      <c r="AA821" t="s">
        <v>265</v>
      </c>
      <c r="AC821">
        <v>0</v>
      </c>
      <c r="AD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A821">
        <v>726812</v>
      </c>
      <c r="BB821">
        <v>3763903</v>
      </c>
    </row>
    <row r="822" spans="1:54" x14ac:dyDescent="0.35">
      <c r="A822">
        <v>109730</v>
      </c>
      <c r="B822">
        <v>97</v>
      </c>
      <c r="C822" t="s">
        <v>135</v>
      </c>
      <c r="D822" s="15">
        <v>701012120922046</v>
      </c>
      <c r="F822">
        <v>70</v>
      </c>
      <c r="G822" t="s">
        <v>136</v>
      </c>
      <c r="H822">
        <v>7010</v>
      </c>
      <c r="I822" t="s">
        <v>137</v>
      </c>
      <c r="K822" t="s">
        <v>138</v>
      </c>
      <c r="M822">
        <v>12120922046</v>
      </c>
      <c r="N822" t="s">
        <v>160</v>
      </c>
      <c r="O822">
        <v>12120922046</v>
      </c>
      <c r="P822" t="s">
        <v>147</v>
      </c>
      <c r="Q822" t="s">
        <v>262</v>
      </c>
      <c r="R822">
        <v>1</v>
      </c>
      <c r="S822">
        <v>36</v>
      </c>
      <c r="T822" t="s">
        <v>222</v>
      </c>
      <c r="U822" t="s">
        <v>267</v>
      </c>
      <c r="V822" t="s">
        <v>267</v>
      </c>
      <c r="W822" t="s">
        <v>267</v>
      </c>
      <c r="AA822" t="s">
        <v>265</v>
      </c>
      <c r="AC822">
        <v>0</v>
      </c>
      <c r="AD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A822">
        <v>726812</v>
      </c>
      <c r="BB822">
        <v>3763903</v>
      </c>
    </row>
    <row r="823" spans="1:54" x14ac:dyDescent="0.35">
      <c r="A823">
        <v>109729</v>
      </c>
      <c r="B823">
        <v>96</v>
      </c>
      <c r="C823" t="s">
        <v>135</v>
      </c>
      <c r="D823" s="15">
        <v>701012120922046</v>
      </c>
      <c r="E823">
        <v>3</v>
      </c>
      <c r="F823">
        <v>70</v>
      </c>
      <c r="G823" t="s">
        <v>136</v>
      </c>
      <c r="H823">
        <v>7010</v>
      </c>
      <c r="I823" t="s">
        <v>137</v>
      </c>
      <c r="M823">
        <v>12120922045</v>
      </c>
      <c r="N823" t="s">
        <v>160</v>
      </c>
      <c r="O823">
        <v>12120922045</v>
      </c>
      <c r="Q823" t="s">
        <v>262</v>
      </c>
      <c r="R823">
        <v>1</v>
      </c>
      <c r="S823">
        <v>36</v>
      </c>
      <c r="T823" t="s">
        <v>222</v>
      </c>
      <c r="AA823" t="s">
        <v>265</v>
      </c>
      <c r="AC823">
        <v>0</v>
      </c>
      <c r="AD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A823">
        <v>726837</v>
      </c>
      <c r="BB823">
        <v>3763948</v>
      </c>
    </row>
    <row r="824" spans="1:54" x14ac:dyDescent="0.35">
      <c r="A824">
        <v>109728</v>
      </c>
      <c r="B824">
        <v>95</v>
      </c>
      <c r="C824" t="s">
        <v>135</v>
      </c>
      <c r="D824" s="15">
        <v>701012120922046</v>
      </c>
      <c r="E824">
        <v>2</v>
      </c>
      <c r="F824">
        <v>70</v>
      </c>
      <c r="G824" t="s">
        <v>136</v>
      </c>
      <c r="H824">
        <v>7010</v>
      </c>
      <c r="I824" t="s">
        <v>137</v>
      </c>
      <c r="M824">
        <v>12120922044</v>
      </c>
      <c r="N824" t="s">
        <v>160</v>
      </c>
      <c r="O824">
        <v>12120922044</v>
      </c>
      <c r="Q824" t="s">
        <v>262</v>
      </c>
      <c r="R824">
        <v>1</v>
      </c>
      <c r="S824">
        <v>36</v>
      </c>
      <c r="T824" t="s">
        <v>222</v>
      </c>
      <c r="AA824" t="s">
        <v>265</v>
      </c>
      <c r="AC824">
        <v>0</v>
      </c>
      <c r="AD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A824">
        <v>726855</v>
      </c>
      <c r="BB824">
        <v>3763980</v>
      </c>
    </row>
    <row r="825" spans="1:54" x14ac:dyDescent="0.35">
      <c r="A825">
        <v>109727</v>
      </c>
      <c r="B825">
        <v>94</v>
      </c>
      <c r="C825" t="s">
        <v>135</v>
      </c>
      <c r="D825" s="15">
        <v>701012120922046</v>
      </c>
      <c r="E825">
        <v>1</v>
      </c>
      <c r="F825">
        <v>70</v>
      </c>
      <c r="G825" t="s">
        <v>136</v>
      </c>
      <c r="H825">
        <v>7010</v>
      </c>
      <c r="I825" t="s">
        <v>137</v>
      </c>
      <c r="M825">
        <v>12120922043</v>
      </c>
      <c r="N825" t="s">
        <v>160</v>
      </c>
      <c r="O825">
        <v>12120922043</v>
      </c>
      <c r="Q825" t="s">
        <v>262</v>
      </c>
      <c r="R825">
        <v>1</v>
      </c>
      <c r="S825">
        <v>36</v>
      </c>
      <c r="T825" t="s">
        <v>222</v>
      </c>
      <c r="AA825" t="s">
        <v>265</v>
      </c>
      <c r="AC825">
        <v>0</v>
      </c>
      <c r="AD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A825">
        <v>726877.00000000105</v>
      </c>
      <c r="BB825">
        <v>3764021</v>
      </c>
    </row>
    <row r="826" spans="1:54" x14ac:dyDescent="0.35">
      <c r="A826">
        <v>109726</v>
      </c>
      <c r="B826">
        <v>93</v>
      </c>
      <c r="C826" t="s">
        <v>135</v>
      </c>
      <c r="D826" s="15">
        <v>701012120922046</v>
      </c>
      <c r="E826">
        <v>0</v>
      </c>
      <c r="F826">
        <v>70</v>
      </c>
      <c r="G826" t="s">
        <v>136</v>
      </c>
      <c r="H826">
        <v>7010</v>
      </c>
      <c r="I826" t="s">
        <v>137</v>
      </c>
      <c r="M826">
        <v>12120922042</v>
      </c>
      <c r="N826" t="s">
        <v>160</v>
      </c>
      <c r="O826">
        <v>12120922042</v>
      </c>
      <c r="Q826" t="s">
        <v>262</v>
      </c>
      <c r="R826">
        <v>1</v>
      </c>
      <c r="S826">
        <v>36</v>
      </c>
      <c r="T826" t="s">
        <v>222</v>
      </c>
      <c r="AA826" t="s">
        <v>265</v>
      </c>
      <c r="AC826">
        <v>0</v>
      </c>
      <c r="AD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A826">
        <v>726895.00000000105</v>
      </c>
      <c r="BB826">
        <v>3764062</v>
      </c>
    </row>
    <row r="827" spans="1:54" x14ac:dyDescent="0.35">
      <c r="A827">
        <v>109725</v>
      </c>
      <c r="B827">
        <v>92</v>
      </c>
      <c r="C827" t="s">
        <v>135</v>
      </c>
      <c r="D827" s="15">
        <v>701012120922046</v>
      </c>
      <c r="F827">
        <v>70</v>
      </c>
      <c r="G827" t="s">
        <v>136</v>
      </c>
      <c r="H827">
        <v>7010</v>
      </c>
      <c r="I827" t="s">
        <v>137</v>
      </c>
      <c r="K827" t="s">
        <v>79</v>
      </c>
      <c r="M827">
        <v>12120922041</v>
      </c>
      <c r="N827" t="s">
        <v>160</v>
      </c>
      <c r="O827">
        <v>12120922041</v>
      </c>
      <c r="Q827" t="s">
        <v>262</v>
      </c>
      <c r="R827">
        <v>1</v>
      </c>
      <c r="S827">
        <v>36</v>
      </c>
      <c r="T827" t="s">
        <v>222</v>
      </c>
      <c r="AA827" t="s">
        <v>265</v>
      </c>
      <c r="AC827">
        <v>0</v>
      </c>
      <c r="AD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A827">
        <v>726916.00000000105</v>
      </c>
      <c r="BB827">
        <v>3764112</v>
      </c>
    </row>
    <row r="828" spans="1:54" x14ac:dyDescent="0.35">
      <c r="A828">
        <v>109724</v>
      </c>
      <c r="B828">
        <v>91</v>
      </c>
      <c r="C828" t="s">
        <v>135</v>
      </c>
      <c r="D828" s="15">
        <v>701012120922041</v>
      </c>
      <c r="F828">
        <v>70</v>
      </c>
      <c r="G828" t="s">
        <v>136</v>
      </c>
      <c r="H828">
        <v>7010</v>
      </c>
      <c r="I828" t="s">
        <v>137</v>
      </c>
      <c r="K828" t="s">
        <v>138</v>
      </c>
      <c r="M828">
        <v>12120922041</v>
      </c>
      <c r="N828" t="s">
        <v>160</v>
      </c>
      <c r="O828">
        <v>12120922041</v>
      </c>
      <c r="P828" t="s">
        <v>147</v>
      </c>
      <c r="Q828" t="s">
        <v>262</v>
      </c>
      <c r="R828">
        <v>1</v>
      </c>
      <c r="S828">
        <v>36</v>
      </c>
      <c r="T828" t="s">
        <v>222</v>
      </c>
      <c r="U828" t="s">
        <v>267</v>
      </c>
      <c r="V828" t="s">
        <v>267</v>
      </c>
      <c r="W828" t="s">
        <v>267</v>
      </c>
      <c r="AA828" t="s">
        <v>265</v>
      </c>
      <c r="AC828">
        <v>0</v>
      </c>
      <c r="AD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A828">
        <v>726916.00000000105</v>
      </c>
      <c r="BB828">
        <v>3764112</v>
      </c>
    </row>
    <row r="829" spans="1:54" x14ac:dyDescent="0.35">
      <c r="A829">
        <v>109723</v>
      </c>
      <c r="B829">
        <v>90</v>
      </c>
      <c r="C829" t="s">
        <v>135</v>
      </c>
      <c r="D829" s="15">
        <v>701012120922041</v>
      </c>
      <c r="E829">
        <v>6</v>
      </c>
      <c r="F829">
        <v>70</v>
      </c>
      <c r="G829" t="s">
        <v>136</v>
      </c>
      <c r="H829">
        <v>7010</v>
      </c>
      <c r="I829" t="s">
        <v>137</v>
      </c>
      <c r="M829">
        <v>12120922040</v>
      </c>
      <c r="N829" t="s">
        <v>160</v>
      </c>
      <c r="O829">
        <v>12120922040</v>
      </c>
      <c r="Q829" t="s">
        <v>262</v>
      </c>
      <c r="R829">
        <v>2</v>
      </c>
      <c r="S829">
        <v>36</v>
      </c>
      <c r="T829" t="s">
        <v>222</v>
      </c>
      <c r="AA829" t="s">
        <v>265</v>
      </c>
      <c r="AC829">
        <v>0</v>
      </c>
      <c r="AD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A829">
        <v>726942</v>
      </c>
      <c r="BB829">
        <v>3764167</v>
      </c>
    </row>
    <row r="830" spans="1:54" x14ac:dyDescent="0.35">
      <c r="A830">
        <v>109722</v>
      </c>
      <c r="B830">
        <v>89</v>
      </c>
      <c r="C830" t="s">
        <v>135</v>
      </c>
      <c r="D830" s="15">
        <v>701012120922041</v>
      </c>
      <c r="E830">
        <v>5</v>
      </c>
      <c r="F830">
        <v>70</v>
      </c>
      <c r="G830" t="s">
        <v>136</v>
      </c>
      <c r="H830">
        <v>7010</v>
      </c>
      <c r="I830" t="s">
        <v>137</v>
      </c>
      <c r="M830">
        <v>12120922039</v>
      </c>
      <c r="N830" t="s">
        <v>160</v>
      </c>
      <c r="O830">
        <v>12120922039</v>
      </c>
      <c r="Q830" t="s">
        <v>262</v>
      </c>
      <c r="R830">
        <v>2</v>
      </c>
      <c r="S830">
        <v>36</v>
      </c>
      <c r="T830" t="s">
        <v>222</v>
      </c>
      <c r="AA830" t="s">
        <v>265</v>
      </c>
      <c r="AC830">
        <v>0</v>
      </c>
      <c r="AD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A830">
        <v>726968</v>
      </c>
      <c r="BB830">
        <v>3764218</v>
      </c>
    </row>
    <row r="831" spans="1:54" x14ac:dyDescent="0.35">
      <c r="A831">
        <v>109721</v>
      </c>
      <c r="B831">
        <v>88</v>
      </c>
      <c r="C831" t="s">
        <v>135</v>
      </c>
      <c r="D831" s="15">
        <v>701012120922041</v>
      </c>
      <c r="E831">
        <v>4</v>
      </c>
      <c r="F831">
        <v>70</v>
      </c>
      <c r="G831" t="s">
        <v>136</v>
      </c>
      <c r="H831">
        <v>7010</v>
      </c>
      <c r="I831" t="s">
        <v>137</v>
      </c>
      <c r="M831">
        <v>12120922038</v>
      </c>
      <c r="N831" t="s">
        <v>160</v>
      </c>
      <c r="O831">
        <v>12120922038</v>
      </c>
      <c r="Q831" t="s">
        <v>262</v>
      </c>
      <c r="R831">
        <v>2</v>
      </c>
      <c r="S831">
        <v>36</v>
      </c>
      <c r="T831" t="s">
        <v>222</v>
      </c>
      <c r="AA831" t="s">
        <v>265</v>
      </c>
      <c r="AC831">
        <v>0</v>
      </c>
      <c r="AD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A831">
        <v>726991</v>
      </c>
      <c r="BB831">
        <v>3764269</v>
      </c>
    </row>
    <row r="832" spans="1:54" x14ac:dyDescent="0.35">
      <c r="A832">
        <v>109720</v>
      </c>
      <c r="B832">
        <v>87</v>
      </c>
      <c r="C832" t="s">
        <v>135</v>
      </c>
      <c r="D832" s="15">
        <v>701012120922041</v>
      </c>
      <c r="E832">
        <v>3</v>
      </c>
      <c r="F832">
        <v>70</v>
      </c>
      <c r="G832" t="s">
        <v>136</v>
      </c>
      <c r="H832">
        <v>7010</v>
      </c>
      <c r="I832" t="s">
        <v>137</v>
      </c>
      <c r="M832">
        <v>12120922037</v>
      </c>
      <c r="N832" t="s">
        <v>160</v>
      </c>
      <c r="O832">
        <v>12120922037</v>
      </c>
      <c r="Q832" t="s">
        <v>262</v>
      </c>
      <c r="R832">
        <v>2</v>
      </c>
      <c r="S832">
        <v>36</v>
      </c>
      <c r="T832" t="s">
        <v>222</v>
      </c>
      <c r="AA832" t="s">
        <v>265</v>
      </c>
      <c r="AC832">
        <v>0</v>
      </c>
      <c r="AD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A832">
        <v>727018.00000000105</v>
      </c>
      <c r="BB832">
        <v>3764314</v>
      </c>
    </row>
    <row r="833" spans="1:54" x14ac:dyDescent="0.35">
      <c r="A833">
        <v>109719</v>
      </c>
      <c r="B833">
        <v>86</v>
      </c>
      <c r="C833" t="s">
        <v>135</v>
      </c>
      <c r="D833" s="15">
        <v>701012120922041</v>
      </c>
      <c r="E833">
        <v>2</v>
      </c>
      <c r="F833">
        <v>70</v>
      </c>
      <c r="G833" t="s">
        <v>136</v>
      </c>
      <c r="H833">
        <v>7010</v>
      </c>
      <c r="I833" t="s">
        <v>137</v>
      </c>
      <c r="M833">
        <v>12120922036</v>
      </c>
      <c r="N833" t="s">
        <v>160</v>
      </c>
      <c r="O833">
        <v>12120922036</v>
      </c>
      <c r="Q833" t="s">
        <v>262</v>
      </c>
      <c r="R833">
        <v>2</v>
      </c>
      <c r="S833">
        <v>36</v>
      </c>
      <c r="T833" t="s">
        <v>222</v>
      </c>
      <c r="AA833" t="s">
        <v>265</v>
      </c>
      <c r="AC833">
        <v>0</v>
      </c>
      <c r="AD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A833">
        <v>727048.00000000198</v>
      </c>
      <c r="BB833">
        <v>3764370</v>
      </c>
    </row>
    <row r="834" spans="1:54" x14ac:dyDescent="0.35">
      <c r="A834">
        <v>109718</v>
      </c>
      <c r="B834">
        <v>85</v>
      </c>
      <c r="C834" t="s">
        <v>135</v>
      </c>
      <c r="D834" s="15">
        <v>701012120922041</v>
      </c>
      <c r="E834">
        <v>1</v>
      </c>
      <c r="F834">
        <v>70</v>
      </c>
      <c r="G834" t="s">
        <v>136</v>
      </c>
      <c r="H834">
        <v>7010</v>
      </c>
      <c r="I834" t="s">
        <v>137</v>
      </c>
      <c r="M834">
        <v>12120922035</v>
      </c>
      <c r="N834" t="s">
        <v>160</v>
      </c>
      <c r="O834">
        <v>12120922035</v>
      </c>
      <c r="Q834" t="s">
        <v>262</v>
      </c>
      <c r="R834">
        <v>2</v>
      </c>
      <c r="S834">
        <v>36</v>
      </c>
      <c r="T834" t="s">
        <v>222</v>
      </c>
      <c r="AA834" t="s">
        <v>265</v>
      </c>
      <c r="AC834">
        <v>0</v>
      </c>
      <c r="AD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A834">
        <v>726960</v>
      </c>
      <c r="BB834">
        <v>3764409</v>
      </c>
    </row>
    <row r="835" spans="1:54" x14ac:dyDescent="0.35">
      <c r="A835">
        <v>109717</v>
      </c>
      <c r="B835">
        <v>84</v>
      </c>
      <c r="C835" t="s">
        <v>135</v>
      </c>
      <c r="D835" s="15">
        <v>701012120922041</v>
      </c>
      <c r="E835">
        <v>0</v>
      </c>
      <c r="F835">
        <v>70</v>
      </c>
      <c r="G835" t="s">
        <v>136</v>
      </c>
      <c r="H835">
        <v>7010</v>
      </c>
      <c r="I835" t="s">
        <v>137</v>
      </c>
      <c r="M835">
        <v>12120922034</v>
      </c>
      <c r="N835" t="s">
        <v>160</v>
      </c>
      <c r="O835">
        <v>12120922034</v>
      </c>
      <c r="Q835" t="s">
        <v>262</v>
      </c>
      <c r="R835">
        <v>2</v>
      </c>
      <c r="S835">
        <v>36</v>
      </c>
      <c r="T835" t="s">
        <v>222</v>
      </c>
      <c r="AA835" t="s">
        <v>265</v>
      </c>
      <c r="AC835">
        <v>0</v>
      </c>
      <c r="AD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A835">
        <v>726914</v>
      </c>
      <c r="BB835">
        <v>3764409</v>
      </c>
    </row>
    <row r="836" spans="1:54" x14ac:dyDescent="0.35">
      <c r="A836">
        <v>109716</v>
      </c>
      <c r="B836">
        <v>83</v>
      </c>
      <c r="C836" t="s">
        <v>135</v>
      </c>
      <c r="D836" s="15">
        <v>701012120922041</v>
      </c>
      <c r="F836">
        <v>70</v>
      </c>
      <c r="G836" t="s">
        <v>136</v>
      </c>
      <c r="H836">
        <v>7010</v>
      </c>
      <c r="I836" t="s">
        <v>137</v>
      </c>
      <c r="K836" t="s">
        <v>79</v>
      </c>
      <c r="M836">
        <v>12120922033</v>
      </c>
      <c r="N836" t="s">
        <v>160</v>
      </c>
      <c r="O836">
        <v>12120922033</v>
      </c>
      <c r="Q836" t="s">
        <v>262</v>
      </c>
      <c r="R836">
        <v>2</v>
      </c>
      <c r="S836">
        <v>36</v>
      </c>
      <c r="T836" t="s">
        <v>222</v>
      </c>
      <c r="AA836" t="s">
        <v>265</v>
      </c>
      <c r="AC836">
        <v>0</v>
      </c>
      <c r="AD836">
        <v>0</v>
      </c>
      <c r="AN836" t="s">
        <v>266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A836">
        <v>726857.00000000105</v>
      </c>
      <c r="BB836">
        <v>3764422</v>
      </c>
    </row>
    <row r="837" spans="1:54" x14ac:dyDescent="0.35">
      <c r="A837">
        <v>109715</v>
      </c>
      <c r="B837">
        <v>82</v>
      </c>
      <c r="C837" t="s">
        <v>135</v>
      </c>
      <c r="D837" s="15">
        <v>701012120922033</v>
      </c>
      <c r="F837">
        <v>70</v>
      </c>
      <c r="G837" t="s">
        <v>136</v>
      </c>
      <c r="H837">
        <v>7010</v>
      </c>
      <c r="I837" t="s">
        <v>137</v>
      </c>
      <c r="K837" t="s">
        <v>138</v>
      </c>
      <c r="M837">
        <v>12120922033</v>
      </c>
      <c r="N837" t="s">
        <v>160</v>
      </c>
      <c r="O837">
        <v>12120922033</v>
      </c>
      <c r="P837" t="s">
        <v>147</v>
      </c>
      <c r="Q837" t="s">
        <v>262</v>
      </c>
      <c r="R837">
        <v>2</v>
      </c>
      <c r="S837">
        <v>36</v>
      </c>
      <c r="T837" t="s">
        <v>222</v>
      </c>
      <c r="U837" t="s">
        <v>267</v>
      </c>
      <c r="V837" t="s">
        <v>267</v>
      </c>
      <c r="W837" t="s">
        <v>267</v>
      </c>
      <c r="AA837" t="s">
        <v>265</v>
      </c>
      <c r="AC837">
        <v>0</v>
      </c>
      <c r="AD837">
        <v>0</v>
      </c>
      <c r="AN837" t="s">
        <v>266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A837">
        <v>726857.00000000105</v>
      </c>
      <c r="BB837">
        <v>3764422</v>
      </c>
    </row>
    <row r="838" spans="1:54" x14ac:dyDescent="0.35">
      <c r="A838">
        <v>109714</v>
      </c>
      <c r="B838">
        <v>81</v>
      </c>
      <c r="C838" t="s">
        <v>135</v>
      </c>
      <c r="D838" s="15">
        <v>701012120922033</v>
      </c>
      <c r="E838">
        <v>1</v>
      </c>
      <c r="F838">
        <v>70</v>
      </c>
      <c r="G838" t="s">
        <v>136</v>
      </c>
      <c r="H838">
        <v>7010</v>
      </c>
      <c r="I838" t="s">
        <v>137</v>
      </c>
      <c r="M838">
        <v>12120922032</v>
      </c>
      <c r="N838" t="s">
        <v>160</v>
      </c>
      <c r="O838">
        <v>12120922032</v>
      </c>
      <c r="Q838" t="s">
        <v>262</v>
      </c>
      <c r="R838">
        <v>2</v>
      </c>
      <c r="S838">
        <v>36</v>
      </c>
      <c r="T838" t="s">
        <v>222</v>
      </c>
      <c r="AA838" t="s">
        <v>265</v>
      </c>
      <c r="AC838">
        <v>0</v>
      </c>
      <c r="AD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A838">
        <v>726781</v>
      </c>
      <c r="BB838">
        <v>3764429</v>
      </c>
    </row>
    <row r="839" spans="1:54" x14ac:dyDescent="0.35">
      <c r="A839">
        <v>109713</v>
      </c>
      <c r="B839">
        <v>80</v>
      </c>
      <c r="C839" t="s">
        <v>135</v>
      </c>
      <c r="D839" s="15">
        <v>701012120922033</v>
      </c>
      <c r="E839">
        <v>0</v>
      </c>
      <c r="F839">
        <v>70</v>
      </c>
      <c r="G839" t="s">
        <v>136</v>
      </c>
      <c r="H839">
        <v>7010</v>
      </c>
      <c r="I839" t="s">
        <v>137</v>
      </c>
      <c r="M839">
        <v>12120922031</v>
      </c>
      <c r="N839" t="s">
        <v>160</v>
      </c>
      <c r="O839">
        <v>12120922031</v>
      </c>
      <c r="Q839" t="s">
        <v>262</v>
      </c>
      <c r="R839">
        <v>2</v>
      </c>
      <c r="S839">
        <v>36</v>
      </c>
      <c r="T839" t="s">
        <v>222</v>
      </c>
      <c r="AA839" t="s">
        <v>265</v>
      </c>
      <c r="AC839">
        <v>0</v>
      </c>
      <c r="AD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A839">
        <v>726699.99999999895</v>
      </c>
      <c r="BB839">
        <v>3764434</v>
      </c>
    </row>
    <row r="840" spans="1:54" x14ac:dyDescent="0.35">
      <c r="A840">
        <v>109712</v>
      </c>
      <c r="B840">
        <v>79</v>
      </c>
      <c r="C840" t="s">
        <v>135</v>
      </c>
      <c r="D840" s="15">
        <v>701012120922033</v>
      </c>
      <c r="F840">
        <v>70</v>
      </c>
      <c r="G840" t="s">
        <v>136</v>
      </c>
      <c r="H840">
        <v>7010</v>
      </c>
      <c r="I840" t="s">
        <v>137</v>
      </c>
      <c r="K840" t="s">
        <v>79</v>
      </c>
      <c r="M840">
        <v>12120922030</v>
      </c>
      <c r="N840" t="s">
        <v>160</v>
      </c>
      <c r="O840">
        <v>12120922030</v>
      </c>
      <c r="Q840" t="s">
        <v>262</v>
      </c>
      <c r="R840">
        <v>2</v>
      </c>
      <c r="S840">
        <v>36</v>
      </c>
      <c r="T840" t="s">
        <v>222</v>
      </c>
      <c r="AA840" t="s">
        <v>265</v>
      </c>
      <c r="AC840">
        <v>0</v>
      </c>
      <c r="AD840">
        <v>0</v>
      </c>
      <c r="AN840" t="s">
        <v>266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A840">
        <v>726614.00000000105</v>
      </c>
      <c r="BB840">
        <v>3764431</v>
      </c>
    </row>
    <row r="841" spans="1:54" x14ac:dyDescent="0.35">
      <c r="A841">
        <v>109711</v>
      </c>
      <c r="B841">
        <v>78</v>
      </c>
      <c r="C841" t="s">
        <v>135</v>
      </c>
      <c r="D841" s="15">
        <v>701012120922030</v>
      </c>
      <c r="F841">
        <v>70</v>
      </c>
      <c r="G841" t="s">
        <v>136</v>
      </c>
      <c r="H841">
        <v>7010</v>
      </c>
      <c r="I841" t="s">
        <v>137</v>
      </c>
      <c r="K841" t="s">
        <v>138</v>
      </c>
      <c r="M841">
        <v>12120922030</v>
      </c>
      <c r="N841" t="s">
        <v>160</v>
      </c>
      <c r="O841">
        <v>12120922030</v>
      </c>
      <c r="P841" t="s">
        <v>147</v>
      </c>
      <c r="Q841" t="s">
        <v>262</v>
      </c>
      <c r="R841">
        <v>2</v>
      </c>
      <c r="S841">
        <v>36</v>
      </c>
      <c r="T841" t="s">
        <v>222</v>
      </c>
      <c r="U841" t="s">
        <v>267</v>
      </c>
      <c r="V841" t="s">
        <v>267</v>
      </c>
      <c r="W841" t="s">
        <v>267</v>
      </c>
      <c r="AA841" t="s">
        <v>265</v>
      </c>
      <c r="AC841">
        <v>0</v>
      </c>
      <c r="AD841">
        <v>0</v>
      </c>
      <c r="AN841" t="s">
        <v>266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A841">
        <v>726614.00000000105</v>
      </c>
      <c r="BB841">
        <v>3764431</v>
      </c>
    </row>
    <row r="842" spans="1:54" x14ac:dyDescent="0.35">
      <c r="A842">
        <v>109710</v>
      </c>
      <c r="B842">
        <v>77</v>
      </c>
      <c r="C842" t="s">
        <v>135</v>
      </c>
      <c r="D842" s="15">
        <v>701012120922030</v>
      </c>
      <c r="E842">
        <v>1</v>
      </c>
      <c r="F842">
        <v>70</v>
      </c>
      <c r="G842" t="s">
        <v>136</v>
      </c>
      <c r="H842">
        <v>7010</v>
      </c>
      <c r="I842" t="s">
        <v>137</v>
      </c>
      <c r="M842">
        <v>12120922029</v>
      </c>
      <c r="N842" t="s">
        <v>160</v>
      </c>
      <c r="O842">
        <v>12120922029</v>
      </c>
      <c r="Q842" t="s">
        <v>262</v>
      </c>
      <c r="R842">
        <v>2</v>
      </c>
      <c r="S842">
        <v>36</v>
      </c>
      <c r="T842" t="s">
        <v>222</v>
      </c>
      <c r="AA842" t="s">
        <v>265</v>
      </c>
      <c r="AC842">
        <v>0</v>
      </c>
      <c r="AD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A842">
        <v>726545.00000000105</v>
      </c>
      <c r="BB842">
        <v>3764438</v>
      </c>
    </row>
    <row r="843" spans="1:54" x14ac:dyDescent="0.35">
      <c r="A843">
        <v>109709</v>
      </c>
      <c r="B843">
        <v>76</v>
      </c>
      <c r="C843" t="s">
        <v>135</v>
      </c>
      <c r="D843" s="15">
        <v>701012120922030</v>
      </c>
      <c r="E843">
        <v>0</v>
      </c>
      <c r="F843">
        <v>70</v>
      </c>
      <c r="G843" t="s">
        <v>136</v>
      </c>
      <c r="H843">
        <v>7010</v>
      </c>
      <c r="I843" t="s">
        <v>137</v>
      </c>
      <c r="M843">
        <v>12120922028</v>
      </c>
      <c r="N843" t="s">
        <v>160</v>
      </c>
      <c r="O843">
        <v>12120922028</v>
      </c>
      <c r="Q843" t="s">
        <v>262</v>
      </c>
      <c r="R843">
        <v>2</v>
      </c>
      <c r="S843">
        <v>45</v>
      </c>
      <c r="T843" t="s">
        <v>222</v>
      </c>
      <c r="AA843" t="s">
        <v>265</v>
      </c>
      <c r="AC843">
        <v>0</v>
      </c>
      <c r="AD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A843">
        <v>726505</v>
      </c>
      <c r="BB843">
        <v>3764439</v>
      </c>
    </row>
    <row r="844" spans="1:54" x14ac:dyDescent="0.35">
      <c r="A844">
        <v>109708</v>
      </c>
      <c r="B844">
        <v>75</v>
      </c>
      <c r="C844" t="s">
        <v>135</v>
      </c>
      <c r="D844" s="15">
        <v>701012120922030</v>
      </c>
      <c r="F844">
        <v>70</v>
      </c>
      <c r="G844" t="s">
        <v>136</v>
      </c>
      <c r="H844">
        <v>7010</v>
      </c>
      <c r="I844" t="s">
        <v>137</v>
      </c>
      <c r="K844" t="s">
        <v>79</v>
      </c>
      <c r="M844">
        <v>12120922026</v>
      </c>
      <c r="N844" t="s">
        <v>160</v>
      </c>
      <c r="O844">
        <v>12120922026</v>
      </c>
      <c r="Q844" t="s">
        <v>262</v>
      </c>
      <c r="R844">
        <v>2</v>
      </c>
      <c r="S844">
        <v>36</v>
      </c>
      <c r="T844" t="s">
        <v>222</v>
      </c>
      <c r="AA844" t="s">
        <v>265</v>
      </c>
      <c r="AC844">
        <v>0</v>
      </c>
      <c r="AD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A844">
        <v>726381.00000000105</v>
      </c>
      <c r="BB844">
        <v>3764444</v>
      </c>
    </row>
    <row r="845" spans="1:54" x14ac:dyDescent="0.35">
      <c r="A845">
        <v>109707</v>
      </c>
      <c r="B845">
        <v>74</v>
      </c>
      <c r="C845" t="s">
        <v>135</v>
      </c>
      <c r="D845" s="15">
        <v>701012120922026</v>
      </c>
      <c r="F845">
        <v>70</v>
      </c>
      <c r="G845" t="s">
        <v>136</v>
      </c>
      <c r="H845">
        <v>7010</v>
      </c>
      <c r="I845" t="s">
        <v>137</v>
      </c>
      <c r="K845" t="s">
        <v>138</v>
      </c>
      <c r="M845">
        <v>12120922026</v>
      </c>
      <c r="N845" t="s">
        <v>160</v>
      </c>
      <c r="O845">
        <v>12120922026</v>
      </c>
      <c r="P845" t="s">
        <v>147</v>
      </c>
      <c r="Q845" t="s">
        <v>262</v>
      </c>
      <c r="R845">
        <v>2</v>
      </c>
      <c r="S845">
        <v>36</v>
      </c>
      <c r="T845" t="s">
        <v>222</v>
      </c>
      <c r="U845" t="s">
        <v>267</v>
      </c>
      <c r="V845" t="s">
        <v>267</v>
      </c>
      <c r="W845" t="s">
        <v>267</v>
      </c>
      <c r="AA845" t="s">
        <v>265</v>
      </c>
      <c r="AC845">
        <v>0</v>
      </c>
      <c r="AD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A845">
        <v>726381.00000000105</v>
      </c>
      <c r="BB845">
        <v>3764444</v>
      </c>
    </row>
    <row r="846" spans="1:54" x14ac:dyDescent="0.35">
      <c r="A846">
        <v>109706</v>
      </c>
      <c r="B846">
        <v>73</v>
      </c>
      <c r="C846" t="s">
        <v>135</v>
      </c>
      <c r="D846" s="15">
        <v>701012120922026</v>
      </c>
      <c r="F846">
        <v>70</v>
      </c>
      <c r="G846" t="s">
        <v>136</v>
      </c>
      <c r="H846">
        <v>7010</v>
      </c>
      <c r="I846" t="s">
        <v>137</v>
      </c>
      <c r="K846" t="s">
        <v>79</v>
      </c>
      <c r="M846">
        <v>12120922023</v>
      </c>
      <c r="N846" t="s">
        <v>160</v>
      </c>
      <c r="O846">
        <v>12120922023</v>
      </c>
      <c r="Q846" t="s">
        <v>262</v>
      </c>
      <c r="R846">
        <v>2</v>
      </c>
      <c r="S846">
        <v>36</v>
      </c>
      <c r="T846" t="s">
        <v>222</v>
      </c>
      <c r="AA846" t="s">
        <v>265</v>
      </c>
      <c r="AC846">
        <v>0</v>
      </c>
      <c r="AD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A846">
        <v>726302.00000000105</v>
      </c>
      <c r="BB846">
        <v>3764450</v>
      </c>
    </row>
    <row r="847" spans="1:54" x14ac:dyDescent="0.35">
      <c r="A847">
        <v>109705</v>
      </c>
      <c r="B847">
        <v>72</v>
      </c>
      <c r="C847" t="s">
        <v>135</v>
      </c>
      <c r="D847" s="15">
        <v>701012120922025</v>
      </c>
      <c r="F847">
        <v>70</v>
      </c>
      <c r="G847" t="s">
        <v>136</v>
      </c>
      <c r="H847">
        <v>7010</v>
      </c>
      <c r="I847" t="s">
        <v>137</v>
      </c>
      <c r="K847" t="s">
        <v>138</v>
      </c>
      <c r="M847">
        <v>12120922025</v>
      </c>
      <c r="N847" t="s">
        <v>139</v>
      </c>
      <c r="O847">
        <v>12120922025</v>
      </c>
      <c r="P847" t="s">
        <v>140</v>
      </c>
      <c r="Q847" t="s">
        <v>141</v>
      </c>
      <c r="R847">
        <v>0</v>
      </c>
      <c r="T847" t="s">
        <v>146</v>
      </c>
      <c r="U847" t="s">
        <v>298</v>
      </c>
      <c r="V847" t="s">
        <v>298</v>
      </c>
      <c r="W847" t="s">
        <v>298</v>
      </c>
      <c r="X847" t="s">
        <v>298</v>
      </c>
      <c r="AA847" t="s">
        <v>144</v>
      </c>
      <c r="AB847" t="s">
        <v>337</v>
      </c>
      <c r="AC847">
        <v>0</v>
      </c>
      <c r="AD847">
        <v>25</v>
      </c>
      <c r="AE847" t="s">
        <v>147</v>
      </c>
      <c r="AF847" t="s">
        <v>273</v>
      </c>
      <c r="AG847" t="s">
        <v>149</v>
      </c>
      <c r="AH847" t="s">
        <v>323</v>
      </c>
      <c r="AJ847" t="s">
        <v>338</v>
      </c>
      <c r="AK847" t="s">
        <v>186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Z847" t="s">
        <v>339</v>
      </c>
      <c r="BA847">
        <v>726302.2</v>
      </c>
      <c r="BB847">
        <v>3764450.4</v>
      </c>
    </row>
    <row r="848" spans="1:54" x14ac:dyDescent="0.35">
      <c r="A848">
        <v>109704</v>
      </c>
      <c r="B848">
        <v>71</v>
      </c>
      <c r="C848" t="s">
        <v>135</v>
      </c>
      <c r="D848" s="15">
        <v>701012120922025</v>
      </c>
      <c r="F848">
        <v>70</v>
      </c>
      <c r="G848" t="s">
        <v>136</v>
      </c>
      <c r="H848">
        <v>7010</v>
      </c>
      <c r="I848" t="s">
        <v>137</v>
      </c>
      <c r="K848" t="s">
        <v>79</v>
      </c>
      <c r="M848">
        <v>12120922024</v>
      </c>
      <c r="N848" t="s">
        <v>139</v>
      </c>
      <c r="O848">
        <v>12120922024</v>
      </c>
      <c r="Q848" t="s">
        <v>141</v>
      </c>
      <c r="R848">
        <v>0</v>
      </c>
      <c r="T848" t="s">
        <v>146</v>
      </c>
      <c r="AA848" t="s">
        <v>144</v>
      </c>
      <c r="AB848" t="s">
        <v>337</v>
      </c>
      <c r="AC848">
        <v>0</v>
      </c>
      <c r="AD848">
        <v>25</v>
      </c>
      <c r="AE848" t="s">
        <v>147</v>
      </c>
      <c r="AF848" t="s">
        <v>273</v>
      </c>
      <c r="AG848" t="s">
        <v>149</v>
      </c>
      <c r="AH848" t="s">
        <v>323</v>
      </c>
      <c r="AJ848" t="s">
        <v>338</v>
      </c>
      <c r="AK848" t="s">
        <v>186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Z848" t="s">
        <v>339</v>
      </c>
      <c r="BA848">
        <v>726302.1</v>
      </c>
      <c r="BB848">
        <v>3764450.3</v>
      </c>
    </row>
    <row r="849" spans="1:54" x14ac:dyDescent="0.35">
      <c r="A849">
        <v>109703</v>
      </c>
      <c r="B849">
        <v>70</v>
      </c>
      <c r="C849" t="s">
        <v>135</v>
      </c>
      <c r="D849" s="15">
        <v>701012120922024</v>
      </c>
      <c r="F849">
        <v>70</v>
      </c>
      <c r="G849" t="s">
        <v>136</v>
      </c>
      <c r="H849">
        <v>7010</v>
      </c>
      <c r="I849" t="s">
        <v>137</v>
      </c>
      <c r="K849" t="s">
        <v>138</v>
      </c>
      <c r="M849">
        <v>12120922024</v>
      </c>
      <c r="N849" t="s">
        <v>160</v>
      </c>
      <c r="O849">
        <v>12120922024</v>
      </c>
      <c r="P849" t="s">
        <v>147</v>
      </c>
      <c r="Q849" t="s">
        <v>262</v>
      </c>
      <c r="R849">
        <v>0</v>
      </c>
      <c r="T849" t="s">
        <v>146</v>
      </c>
      <c r="U849" t="s">
        <v>263</v>
      </c>
      <c r="V849" t="s">
        <v>263</v>
      </c>
      <c r="W849" t="s">
        <v>263</v>
      </c>
      <c r="AA849" t="s">
        <v>264</v>
      </c>
      <c r="AB849" t="s">
        <v>337</v>
      </c>
      <c r="AC849">
        <v>0</v>
      </c>
      <c r="AD849">
        <v>25</v>
      </c>
      <c r="AE849" t="s">
        <v>147</v>
      </c>
      <c r="AF849" t="s">
        <v>273</v>
      </c>
      <c r="AG849" t="s">
        <v>149</v>
      </c>
      <c r="AH849" t="s">
        <v>323</v>
      </c>
      <c r="AJ849" t="s">
        <v>338</v>
      </c>
      <c r="AK849" t="s">
        <v>186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Z849" t="s">
        <v>339</v>
      </c>
      <c r="BA849">
        <v>726302.1</v>
      </c>
      <c r="BB849">
        <v>3764450.3</v>
      </c>
    </row>
    <row r="850" spans="1:54" x14ac:dyDescent="0.35">
      <c r="A850">
        <v>109702</v>
      </c>
      <c r="B850">
        <v>69</v>
      </c>
      <c r="C850" t="s">
        <v>135</v>
      </c>
      <c r="D850" s="15">
        <v>701012120922024</v>
      </c>
      <c r="F850">
        <v>70</v>
      </c>
      <c r="G850" t="s">
        <v>136</v>
      </c>
      <c r="H850">
        <v>7010</v>
      </c>
      <c r="I850" t="s">
        <v>137</v>
      </c>
      <c r="K850" t="s">
        <v>79</v>
      </c>
      <c r="M850">
        <v>12120922023</v>
      </c>
      <c r="N850" t="s">
        <v>160</v>
      </c>
      <c r="O850">
        <v>12120922023</v>
      </c>
      <c r="Q850" t="s">
        <v>262</v>
      </c>
      <c r="R850">
        <v>2</v>
      </c>
      <c r="S850">
        <v>36</v>
      </c>
      <c r="T850" t="s">
        <v>222</v>
      </c>
      <c r="AA850" t="s">
        <v>265</v>
      </c>
      <c r="AC850">
        <v>0</v>
      </c>
      <c r="AD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A850">
        <v>726302.00000000105</v>
      </c>
      <c r="BB850">
        <v>3764450</v>
      </c>
    </row>
    <row r="851" spans="1:54" x14ac:dyDescent="0.35">
      <c r="A851">
        <v>109701</v>
      </c>
      <c r="B851">
        <v>68</v>
      </c>
      <c r="C851" t="s">
        <v>135</v>
      </c>
      <c r="D851" s="15">
        <v>701012120922023</v>
      </c>
      <c r="F851">
        <v>70</v>
      </c>
      <c r="G851" t="s">
        <v>136</v>
      </c>
      <c r="H851">
        <v>7010</v>
      </c>
      <c r="I851" t="s">
        <v>137</v>
      </c>
      <c r="K851" t="s">
        <v>138</v>
      </c>
      <c r="M851">
        <v>12120922023</v>
      </c>
      <c r="N851" t="s">
        <v>160</v>
      </c>
      <c r="O851">
        <v>12120922023</v>
      </c>
      <c r="P851" t="s">
        <v>147</v>
      </c>
      <c r="Q851" t="s">
        <v>262</v>
      </c>
      <c r="R851">
        <v>2</v>
      </c>
      <c r="S851">
        <v>36</v>
      </c>
      <c r="T851" t="s">
        <v>222</v>
      </c>
      <c r="U851" t="s">
        <v>267</v>
      </c>
      <c r="V851" t="s">
        <v>267</v>
      </c>
      <c r="W851" t="s">
        <v>267</v>
      </c>
      <c r="AA851" t="s">
        <v>265</v>
      </c>
      <c r="AC851">
        <v>0</v>
      </c>
      <c r="AD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A851">
        <v>726302.00000000105</v>
      </c>
      <c r="BB851">
        <v>3764450</v>
      </c>
    </row>
    <row r="852" spans="1:54" x14ac:dyDescent="0.35">
      <c r="A852">
        <v>109700</v>
      </c>
      <c r="B852">
        <v>67</v>
      </c>
      <c r="C852" t="s">
        <v>135</v>
      </c>
      <c r="D852" s="15">
        <v>701012120922023</v>
      </c>
      <c r="F852">
        <v>70</v>
      </c>
      <c r="G852" t="s">
        <v>136</v>
      </c>
      <c r="H852">
        <v>7010</v>
      </c>
      <c r="I852" t="s">
        <v>137</v>
      </c>
      <c r="K852" t="s">
        <v>79</v>
      </c>
      <c r="M852">
        <v>12120922022</v>
      </c>
      <c r="N852" t="s">
        <v>160</v>
      </c>
      <c r="O852">
        <v>12120922022</v>
      </c>
      <c r="Q852" t="s">
        <v>262</v>
      </c>
      <c r="R852">
        <v>2</v>
      </c>
      <c r="S852">
        <v>36</v>
      </c>
      <c r="T852" t="s">
        <v>222</v>
      </c>
      <c r="AA852" t="s">
        <v>265</v>
      </c>
      <c r="AC852">
        <v>0</v>
      </c>
      <c r="AD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A852">
        <v>726220.00000000105</v>
      </c>
      <c r="BB852">
        <v>3764456</v>
      </c>
    </row>
    <row r="853" spans="1:54" x14ac:dyDescent="0.35">
      <c r="A853">
        <v>109699</v>
      </c>
      <c r="B853">
        <v>66</v>
      </c>
      <c r="C853" t="s">
        <v>135</v>
      </c>
      <c r="D853" s="15">
        <v>701012120922022</v>
      </c>
      <c r="F853">
        <v>70</v>
      </c>
      <c r="G853" t="s">
        <v>136</v>
      </c>
      <c r="H853">
        <v>7010</v>
      </c>
      <c r="I853" t="s">
        <v>137</v>
      </c>
      <c r="K853" t="s">
        <v>138</v>
      </c>
      <c r="M853">
        <v>12120922022</v>
      </c>
      <c r="N853" t="s">
        <v>160</v>
      </c>
      <c r="O853">
        <v>12120922022</v>
      </c>
      <c r="P853" t="s">
        <v>147</v>
      </c>
      <c r="Q853" t="s">
        <v>262</v>
      </c>
      <c r="R853">
        <v>2</v>
      </c>
      <c r="S853">
        <v>36</v>
      </c>
      <c r="T853" t="s">
        <v>222</v>
      </c>
      <c r="U853" t="s">
        <v>267</v>
      </c>
      <c r="V853" t="s">
        <v>267</v>
      </c>
      <c r="W853" t="s">
        <v>267</v>
      </c>
      <c r="AA853" t="s">
        <v>265</v>
      </c>
      <c r="AC853">
        <v>0</v>
      </c>
      <c r="AD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A853">
        <v>726220.00000000105</v>
      </c>
      <c r="BB853">
        <v>3764456</v>
      </c>
    </row>
    <row r="854" spans="1:54" x14ac:dyDescent="0.35">
      <c r="A854">
        <v>109698</v>
      </c>
      <c r="B854">
        <v>65</v>
      </c>
      <c r="C854" t="s">
        <v>135</v>
      </c>
      <c r="D854" s="15">
        <v>701012120922022</v>
      </c>
      <c r="E854">
        <v>5</v>
      </c>
      <c r="F854">
        <v>70</v>
      </c>
      <c r="G854" t="s">
        <v>136</v>
      </c>
      <c r="H854">
        <v>7010</v>
      </c>
      <c r="I854" t="s">
        <v>137</v>
      </c>
      <c r="M854">
        <v>12120922021</v>
      </c>
      <c r="N854" t="s">
        <v>160</v>
      </c>
      <c r="O854">
        <v>12120922021</v>
      </c>
      <c r="Q854" t="s">
        <v>262</v>
      </c>
      <c r="R854">
        <v>2</v>
      </c>
      <c r="S854">
        <v>45</v>
      </c>
      <c r="T854" t="s">
        <v>340</v>
      </c>
      <c r="AA854" t="s">
        <v>265</v>
      </c>
      <c r="AC854">
        <v>0</v>
      </c>
      <c r="AD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A854">
        <v>726139</v>
      </c>
      <c r="BB854">
        <v>3764459</v>
      </c>
    </row>
    <row r="855" spans="1:54" x14ac:dyDescent="0.35">
      <c r="A855">
        <v>109697</v>
      </c>
      <c r="B855">
        <v>64</v>
      </c>
      <c r="C855" t="s">
        <v>135</v>
      </c>
      <c r="D855" s="15">
        <v>701012120922022</v>
      </c>
      <c r="E855">
        <v>4</v>
      </c>
      <c r="F855">
        <v>70</v>
      </c>
      <c r="G855" t="s">
        <v>136</v>
      </c>
      <c r="H855">
        <v>7010</v>
      </c>
      <c r="I855" t="s">
        <v>137</v>
      </c>
      <c r="M855">
        <v>12120922020</v>
      </c>
      <c r="N855" t="s">
        <v>160</v>
      </c>
      <c r="O855">
        <v>12120922020</v>
      </c>
      <c r="Q855" t="s">
        <v>262</v>
      </c>
      <c r="R855">
        <v>2</v>
      </c>
      <c r="S855">
        <v>45</v>
      </c>
      <c r="T855" t="s">
        <v>340</v>
      </c>
      <c r="AA855" t="s">
        <v>265</v>
      </c>
      <c r="AC855">
        <v>0</v>
      </c>
      <c r="AD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A855">
        <v>726062.00000000105</v>
      </c>
      <c r="BB855">
        <v>3764459</v>
      </c>
    </row>
    <row r="856" spans="1:54" x14ac:dyDescent="0.35">
      <c r="A856">
        <v>109696</v>
      </c>
      <c r="B856">
        <v>63</v>
      </c>
      <c r="C856" t="s">
        <v>135</v>
      </c>
      <c r="D856" s="15">
        <v>701012120922022</v>
      </c>
      <c r="E856">
        <v>3</v>
      </c>
      <c r="F856">
        <v>70</v>
      </c>
      <c r="G856" t="s">
        <v>136</v>
      </c>
      <c r="H856">
        <v>7010</v>
      </c>
      <c r="I856" t="s">
        <v>137</v>
      </c>
      <c r="M856">
        <v>12120922019</v>
      </c>
      <c r="N856" t="s">
        <v>160</v>
      </c>
      <c r="O856">
        <v>12120922019</v>
      </c>
      <c r="Q856" t="s">
        <v>262</v>
      </c>
      <c r="R856">
        <v>2</v>
      </c>
      <c r="S856">
        <v>45</v>
      </c>
      <c r="T856" t="s">
        <v>340</v>
      </c>
      <c r="AA856" t="s">
        <v>265</v>
      </c>
      <c r="AC856">
        <v>0</v>
      </c>
      <c r="AD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A856">
        <v>725983</v>
      </c>
      <c r="BB856">
        <v>3764466</v>
      </c>
    </row>
    <row r="857" spans="1:54" x14ac:dyDescent="0.35">
      <c r="A857">
        <v>109695</v>
      </c>
      <c r="B857">
        <v>62</v>
      </c>
      <c r="C857" t="s">
        <v>135</v>
      </c>
      <c r="D857" s="15">
        <v>701012120922022</v>
      </c>
      <c r="E857">
        <v>2</v>
      </c>
      <c r="F857">
        <v>70</v>
      </c>
      <c r="G857" t="s">
        <v>136</v>
      </c>
      <c r="H857">
        <v>7010</v>
      </c>
      <c r="I857" t="s">
        <v>137</v>
      </c>
      <c r="M857">
        <v>12120922018</v>
      </c>
      <c r="N857" t="s">
        <v>160</v>
      </c>
      <c r="O857">
        <v>12120922018</v>
      </c>
      <c r="Q857" t="s">
        <v>262</v>
      </c>
      <c r="R857">
        <v>2</v>
      </c>
      <c r="S857">
        <v>45</v>
      </c>
      <c r="T857" t="s">
        <v>340</v>
      </c>
      <c r="AA857" t="s">
        <v>265</v>
      </c>
      <c r="AC857">
        <v>0</v>
      </c>
      <c r="AD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A857">
        <v>725906.00000000105</v>
      </c>
      <c r="BB857">
        <v>3764466</v>
      </c>
    </row>
    <row r="858" spans="1:54" x14ac:dyDescent="0.35">
      <c r="A858">
        <v>109694</v>
      </c>
      <c r="B858">
        <v>61</v>
      </c>
      <c r="C858" t="s">
        <v>135</v>
      </c>
      <c r="D858" s="15">
        <v>701012120922022</v>
      </c>
      <c r="E858">
        <v>1</v>
      </c>
      <c r="F858">
        <v>70</v>
      </c>
      <c r="G858" t="s">
        <v>136</v>
      </c>
      <c r="H858">
        <v>7010</v>
      </c>
      <c r="I858" t="s">
        <v>137</v>
      </c>
      <c r="M858">
        <v>12120922017</v>
      </c>
      <c r="N858" t="s">
        <v>160</v>
      </c>
      <c r="O858">
        <v>12120922017</v>
      </c>
      <c r="Q858" t="s">
        <v>262</v>
      </c>
      <c r="R858">
        <v>2</v>
      </c>
      <c r="S858">
        <v>45</v>
      </c>
      <c r="T858" t="s">
        <v>340</v>
      </c>
      <c r="AA858" t="s">
        <v>265</v>
      </c>
      <c r="AC858">
        <v>0</v>
      </c>
      <c r="AD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A858">
        <v>725830</v>
      </c>
      <c r="BB858">
        <v>3764468</v>
      </c>
    </row>
    <row r="859" spans="1:54" x14ac:dyDescent="0.35">
      <c r="A859">
        <v>109693</v>
      </c>
      <c r="B859">
        <v>60</v>
      </c>
      <c r="C859" t="s">
        <v>135</v>
      </c>
      <c r="D859" s="15">
        <v>701012120922022</v>
      </c>
      <c r="E859">
        <v>0</v>
      </c>
      <c r="F859">
        <v>70</v>
      </c>
      <c r="G859" t="s">
        <v>136</v>
      </c>
      <c r="H859">
        <v>7010</v>
      </c>
      <c r="I859" t="s">
        <v>137</v>
      </c>
      <c r="M859">
        <v>12120922016</v>
      </c>
      <c r="N859" t="s">
        <v>160</v>
      </c>
      <c r="O859">
        <v>12120922016</v>
      </c>
      <c r="Q859" t="s">
        <v>262</v>
      </c>
      <c r="R859">
        <v>2</v>
      </c>
      <c r="S859">
        <v>45</v>
      </c>
      <c r="T859" t="s">
        <v>340</v>
      </c>
      <c r="AA859" t="s">
        <v>265</v>
      </c>
      <c r="AC859">
        <v>0</v>
      </c>
      <c r="AD859">
        <v>0</v>
      </c>
      <c r="AN859" t="s">
        <v>271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A859">
        <v>725770.00000000105</v>
      </c>
      <c r="BB859">
        <v>3764466</v>
      </c>
    </row>
    <row r="860" spans="1:54" x14ac:dyDescent="0.35">
      <c r="A860">
        <v>109692</v>
      </c>
      <c r="B860">
        <v>59</v>
      </c>
      <c r="C860" t="s">
        <v>135</v>
      </c>
      <c r="D860" s="15">
        <v>701012120922022</v>
      </c>
      <c r="F860">
        <v>70</v>
      </c>
      <c r="G860" t="s">
        <v>136</v>
      </c>
      <c r="H860">
        <v>7010</v>
      </c>
      <c r="I860" t="s">
        <v>137</v>
      </c>
      <c r="K860" t="s">
        <v>79</v>
      </c>
      <c r="M860">
        <v>12120922015</v>
      </c>
      <c r="N860" t="s">
        <v>160</v>
      </c>
      <c r="O860">
        <v>12120922015</v>
      </c>
      <c r="Q860" t="s">
        <v>262</v>
      </c>
      <c r="R860">
        <v>2</v>
      </c>
      <c r="S860">
        <v>45</v>
      </c>
      <c r="T860" t="s">
        <v>340</v>
      </c>
      <c r="AA860" t="s">
        <v>265</v>
      </c>
      <c r="AC860">
        <v>0</v>
      </c>
      <c r="AD860">
        <v>0</v>
      </c>
      <c r="AN860" t="s">
        <v>271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A860">
        <v>725743</v>
      </c>
      <c r="BB860">
        <v>3764456</v>
      </c>
    </row>
    <row r="861" spans="1:54" x14ac:dyDescent="0.35">
      <c r="A861">
        <v>109691</v>
      </c>
      <c r="B861">
        <v>58</v>
      </c>
      <c r="C861" t="s">
        <v>135</v>
      </c>
      <c r="D861" s="15">
        <v>701012120922015</v>
      </c>
      <c r="F861">
        <v>70</v>
      </c>
      <c r="G861" t="s">
        <v>136</v>
      </c>
      <c r="H861">
        <v>7010</v>
      </c>
      <c r="I861" t="s">
        <v>137</v>
      </c>
      <c r="K861" t="s">
        <v>138</v>
      </c>
      <c r="M861">
        <v>12120922015</v>
      </c>
      <c r="N861" t="s">
        <v>160</v>
      </c>
      <c r="O861">
        <v>12120922015</v>
      </c>
      <c r="P861" t="s">
        <v>147</v>
      </c>
      <c r="Q861" t="s">
        <v>262</v>
      </c>
      <c r="R861">
        <v>2</v>
      </c>
      <c r="S861">
        <v>45</v>
      </c>
      <c r="T861" t="s">
        <v>340</v>
      </c>
      <c r="U861" t="s">
        <v>267</v>
      </c>
      <c r="V861" t="s">
        <v>267</v>
      </c>
      <c r="W861" t="s">
        <v>267</v>
      </c>
      <c r="AA861" t="s">
        <v>265</v>
      </c>
      <c r="AC861">
        <v>0</v>
      </c>
      <c r="AD861">
        <v>0</v>
      </c>
      <c r="AN861" t="s">
        <v>271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A861">
        <v>725743</v>
      </c>
      <c r="BB861">
        <v>3764456</v>
      </c>
    </row>
    <row r="862" spans="1:54" x14ac:dyDescent="0.35">
      <c r="A862">
        <v>109690</v>
      </c>
      <c r="B862">
        <v>57</v>
      </c>
      <c r="C862" t="s">
        <v>135</v>
      </c>
      <c r="D862" s="15">
        <v>701012120922015</v>
      </c>
      <c r="E862">
        <v>2</v>
      </c>
      <c r="F862">
        <v>70</v>
      </c>
      <c r="G862" t="s">
        <v>136</v>
      </c>
      <c r="H862">
        <v>7010</v>
      </c>
      <c r="I862" t="s">
        <v>137</v>
      </c>
      <c r="M862">
        <v>12120922014</v>
      </c>
      <c r="N862" t="s">
        <v>160</v>
      </c>
      <c r="O862">
        <v>12120922014</v>
      </c>
      <c r="Q862" t="s">
        <v>262</v>
      </c>
      <c r="R862">
        <v>2</v>
      </c>
      <c r="S862">
        <v>45</v>
      </c>
      <c r="T862" t="s">
        <v>340</v>
      </c>
      <c r="AA862" t="s">
        <v>265</v>
      </c>
      <c r="AC862">
        <v>0</v>
      </c>
      <c r="AD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A862">
        <v>725741</v>
      </c>
      <c r="BB862">
        <v>3764421</v>
      </c>
    </row>
    <row r="863" spans="1:54" x14ac:dyDescent="0.35">
      <c r="A863">
        <v>109689</v>
      </c>
      <c r="B863">
        <v>56</v>
      </c>
      <c r="C863" t="s">
        <v>135</v>
      </c>
      <c r="D863" s="15">
        <v>701012120922015</v>
      </c>
      <c r="E863">
        <v>1</v>
      </c>
      <c r="F863">
        <v>70</v>
      </c>
      <c r="G863" t="s">
        <v>136</v>
      </c>
      <c r="H863">
        <v>7010</v>
      </c>
      <c r="I863" t="s">
        <v>137</v>
      </c>
      <c r="M863">
        <v>12120922013</v>
      </c>
      <c r="N863" t="s">
        <v>160</v>
      </c>
      <c r="O863">
        <v>12120922013</v>
      </c>
      <c r="Q863" t="s">
        <v>262</v>
      </c>
      <c r="R863">
        <v>2</v>
      </c>
      <c r="S863">
        <v>45</v>
      </c>
      <c r="T863" t="s">
        <v>340</v>
      </c>
      <c r="AA863" t="s">
        <v>265</v>
      </c>
      <c r="AC863">
        <v>0</v>
      </c>
      <c r="AD863">
        <v>0</v>
      </c>
      <c r="AN863" t="s">
        <v>271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A863">
        <v>725741</v>
      </c>
      <c r="BB863">
        <v>3764380</v>
      </c>
    </row>
    <row r="864" spans="1:54" x14ac:dyDescent="0.35">
      <c r="A864">
        <v>109688</v>
      </c>
      <c r="B864">
        <v>55</v>
      </c>
      <c r="C864" t="s">
        <v>135</v>
      </c>
      <c r="D864" s="15">
        <v>701012120922015</v>
      </c>
      <c r="E864">
        <v>0</v>
      </c>
      <c r="F864">
        <v>70</v>
      </c>
      <c r="G864" t="s">
        <v>136</v>
      </c>
      <c r="H864">
        <v>7010</v>
      </c>
      <c r="I864" t="s">
        <v>137</v>
      </c>
      <c r="M864">
        <v>12120922012</v>
      </c>
      <c r="N864" t="s">
        <v>160</v>
      </c>
      <c r="O864">
        <v>12120922012</v>
      </c>
      <c r="Q864" t="s">
        <v>262</v>
      </c>
      <c r="R864">
        <v>2</v>
      </c>
      <c r="S864">
        <v>58</v>
      </c>
      <c r="T864" t="s">
        <v>222</v>
      </c>
      <c r="AA864" t="s">
        <v>265</v>
      </c>
      <c r="AC864">
        <v>0</v>
      </c>
      <c r="AD864">
        <v>0</v>
      </c>
      <c r="AN864" t="s">
        <v>271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A864">
        <v>725725</v>
      </c>
      <c r="BB864">
        <v>3764340</v>
      </c>
    </row>
    <row r="865" spans="1:54" x14ac:dyDescent="0.35">
      <c r="A865">
        <v>109687</v>
      </c>
      <c r="B865">
        <v>54</v>
      </c>
      <c r="C865" t="s">
        <v>135</v>
      </c>
      <c r="D865" s="15">
        <v>701012120922015</v>
      </c>
      <c r="F865">
        <v>70</v>
      </c>
      <c r="G865" t="s">
        <v>136</v>
      </c>
      <c r="H865">
        <v>7010</v>
      </c>
      <c r="I865" t="s">
        <v>137</v>
      </c>
      <c r="K865" t="s">
        <v>79</v>
      </c>
      <c r="M865">
        <v>12120922011</v>
      </c>
      <c r="N865" t="s">
        <v>160</v>
      </c>
      <c r="O865">
        <v>12120922011</v>
      </c>
      <c r="Q865" t="s">
        <v>262</v>
      </c>
      <c r="R865">
        <v>2</v>
      </c>
      <c r="S865">
        <v>58</v>
      </c>
      <c r="T865" t="s">
        <v>222</v>
      </c>
      <c r="AA865" t="s">
        <v>265</v>
      </c>
      <c r="AC865">
        <v>0</v>
      </c>
      <c r="AD865">
        <v>0</v>
      </c>
      <c r="AN865" t="s">
        <v>271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A865">
        <v>725675.00000000105</v>
      </c>
      <c r="BB865">
        <v>3764332</v>
      </c>
    </row>
    <row r="866" spans="1:54" x14ac:dyDescent="0.35">
      <c r="A866">
        <v>109686</v>
      </c>
      <c r="B866">
        <v>53</v>
      </c>
      <c r="C866" t="s">
        <v>135</v>
      </c>
      <c r="D866" s="15">
        <v>701012120922011</v>
      </c>
      <c r="F866">
        <v>70</v>
      </c>
      <c r="G866" t="s">
        <v>136</v>
      </c>
      <c r="H866">
        <v>7010</v>
      </c>
      <c r="I866" t="s">
        <v>137</v>
      </c>
      <c r="K866" t="s">
        <v>138</v>
      </c>
      <c r="M866">
        <v>12120922011</v>
      </c>
      <c r="N866" t="s">
        <v>160</v>
      </c>
      <c r="O866">
        <v>12120922011</v>
      </c>
      <c r="P866" t="s">
        <v>147</v>
      </c>
      <c r="Q866" t="s">
        <v>262</v>
      </c>
      <c r="R866">
        <v>2</v>
      </c>
      <c r="S866">
        <v>58</v>
      </c>
      <c r="T866" t="s">
        <v>222</v>
      </c>
      <c r="U866" t="s">
        <v>267</v>
      </c>
      <c r="V866" t="s">
        <v>267</v>
      </c>
      <c r="W866" t="s">
        <v>267</v>
      </c>
      <c r="AA866" t="s">
        <v>265</v>
      </c>
      <c r="AC866">
        <v>0</v>
      </c>
      <c r="AD866">
        <v>0</v>
      </c>
      <c r="AN866" t="s">
        <v>271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A866">
        <v>725675.00000000105</v>
      </c>
      <c r="BB866">
        <v>3764332</v>
      </c>
    </row>
    <row r="867" spans="1:54" x14ac:dyDescent="0.35">
      <c r="A867">
        <v>109685</v>
      </c>
      <c r="B867">
        <v>52</v>
      </c>
      <c r="C867" t="s">
        <v>135</v>
      </c>
      <c r="D867" s="15">
        <v>701012120922011</v>
      </c>
      <c r="F867">
        <v>70</v>
      </c>
      <c r="G867" t="s">
        <v>136</v>
      </c>
      <c r="H867">
        <v>7010</v>
      </c>
      <c r="I867" t="s">
        <v>137</v>
      </c>
      <c r="K867" t="s">
        <v>79</v>
      </c>
      <c r="M867">
        <v>12120922008</v>
      </c>
      <c r="N867" t="s">
        <v>160</v>
      </c>
      <c r="O867">
        <v>12120922008</v>
      </c>
      <c r="Q867" t="s">
        <v>262</v>
      </c>
      <c r="R867">
        <v>2</v>
      </c>
      <c r="S867">
        <v>45</v>
      </c>
      <c r="T867" t="s">
        <v>340</v>
      </c>
      <c r="AA867" t="s">
        <v>265</v>
      </c>
      <c r="AC867">
        <v>0</v>
      </c>
      <c r="AD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A867">
        <v>725676.00000000105</v>
      </c>
      <c r="BB867">
        <v>3764366</v>
      </c>
    </row>
    <row r="868" spans="1:54" x14ac:dyDescent="0.35">
      <c r="A868">
        <v>109684</v>
      </c>
      <c r="B868">
        <v>51</v>
      </c>
      <c r="C868" t="s">
        <v>135</v>
      </c>
      <c r="D868" s="15">
        <v>701012120922010</v>
      </c>
      <c r="F868">
        <v>70</v>
      </c>
      <c r="G868" t="s">
        <v>136</v>
      </c>
      <c r="H868">
        <v>7010</v>
      </c>
      <c r="I868" t="s">
        <v>137</v>
      </c>
      <c r="K868" t="s">
        <v>138</v>
      </c>
      <c r="M868">
        <v>12120922010</v>
      </c>
      <c r="N868" t="s">
        <v>139</v>
      </c>
      <c r="O868">
        <v>12120922010</v>
      </c>
      <c r="P868" t="s">
        <v>140</v>
      </c>
      <c r="Q868" t="s">
        <v>141</v>
      </c>
      <c r="R868">
        <v>0</v>
      </c>
      <c r="T868" t="s">
        <v>146</v>
      </c>
      <c r="U868" t="s">
        <v>298</v>
      </c>
      <c r="V868" t="s">
        <v>298</v>
      </c>
      <c r="W868" t="s">
        <v>298</v>
      </c>
      <c r="X868" t="s">
        <v>298</v>
      </c>
      <c r="AA868" t="s">
        <v>144</v>
      </c>
      <c r="AB868" t="s">
        <v>341</v>
      </c>
      <c r="AC868">
        <v>0</v>
      </c>
      <c r="AD868">
        <v>10</v>
      </c>
      <c r="AE868" t="s">
        <v>147</v>
      </c>
      <c r="AF868" t="s">
        <v>273</v>
      </c>
      <c r="AG868" t="s">
        <v>149</v>
      </c>
      <c r="AH868" t="s">
        <v>171</v>
      </c>
      <c r="AJ868" t="s">
        <v>342</v>
      </c>
      <c r="AK868" t="s">
        <v>186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Z868" t="s">
        <v>343</v>
      </c>
      <c r="BA868">
        <v>725676.00000000105</v>
      </c>
      <c r="BB868">
        <v>3764367</v>
      </c>
    </row>
    <row r="869" spans="1:54" x14ac:dyDescent="0.35">
      <c r="A869">
        <v>109683</v>
      </c>
      <c r="B869">
        <v>50</v>
      </c>
      <c r="C869" t="s">
        <v>135</v>
      </c>
      <c r="D869" s="15">
        <v>701012120922010</v>
      </c>
      <c r="F869">
        <v>70</v>
      </c>
      <c r="G869" t="s">
        <v>136</v>
      </c>
      <c r="H869">
        <v>7010</v>
      </c>
      <c r="I869" t="s">
        <v>137</v>
      </c>
      <c r="K869" t="s">
        <v>79</v>
      </c>
      <c r="M869">
        <v>12120922009</v>
      </c>
      <c r="N869" t="s">
        <v>139</v>
      </c>
      <c r="O869">
        <v>12120922009</v>
      </c>
      <c r="Q869" t="s">
        <v>141</v>
      </c>
      <c r="R869">
        <v>0</v>
      </c>
      <c r="T869" t="s">
        <v>146</v>
      </c>
      <c r="AA869" t="s">
        <v>144</v>
      </c>
      <c r="AB869" t="s">
        <v>341</v>
      </c>
      <c r="AC869">
        <v>0</v>
      </c>
      <c r="AD869">
        <v>10</v>
      </c>
      <c r="AE869" t="s">
        <v>147</v>
      </c>
      <c r="AF869" t="s">
        <v>273</v>
      </c>
      <c r="AG869" t="s">
        <v>149</v>
      </c>
      <c r="AH869" t="s">
        <v>171</v>
      </c>
      <c r="AJ869" t="s">
        <v>342</v>
      </c>
      <c r="AK869" t="s">
        <v>186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Z869" t="s">
        <v>343</v>
      </c>
      <c r="BA869">
        <v>725678.00000000105</v>
      </c>
      <c r="BB869">
        <v>3764366</v>
      </c>
    </row>
    <row r="870" spans="1:54" x14ac:dyDescent="0.35">
      <c r="A870">
        <v>109682</v>
      </c>
      <c r="B870">
        <v>49</v>
      </c>
      <c r="C870" t="s">
        <v>135</v>
      </c>
      <c r="D870" s="15">
        <v>701012120922009</v>
      </c>
      <c r="F870">
        <v>70</v>
      </c>
      <c r="G870" t="s">
        <v>136</v>
      </c>
      <c r="H870">
        <v>7010</v>
      </c>
      <c r="I870" t="s">
        <v>137</v>
      </c>
      <c r="K870" t="s">
        <v>138</v>
      </c>
      <c r="M870">
        <v>12120922009</v>
      </c>
      <c r="N870" t="s">
        <v>160</v>
      </c>
      <c r="O870">
        <v>12120922009</v>
      </c>
      <c r="P870" t="s">
        <v>147</v>
      </c>
      <c r="Q870" t="s">
        <v>262</v>
      </c>
      <c r="R870">
        <v>0</v>
      </c>
      <c r="T870" t="s">
        <v>146</v>
      </c>
      <c r="U870" t="s">
        <v>263</v>
      </c>
      <c r="V870" t="s">
        <v>263</v>
      </c>
      <c r="W870" t="s">
        <v>263</v>
      </c>
      <c r="AA870" t="s">
        <v>264</v>
      </c>
      <c r="AB870" t="s">
        <v>341</v>
      </c>
      <c r="AC870">
        <v>0</v>
      </c>
      <c r="AD870">
        <v>10</v>
      </c>
      <c r="AE870" t="s">
        <v>147</v>
      </c>
      <c r="AF870" t="s">
        <v>273</v>
      </c>
      <c r="AG870" t="s">
        <v>149</v>
      </c>
      <c r="AH870" t="s">
        <v>171</v>
      </c>
      <c r="AJ870" t="s">
        <v>342</v>
      </c>
      <c r="AK870" t="s">
        <v>186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Z870" t="s">
        <v>343</v>
      </c>
      <c r="BA870">
        <v>725678.00000000105</v>
      </c>
      <c r="BB870">
        <v>3764366</v>
      </c>
    </row>
    <row r="871" spans="1:54" x14ac:dyDescent="0.35">
      <c r="A871">
        <v>109681</v>
      </c>
      <c r="B871">
        <v>48</v>
      </c>
      <c r="C871" t="s">
        <v>135</v>
      </c>
      <c r="D871" s="15">
        <v>701012120922009</v>
      </c>
      <c r="F871">
        <v>70</v>
      </c>
      <c r="G871" t="s">
        <v>136</v>
      </c>
      <c r="H871">
        <v>7010</v>
      </c>
      <c r="I871" t="s">
        <v>137</v>
      </c>
      <c r="K871" t="s">
        <v>79</v>
      </c>
      <c r="M871">
        <v>12120922008</v>
      </c>
      <c r="N871" t="s">
        <v>160</v>
      </c>
      <c r="O871">
        <v>12120922008</v>
      </c>
      <c r="Q871" t="s">
        <v>262</v>
      </c>
      <c r="R871">
        <v>2</v>
      </c>
      <c r="S871">
        <v>45</v>
      </c>
      <c r="T871" t="s">
        <v>340</v>
      </c>
      <c r="AA871" t="s">
        <v>265</v>
      </c>
      <c r="AC871">
        <v>0</v>
      </c>
      <c r="AD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A871">
        <v>725676.00000000105</v>
      </c>
      <c r="BB871">
        <v>3764366</v>
      </c>
    </row>
    <row r="872" spans="1:54" x14ac:dyDescent="0.35">
      <c r="A872">
        <v>109680</v>
      </c>
      <c r="B872">
        <v>47</v>
      </c>
      <c r="C872" t="s">
        <v>135</v>
      </c>
      <c r="D872" s="15">
        <v>701012120922008</v>
      </c>
      <c r="F872">
        <v>70</v>
      </c>
      <c r="G872" t="s">
        <v>136</v>
      </c>
      <c r="H872">
        <v>7010</v>
      </c>
      <c r="I872" t="s">
        <v>137</v>
      </c>
      <c r="K872" t="s">
        <v>138</v>
      </c>
      <c r="M872">
        <v>12120922008</v>
      </c>
      <c r="N872" t="s">
        <v>160</v>
      </c>
      <c r="O872">
        <v>12120922008</v>
      </c>
      <c r="P872" t="s">
        <v>147</v>
      </c>
      <c r="Q872" t="s">
        <v>262</v>
      </c>
      <c r="R872">
        <v>2</v>
      </c>
      <c r="S872">
        <v>45</v>
      </c>
      <c r="T872" t="s">
        <v>340</v>
      </c>
      <c r="U872" t="s">
        <v>267</v>
      </c>
      <c r="V872" t="s">
        <v>267</v>
      </c>
      <c r="W872" t="s">
        <v>267</v>
      </c>
      <c r="AA872" t="s">
        <v>265</v>
      </c>
      <c r="AC872">
        <v>0</v>
      </c>
      <c r="AD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A872">
        <v>725676.00000000105</v>
      </c>
      <c r="BB872">
        <v>3764366</v>
      </c>
    </row>
    <row r="873" spans="1:54" x14ac:dyDescent="0.35">
      <c r="A873">
        <v>109679</v>
      </c>
      <c r="B873">
        <v>46</v>
      </c>
      <c r="C873" t="s">
        <v>135</v>
      </c>
      <c r="D873" s="15">
        <v>701012120922008</v>
      </c>
      <c r="E873">
        <v>5</v>
      </c>
      <c r="F873">
        <v>70</v>
      </c>
      <c r="G873" t="s">
        <v>136</v>
      </c>
      <c r="H873">
        <v>7010</v>
      </c>
      <c r="I873" t="s">
        <v>137</v>
      </c>
      <c r="M873">
        <v>12120922007</v>
      </c>
      <c r="N873" t="s">
        <v>160</v>
      </c>
      <c r="O873">
        <v>12120922007</v>
      </c>
      <c r="Q873" t="s">
        <v>262</v>
      </c>
      <c r="R873">
        <v>2</v>
      </c>
      <c r="S873">
        <v>45</v>
      </c>
      <c r="T873" t="s">
        <v>340</v>
      </c>
      <c r="AA873" t="s">
        <v>265</v>
      </c>
      <c r="AC873">
        <v>0</v>
      </c>
      <c r="AD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A873">
        <v>725678.00000000105</v>
      </c>
      <c r="BB873">
        <v>3764424</v>
      </c>
    </row>
    <row r="874" spans="1:54" x14ac:dyDescent="0.35">
      <c r="A874">
        <v>109678</v>
      </c>
      <c r="B874">
        <v>45</v>
      </c>
      <c r="C874" t="s">
        <v>135</v>
      </c>
      <c r="D874" s="15">
        <v>701012120922008</v>
      </c>
      <c r="E874">
        <v>4</v>
      </c>
      <c r="F874">
        <v>70</v>
      </c>
      <c r="G874" t="s">
        <v>136</v>
      </c>
      <c r="H874">
        <v>7010</v>
      </c>
      <c r="I874" t="s">
        <v>137</v>
      </c>
      <c r="M874">
        <v>12120922006</v>
      </c>
      <c r="N874" t="s">
        <v>160</v>
      </c>
      <c r="O874">
        <v>12120922006</v>
      </c>
      <c r="Q874" t="s">
        <v>262</v>
      </c>
      <c r="R874">
        <v>1</v>
      </c>
      <c r="S874">
        <v>45</v>
      </c>
      <c r="T874" t="s">
        <v>222</v>
      </c>
      <c r="AA874" t="s">
        <v>265</v>
      </c>
      <c r="AC874">
        <v>0</v>
      </c>
      <c r="AD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A874">
        <v>725669</v>
      </c>
      <c r="BB874">
        <v>3764471</v>
      </c>
    </row>
    <row r="875" spans="1:54" x14ac:dyDescent="0.35">
      <c r="A875">
        <v>109677</v>
      </c>
      <c r="B875">
        <v>44</v>
      </c>
      <c r="C875" t="s">
        <v>135</v>
      </c>
      <c r="D875" s="15">
        <v>701012120922008</v>
      </c>
      <c r="E875">
        <v>3</v>
      </c>
      <c r="F875">
        <v>70</v>
      </c>
      <c r="G875" t="s">
        <v>136</v>
      </c>
      <c r="H875">
        <v>7010</v>
      </c>
      <c r="I875" t="s">
        <v>137</v>
      </c>
      <c r="M875">
        <v>12120922005</v>
      </c>
      <c r="N875" t="s">
        <v>160</v>
      </c>
      <c r="O875">
        <v>12120922005</v>
      </c>
      <c r="Q875" t="s">
        <v>262</v>
      </c>
      <c r="R875">
        <v>1</v>
      </c>
      <c r="S875">
        <v>45</v>
      </c>
      <c r="T875" t="s">
        <v>222</v>
      </c>
      <c r="AA875" t="s">
        <v>265</v>
      </c>
      <c r="AC875">
        <v>0</v>
      </c>
      <c r="AD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A875">
        <v>725633</v>
      </c>
      <c r="BB875">
        <v>3764473</v>
      </c>
    </row>
    <row r="876" spans="1:54" x14ac:dyDescent="0.35">
      <c r="A876">
        <v>109676</v>
      </c>
      <c r="B876">
        <v>43</v>
      </c>
      <c r="C876" t="s">
        <v>135</v>
      </c>
      <c r="D876" s="15">
        <v>701012120922008</v>
      </c>
      <c r="E876">
        <v>2</v>
      </c>
      <c r="F876">
        <v>70</v>
      </c>
      <c r="G876" t="s">
        <v>136</v>
      </c>
      <c r="H876">
        <v>7010</v>
      </c>
      <c r="I876" t="s">
        <v>137</v>
      </c>
      <c r="M876">
        <v>12120922004</v>
      </c>
      <c r="N876" t="s">
        <v>160</v>
      </c>
      <c r="O876">
        <v>12120922004</v>
      </c>
      <c r="Q876" t="s">
        <v>262</v>
      </c>
      <c r="R876">
        <v>1</v>
      </c>
      <c r="S876">
        <v>45</v>
      </c>
      <c r="T876" t="s">
        <v>222</v>
      </c>
      <c r="AA876" t="s">
        <v>265</v>
      </c>
      <c r="AC876">
        <v>0</v>
      </c>
      <c r="AD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A876">
        <v>725596.00000000105</v>
      </c>
      <c r="BB876">
        <v>3764474</v>
      </c>
    </row>
    <row r="877" spans="1:54" x14ac:dyDescent="0.35">
      <c r="A877">
        <v>109675</v>
      </c>
      <c r="B877">
        <v>42</v>
      </c>
      <c r="C877" t="s">
        <v>135</v>
      </c>
      <c r="D877" s="15">
        <v>701012120922008</v>
      </c>
      <c r="E877">
        <v>1</v>
      </c>
      <c r="F877">
        <v>70</v>
      </c>
      <c r="G877" t="s">
        <v>136</v>
      </c>
      <c r="H877">
        <v>7010</v>
      </c>
      <c r="I877" t="s">
        <v>137</v>
      </c>
      <c r="M877">
        <v>12120922003</v>
      </c>
      <c r="N877" t="s">
        <v>160</v>
      </c>
      <c r="O877">
        <v>12120922003</v>
      </c>
      <c r="Q877" t="s">
        <v>262</v>
      </c>
      <c r="R877">
        <v>1</v>
      </c>
      <c r="S877">
        <v>36</v>
      </c>
      <c r="T877" t="s">
        <v>222</v>
      </c>
      <c r="AA877" t="s">
        <v>265</v>
      </c>
      <c r="AC877">
        <v>0</v>
      </c>
      <c r="AD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A877">
        <v>725514.00000000105</v>
      </c>
      <c r="BB877">
        <v>3764478</v>
      </c>
    </row>
    <row r="878" spans="1:54" x14ac:dyDescent="0.35">
      <c r="A878">
        <v>109674</v>
      </c>
      <c r="B878">
        <v>41</v>
      </c>
      <c r="C878" t="s">
        <v>135</v>
      </c>
      <c r="D878" s="15">
        <v>701012120922008</v>
      </c>
      <c r="E878">
        <v>0</v>
      </c>
      <c r="F878">
        <v>70</v>
      </c>
      <c r="G878" t="s">
        <v>136</v>
      </c>
      <c r="H878">
        <v>7010</v>
      </c>
      <c r="I878" t="s">
        <v>137</v>
      </c>
      <c r="M878">
        <v>12120922002</v>
      </c>
      <c r="N878" t="s">
        <v>160</v>
      </c>
      <c r="O878">
        <v>12120922002</v>
      </c>
      <c r="Q878" t="s">
        <v>262</v>
      </c>
      <c r="R878">
        <v>1</v>
      </c>
      <c r="S878">
        <v>36</v>
      </c>
      <c r="T878" t="s">
        <v>222</v>
      </c>
      <c r="AA878" t="s">
        <v>265</v>
      </c>
      <c r="AC878">
        <v>0</v>
      </c>
      <c r="AD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A878">
        <v>725443.00000000105</v>
      </c>
      <c r="BB878">
        <v>3764482</v>
      </c>
    </row>
    <row r="879" spans="1:54" x14ac:dyDescent="0.35">
      <c r="A879">
        <v>109673</v>
      </c>
      <c r="B879">
        <v>40</v>
      </c>
      <c r="C879" t="s">
        <v>135</v>
      </c>
      <c r="D879" s="15">
        <v>701012120922008</v>
      </c>
      <c r="F879">
        <v>70</v>
      </c>
      <c r="G879" t="s">
        <v>136</v>
      </c>
      <c r="H879">
        <v>7010</v>
      </c>
      <c r="I879" t="s">
        <v>137</v>
      </c>
      <c r="K879" t="s">
        <v>79</v>
      </c>
      <c r="M879">
        <v>12120922001</v>
      </c>
      <c r="N879" t="s">
        <v>160</v>
      </c>
      <c r="O879">
        <v>12120922001</v>
      </c>
      <c r="Q879" t="s">
        <v>262</v>
      </c>
      <c r="R879">
        <v>1</v>
      </c>
      <c r="S879">
        <v>36</v>
      </c>
      <c r="T879" t="s">
        <v>222</v>
      </c>
      <c r="AA879" t="s">
        <v>265</v>
      </c>
      <c r="AC879">
        <v>0</v>
      </c>
      <c r="AD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A879">
        <v>725374.00000000105</v>
      </c>
      <c r="BB879">
        <v>3764486</v>
      </c>
    </row>
    <row r="880" spans="1:54" x14ac:dyDescent="0.35">
      <c r="A880">
        <v>109672</v>
      </c>
      <c r="B880">
        <v>39</v>
      </c>
      <c r="C880" t="s">
        <v>135</v>
      </c>
      <c r="D880" s="15">
        <v>701012120922001</v>
      </c>
      <c r="F880">
        <v>70</v>
      </c>
      <c r="G880" t="s">
        <v>136</v>
      </c>
      <c r="H880">
        <v>7010</v>
      </c>
      <c r="I880" t="s">
        <v>137</v>
      </c>
      <c r="K880" t="s">
        <v>138</v>
      </c>
      <c r="M880">
        <v>12120922001</v>
      </c>
      <c r="N880" t="s">
        <v>160</v>
      </c>
      <c r="O880">
        <v>12120922001</v>
      </c>
      <c r="P880" t="s">
        <v>147</v>
      </c>
      <c r="Q880" t="s">
        <v>262</v>
      </c>
      <c r="R880">
        <v>1</v>
      </c>
      <c r="S880">
        <v>36</v>
      </c>
      <c r="T880" t="s">
        <v>222</v>
      </c>
      <c r="U880" t="s">
        <v>267</v>
      </c>
      <c r="V880" t="s">
        <v>267</v>
      </c>
      <c r="W880" t="s">
        <v>267</v>
      </c>
      <c r="AA880" t="s">
        <v>265</v>
      </c>
      <c r="AC880">
        <v>0</v>
      </c>
      <c r="AD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A880">
        <v>725374.00000000105</v>
      </c>
      <c r="BB880">
        <v>3764486</v>
      </c>
    </row>
    <row r="881" spans="1:54" x14ac:dyDescent="0.35">
      <c r="A881">
        <v>109671</v>
      </c>
      <c r="B881">
        <v>38</v>
      </c>
      <c r="C881" t="s">
        <v>135</v>
      </c>
      <c r="D881" s="15">
        <v>701012120922001</v>
      </c>
      <c r="F881">
        <v>70</v>
      </c>
      <c r="G881" t="s">
        <v>136</v>
      </c>
      <c r="H881">
        <v>7010</v>
      </c>
      <c r="I881" t="s">
        <v>137</v>
      </c>
      <c r="K881" t="s">
        <v>79</v>
      </c>
      <c r="M881">
        <v>14120922035</v>
      </c>
      <c r="N881" t="s">
        <v>160</v>
      </c>
      <c r="O881">
        <v>14120922035</v>
      </c>
      <c r="Q881" t="s">
        <v>262</v>
      </c>
      <c r="R881">
        <v>2</v>
      </c>
      <c r="S881">
        <v>36</v>
      </c>
      <c r="T881" t="s">
        <v>222</v>
      </c>
      <c r="AA881" t="s">
        <v>265</v>
      </c>
      <c r="AC881">
        <v>0</v>
      </c>
      <c r="AD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A881">
        <v>725299.00000000198</v>
      </c>
      <c r="BB881">
        <v>3764493</v>
      </c>
    </row>
    <row r="882" spans="1:54" x14ac:dyDescent="0.35">
      <c r="A882">
        <v>109670</v>
      </c>
      <c r="B882">
        <v>37</v>
      </c>
      <c r="C882" t="s">
        <v>135</v>
      </c>
      <c r="D882" s="15">
        <v>701014120922037</v>
      </c>
      <c r="F882">
        <v>70</v>
      </c>
      <c r="G882" t="s">
        <v>136</v>
      </c>
      <c r="H882">
        <v>7010</v>
      </c>
      <c r="I882" t="s">
        <v>137</v>
      </c>
      <c r="K882" t="s">
        <v>138</v>
      </c>
      <c r="M882">
        <v>14120922037</v>
      </c>
      <c r="N882" t="s">
        <v>139</v>
      </c>
      <c r="O882">
        <v>14120922037</v>
      </c>
      <c r="P882" t="s">
        <v>140</v>
      </c>
      <c r="Q882" t="s">
        <v>141</v>
      </c>
      <c r="R882">
        <v>0</v>
      </c>
      <c r="T882" t="s">
        <v>146</v>
      </c>
      <c r="U882" t="s">
        <v>298</v>
      </c>
      <c r="V882" t="s">
        <v>298</v>
      </c>
      <c r="W882" t="s">
        <v>298</v>
      </c>
      <c r="X882" t="s">
        <v>298</v>
      </c>
      <c r="AA882" t="s">
        <v>144</v>
      </c>
      <c r="AB882" t="s">
        <v>344</v>
      </c>
      <c r="AC882">
        <v>0</v>
      </c>
      <c r="AD882">
        <v>25</v>
      </c>
      <c r="AE882" t="s">
        <v>147</v>
      </c>
      <c r="AF882" t="s">
        <v>273</v>
      </c>
      <c r="AG882" t="s">
        <v>149</v>
      </c>
      <c r="AH882" t="s">
        <v>234</v>
      </c>
      <c r="AJ882" t="s">
        <v>345</v>
      </c>
      <c r="AK882" t="s">
        <v>186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Z882" t="s">
        <v>346</v>
      </c>
      <c r="BA882">
        <v>725299.00000000198</v>
      </c>
      <c r="BB882">
        <v>3764494</v>
      </c>
    </row>
    <row r="883" spans="1:54" x14ac:dyDescent="0.35">
      <c r="A883">
        <v>109669</v>
      </c>
      <c r="B883">
        <v>36</v>
      </c>
      <c r="C883" t="s">
        <v>135</v>
      </c>
      <c r="D883" s="15">
        <v>701014120922037</v>
      </c>
      <c r="F883">
        <v>70</v>
      </c>
      <c r="G883" t="s">
        <v>136</v>
      </c>
      <c r="H883">
        <v>7010</v>
      </c>
      <c r="I883" t="s">
        <v>137</v>
      </c>
      <c r="K883" t="s">
        <v>79</v>
      </c>
      <c r="M883">
        <v>14120922036</v>
      </c>
      <c r="N883" t="s">
        <v>139</v>
      </c>
      <c r="O883">
        <v>14120922036</v>
      </c>
      <c r="Q883" t="s">
        <v>141</v>
      </c>
      <c r="R883">
        <v>0</v>
      </c>
      <c r="T883" t="s">
        <v>146</v>
      </c>
      <c r="AA883" t="s">
        <v>144</v>
      </c>
      <c r="AB883" t="s">
        <v>344</v>
      </c>
      <c r="AC883">
        <v>0</v>
      </c>
      <c r="AD883">
        <v>25</v>
      </c>
      <c r="AE883" t="s">
        <v>147</v>
      </c>
      <c r="AF883" t="s">
        <v>273</v>
      </c>
      <c r="AG883" t="s">
        <v>149</v>
      </c>
      <c r="AH883" t="s">
        <v>234</v>
      </c>
      <c r="AJ883" t="s">
        <v>345</v>
      </c>
      <c r="AK883" t="s">
        <v>186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Z883" t="s">
        <v>346</v>
      </c>
      <c r="BA883">
        <v>725300.00000000105</v>
      </c>
      <c r="BB883">
        <v>3764494</v>
      </c>
    </row>
    <row r="884" spans="1:54" x14ac:dyDescent="0.35">
      <c r="A884">
        <v>109668</v>
      </c>
      <c r="B884">
        <v>35</v>
      </c>
      <c r="C884" t="s">
        <v>135</v>
      </c>
      <c r="D884" s="15">
        <v>701014120922036</v>
      </c>
      <c r="F884">
        <v>70</v>
      </c>
      <c r="G884" t="s">
        <v>136</v>
      </c>
      <c r="H884">
        <v>7010</v>
      </c>
      <c r="I884" t="s">
        <v>137</v>
      </c>
      <c r="K884" t="s">
        <v>138</v>
      </c>
      <c r="M884">
        <v>14120922036</v>
      </c>
      <c r="N884" t="s">
        <v>160</v>
      </c>
      <c r="O884">
        <v>14120922036</v>
      </c>
      <c r="P884" t="s">
        <v>147</v>
      </c>
      <c r="Q884" t="s">
        <v>262</v>
      </c>
      <c r="R884">
        <v>0</v>
      </c>
      <c r="T884" t="s">
        <v>146</v>
      </c>
      <c r="U884" t="s">
        <v>263</v>
      </c>
      <c r="V884" t="s">
        <v>263</v>
      </c>
      <c r="W884" t="s">
        <v>263</v>
      </c>
      <c r="AA884" t="s">
        <v>264</v>
      </c>
      <c r="AB884" t="s">
        <v>344</v>
      </c>
      <c r="AC884">
        <v>0</v>
      </c>
      <c r="AD884">
        <v>25</v>
      </c>
      <c r="AE884" t="s">
        <v>147</v>
      </c>
      <c r="AF884" t="s">
        <v>273</v>
      </c>
      <c r="AG884" t="s">
        <v>149</v>
      </c>
      <c r="AH884" t="s">
        <v>234</v>
      </c>
      <c r="AJ884" t="s">
        <v>345</v>
      </c>
      <c r="AK884" t="s">
        <v>186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Z884" t="s">
        <v>346</v>
      </c>
      <c r="BA884">
        <v>725300.00000000105</v>
      </c>
      <c r="BB884">
        <v>3764494</v>
      </c>
    </row>
    <row r="885" spans="1:54" x14ac:dyDescent="0.35">
      <c r="A885">
        <v>109667</v>
      </c>
      <c r="B885">
        <v>34</v>
      </c>
      <c r="C885" t="s">
        <v>135</v>
      </c>
      <c r="D885" s="15">
        <v>701014120922036</v>
      </c>
      <c r="F885">
        <v>70</v>
      </c>
      <c r="G885" t="s">
        <v>136</v>
      </c>
      <c r="H885">
        <v>7010</v>
      </c>
      <c r="I885" t="s">
        <v>137</v>
      </c>
      <c r="K885" t="s">
        <v>79</v>
      </c>
      <c r="M885">
        <v>14120922035</v>
      </c>
      <c r="N885" t="s">
        <v>160</v>
      </c>
      <c r="O885">
        <v>14120922035</v>
      </c>
      <c r="Q885" t="s">
        <v>262</v>
      </c>
      <c r="R885">
        <v>2</v>
      </c>
      <c r="S885">
        <v>36</v>
      </c>
      <c r="T885" t="s">
        <v>222</v>
      </c>
      <c r="AA885" t="s">
        <v>265</v>
      </c>
      <c r="AC885">
        <v>0</v>
      </c>
      <c r="AD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A885">
        <v>725299.00000000198</v>
      </c>
      <c r="BB885">
        <v>3764493</v>
      </c>
    </row>
    <row r="886" spans="1:54" x14ac:dyDescent="0.35">
      <c r="A886">
        <v>109666</v>
      </c>
      <c r="B886">
        <v>33</v>
      </c>
      <c r="C886" t="s">
        <v>135</v>
      </c>
      <c r="D886" s="15">
        <v>701014120922035</v>
      </c>
      <c r="F886">
        <v>70</v>
      </c>
      <c r="G886" t="s">
        <v>136</v>
      </c>
      <c r="H886">
        <v>7010</v>
      </c>
      <c r="I886" t="s">
        <v>137</v>
      </c>
      <c r="K886" t="s">
        <v>138</v>
      </c>
      <c r="M886">
        <v>14120922035</v>
      </c>
      <c r="N886" t="s">
        <v>160</v>
      </c>
      <c r="O886">
        <v>14120922035</v>
      </c>
      <c r="P886" t="s">
        <v>147</v>
      </c>
      <c r="Q886" t="s">
        <v>262</v>
      </c>
      <c r="R886">
        <v>2</v>
      </c>
      <c r="S886">
        <v>36</v>
      </c>
      <c r="T886" t="s">
        <v>222</v>
      </c>
      <c r="U886" t="s">
        <v>267</v>
      </c>
      <c r="V886" t="s">
        <v>267</v>
      </c>
      <c r="W886" t="s">
        <v>267</v>
      </c>
      <c r="AA886" t="s">
        <v>265</v>
      </c>
      <c r="AC886">
        <v>0</v>
      </c>
      <c r="AD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A886">
        <v>725299.00000000198</v>
      </c>
      <c r="BB886">
        <v>3764493</v>
      </c>
    </row>
    <row r="887" spans="1:54" x14ac:dyDescent="0.35">
      <c r="A887">
        <v>109665</v>
      </c>
      <c r="B887">
        <v>32</v>
      </c>
      <c r="C887" t="s">
        <v>135</v>
      </c>
      <c r="D887" s="15">
        <v>701014120922035</v>
      </c>
      <c r="E887">
        <v>2</v>
      </c>
      <c r="F887">
        <v>70</v>
      </c>
      <c r="G887" t="s">
        <v>136</v>
      </c>
      <c r="H887">
        <v>7010</v>
      </c>
      <c r="I887" t="s">
        <v>137</v>
      </c>
      <c r="M887">
        <v>14120922034</v>
      </c>
      <c r="N887" t="s">
        <v>160</v>
      </c>
      <c r="O887">
        <v>14120922034</v>
      </c>
      <c r="Q887" t="s">
        <v>262</v>
      </c>
      <c r="R887">
        <v>2</v>
      </c>
      <c r="S887">
        <v>36</v>
      </c>
      <c r="T887" t="s">
        <v>222</v>
      </c>
      <c r="AA887" t="s">
        <v>265</v>
      </c>
      <c r="AC887">
        <v>0</v>
      </c>
      <c r="AD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A887">
        <v>725219</v>
      </c>
      <c r="BB887">
        <v>3764492</v>
      </c>
    </row>
    <row r="888" spans="1:54" x14ac:dyDescent="0.35">
      <c r="A888">
        <v>109664</v>
      </c>
      <c r="B888">
        <v>31</v>
      </c>
      <c r="C888" t="s">
        <v>135</v>
      </c>
      <c r="D888" s="15">
        <v>701014120922035</v>
      </c>
      <c r="E888">
        <v>1</v>
      </c>
      <c r="F888">
        <v>70</v>
      </c>
      <c r="G888" t="s">
        <v>136</v>
      </c>
      <c r="H888">
        <v>7010</v>
      </c>
      <c r="I888" t="s">
        <v>137</v>
      </c>
      <c r="M888">
        <v>14120922032</v>
      </c>
      <c r="N888" t="s">
        <v>160</v>
      </c>
      <c r="O888">
        <v>14120922032</v>
      </c>
      <c r="Q888" t="s">
        <v>262</v>
      </c>
      <c r="R888">
        <v>2</v>
      </c>
      <c r="S888">
        <v>36</v>
      </c>
      <c r="T888" t="s">
        <v>142</v>
      </c>
      <c r="AA888" t="s">
        <v>265</v>
      </c>
      <c r="AC888">
        <v>0</v>
      </c>
      <c r="AD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A888">
        <v>725140</v>
      </c>
      <c r="BB888">
        <v>3764496</v>
      </c>
    </row>
    <row r="889" spans="1:54" x14ac:dyDescent="0.35">
      <c r="A889">
        <v>109663</v>
      </c>
      <c r="B889">
        <v>30</v>
      </c>
      <c r="C889" t="s">
        <v>135</v>
      </c>
      <c r="D889" s="15">
        <v>701014120922035</v>
      </c>
      <c r="E889">
        <v>0</v>
      </c>
      <c r="F889">
        <v>70</v>
      </c>
      <c r="G889" t="s">
        <v>136</v>
      </c>
      <c r="H889">
        <v>7010</v>
      </c>
      <c r="I889" t="s">
        <v>137</v>
      </c>
      <c r="M889">
        <v>14120922030</v>
      </c>
      <c r="N889" t="s">
        <v>160</v>
      </c>
      <c r="O889">
        <v>14120922030</v>
      </c>
      <c r="Q889" t="s">
        <v>262</v>
      </c>
      <c r="R889">
        <v>2</v>
      </c>
      <c r="S889">
        <v>36</v>
      </c>
      <c r="T889" t="s">
        <v>142</v>
      </c>
      <c r="AA889" t="s">
        <v>265</v>
      </c>
      <c r="AC889">
        <v>0</v>
      </c>
      <c r="AD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A889">
        <v>725007</v>
      </c>
      <c r="BB889">
        <v>3764501</v>
      </c>
    </row>
    <row r="890" spans="1:54" x14ac:dyDescent="0.35">
      <c r="A890">
        <v>109662</v>
      </c>
      <c r="B890">
        <v>29</v>
      </c>
      <c r="C890" t="s">
        <v>135</v>
      </c>
      <c r="D890" s="15">
        <v>701014120922035</v>
      </c>
      <c r="F890">
        <v>70</v>
      </c>
      <c r="G890" t="s">
        <v>136</v>
      </c>
      <c r="H890">
        <v>7010</v>
      </c>
      <c r="I890" t="s">
        <v>137</v>
      </c>
      <c r="K890" t="s">
        <v>79</v>
      </c>
      <c r="M890">
        <v>14120922028</v>
      </c>
      <c r="N890" t="s">
        <v>160</v>
      </c>
      <c r="O890">
        <v>14120922028</v>
      </c>
      <c r="Q890" t="s">
        <v>262</v>
      </c>
      <c r="R890">
        <v>2</v>
      </c>
      <c r="S890">
        <v>36</v>
      </c>
      <c r="T890" t="s">
        <v>222</v>
      </c>
      <c r="AA890" t="s">
        <v>265</v>
      </c>
      <c r="AC890">
        <v>0</v>
      </c>
      <c r="AD890">
        <v>0</v>
      </c>
      <c r="AN890" t="s">
        <v>271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A890">
        <v>724955</v>
      </c>
      <c r="BB890">
        <v>3764504</v>
      </c>
    </row>
    <row r="891" spans="1:54" x14ac:dyDescent="0.35">
      <c r="A891">
        <v>109661</v>
      </c>
      <c r="B891">
        <v>28</v>
      </c>
      <c r="C891" t="s">
        <v>135</v>
      </c>
      <c r="D891" s="15">
        <v>701014120922028</v>
      </c>
      <c r="F891">
        <v>70</v>
      </c>
      <c r="G891" t="s">
        <v>136</v>
      </c>
      <c r="H891">
        <v>7010</v>
      </c>
      <c r="I891" t="s">
        <v>137</v>
      </c>
      <c r="K891" t="s">
        <v>138</v>
      </c>
      <c r="M891">
        <v>14120922028</v>
      </c>
      <c r="N891" t="s">
        <v>160</v>
      </c>
      <c r="O891">
        <v>14120922028</v>
      </c>
      <c r="P891" t="s">
        <v>147</v>
      </c>
      <c r="Q891" t="s">
        <v>262</v>
      </c>
      <c r="R891">
        <v>2</v>
      </c>
      <c r="S891">
        <v>36</v>
      </c>
      <c r="T891" t="s">
        <v>222</v>
      </c>
      <c r="U891" t="s">
        <v>267</v>
      </c>
      <c r="V891" t="s">
        <v>267</v>
      </c>
      <c r="W891" t="s">
        <v>267</v>
      </c>
      <c r="AA891" t="s">
        <v>265</v>
      </c>
      <c r="AC891">
        <v>0</v>
      </c>
      <c r="AD891">
        <v>0</v>
      </c>
      <c r="AN891" t="s">
        <v>271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A891">
        <v>724955</v>
      </c>
      <c r="BB891">
        <v>3764504</v>
      </c>
    </row>
    <row r="892" spans="1:54" x14ac:dyDescent="0.35">
      <c r="A892">
        <v>109660</v>
      </c>
      <c r="B892">
        <v>27</v>
      </c>
      <c r="C892" t="s">
        <v>135</v>
      </c>
      <c r="D892" s="15">
        <v>701014120922028</v>
      </c>
      <c r="E892">
        <v>4</v>
      </c>
      <c r="F892">
        <v>70</v>
      </c>
      <c r="G892" t="s">
        <v>136</v>
      </c>
      <c r="H892">
        <v>7010</v>
      </c>
      <c r="I892" t="s">
        <v>137</v>
      </c>
      <c r="M892">
        <v>14120922027</v>
      </c>
      <c r="N892" t="s">
        <v>160</v>
      </c>
      <c r="O892">
        <v>14120922027</v>
      </c>
      <c r="Q892" t="s">
        <v>262</v>
      </c>
      <c r="R892">
        <v>2</v>
      </c>
      <c r="S892">
        <v>45</v>
      </c>
      <c r="T892" t="s">
        <v>222</v>
      </c>
      <c r="AA892" t="s">
        <v>265</v>
      </c>
      <c r="AC892">
        <v>0</v>
      </c>
      <c r="AD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A892">
        <v>724908.00000000105</v>
      </c>
      <c r="BB892">
        <v>3764518</v>
      </c>
    </row>
    <row r="893" spans="1:54" x14ac:dyDescent="0.35">
      <c r="A893">
        <v>109659</v>
      </c>
      <c r="B893">
        <v>26</v>
      </c>
      <c r="C893" t="s">
        <v>135</v>
      </c>
      <c r="D893" s="15">
        <v>701014120922028</v>
      </c>
      <c r="E893">
        <v>3</v>
      </c>
      <c r="F893">
        <v>70</v>
      </c>
      <c r="G893" t="s">
        <v>136</v>
      </c>
      <c r="H893">
        <v>7010</v>
      </c>
      <c r="I893" t="s">
        <v>137</v>
      </c>
      <c r="M893">
        <v>14120922026</v>
      </c>
      <c r="N893" t="s">
        <v>160</v>
      </c>
      <c r="O893">
        <v>14120922026</v>
      </c>
      <c r="Q893" t="s">
        <v>262</v>
      </c>
      <c r="R893">
        <v>2</v>
      </c>
      <c r="S893">
        <v>45</v>
      </c>
      <c r="T893" t="s">
        <v>222</v>
      </c>
      <c r="AA893" t="s">
        <v>265</v>
      </c>
      <c r="AC893">
        <v>0</v>
      </c>
      <c r="AD893">
        <v>0</v>
      </c>
      <c r="AN893" t="s">
        <v>266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A893">
        <v>724902</v>
      </c>
      <c r="BB893">
        <v>3764485</v>
      </c>
    </row>
    <row r="894" spans="1:54" x14ac:dyDescent="0.35">
      <c r="A894">
        <v>109658</v>
      </c>
      <c r="B894">
        <v>25</v>
      </c>
      <c r="C894" t="s">
        <v>135</v>
      </c>
      <c r="D894" s="15">
        <v>701014120922028</v>
      </c>
      <c r="E894">
        <v>2</v>
      </c>
      <c r="F894">
        <v>70</v>
      </c>
      <c r="G894" t="s">
        <v>136</v>
      </c>
      <c r="H894">
        <v>7010</v>
      </c>
      <c r="I894" t="s">
        <v>137</v>
      </c>
      <c r="M894">
        <v>14120922024</v>
      </c>
      <c r="N894" t="s">
        <v>160</v>
      </c>
      <c r="O894">
        <v>14120922024</v>
      </c>
      <c r="Q894" t="s">
        <v>262</v>
      </c>
      <c r="R894">
        <v>2</v>
      </c>
      <c r="S894">
        <v>45</v>
      </c>
      <c r="T894" t="s">
        <v>222</v>
      </c>
      <c r="AA894" t="s">
        <v>265</v>
      </c>
      <c r="AC894">
        <v>0</v>
      </c>
      <c r="AD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A894">
        <v>724846</v>
      </c>
      <c r="BB894">
        <v>3764471</v>
      </c>
    </row>
    <row r="895" spans="1:54" x14ac:dyDescent="0.35">
      <c r="A895">
        <v>109657</v>
      </c>
      <c r="B895">
        <v>24</v>
      </c>
      <c r="C895" t="s">
        <v>135</v>
      </c>
      <c r="D895" s="15">
        <v>701014120922028</v>
      </c>
      <c r="E895">
        <v>1</v>
      </c>
      <c r="F895">
        <v>70</v>
      </c>
      <c r="G895" t="s">
        <v>136</v>
      </c>
      <c r="H895">
        <v>7010</v>
      </c>
      <c r="I895" t="s">
        <v>137</v>
      </c>
      <c r="M895">
        <v>14120922023</v>
      </c>
      <c r="N895" t="s">
        <v>160</v>
      </c>
      <c r="O895">
        <v>14120922023</v>
      </c>
      <c r="Q895" t="s">
        <v>262</v>
      </c>
      <c r="R895">
        <v>2</v>
      </c>
      <c r="S895">
        <v>45</v>
      </c>
      <c r="T895" t="s">
        <v>222</v>
      </c>
      <c r="AA895" t="s">
        <v>265</v>
      </c>
      <c r="AC895">
        <v>0</v>
      </c>
      <c r="AD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A895">
        <v>724805</v>
      </c>
      <c r="BB895">
        <v>3764444</v>
      </c>
    </row>
    <row r="896" spans="1:54" x14ac:dyDescent="0.35">
      <c r="A896">
        <v>109656</v>
      </c>
      <c r="B896">
        <v>23</v>
      </c>
      <c r="C896" t="s">
        <v>135</v>
      </c>
      <c r="D896" s="15">
        <v>701014120922028</v>
      </c>
      <c r="E896">
        <v>0</v>
      </c>
      <c r="F896">
        <v>70</v>
      </c>
      <c r="G896" t="s">
        <v>136</v>
      </c>
      <c r="H896">
        <v>7010</v>
      </c>
      <c r="I896" t="s">
        <v>137</v>
      </c>
      <c r="M896">
        <v>14120922022</v>
      </c>
      <c r="N896" t="s">
        <v>160</v>
      </c>
      <c r="O896">
        <v>14120922022</v>
      </c>
      <c r="Q896" t="s">
        <v>262</v>
      </c>
      <c r="R896">
        <v>3</v>
      </c>
      <c r="S896">
        <v>36</v>
      </c>
      <c r="T896" t="s">
        <v>222</v>
      </c>
      <c r="AA896" t="s">
        <v>265</v>
      </c>
      <c r="AC896">
        <v>0</v>
      </c>
      <c r="AD896">
        <v>0</v>
      </c>
      <c r="AN896" t="s">
        <v>271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A896">
        <v>724761</v>
      </c>
      <c r="BB896">
        <v>3764431</v>
      </c>
    </row>
    <row r="897" spans="1:54" x14ac:dyDescent="0.35">
      <c r="A897">
        <v>109655</v>
      </c>
      <c r="B897">
        <v>22</v>
      </c>
      <c r="C897" t="s">
        <v>135</v>
      </c>
      <c r="D897" s="15">
        <v>701014120922028</v>
      </c>
      <c r="F897">
        <v>70</v>
      </c>
      <c r="G897" t="s">
        <v>136</v>
      </c>
      <c r="H897">
        <v>7010</v>
      </c>
      <c r="I897" t="s">
        <v>137</v>
      </c>
      <c r="K897" t="s">
        <v>79</v>
      </c>
      <c r="M897">
        <v>14120922020</v>
      </c>
      <c r="N897" t="s">
        <v>160</v>
      </c>
      <c r="O897">
        <v>14120922020</v>
      </c>
      <c r="Q897" t="s">
        <v>262</v>
      </c>
      <c r="R897">
        <v>3</v>
      </c>
      <c r="S897">
        <v>45</v>
      </c>
      <c r="T897" t="s">
        <v>222</v>
      </c>
      <c r="AA897" t="s">
        <v>265</v>
      </c>
      <c r="AC897">
        <v>0</v>
      </c>
      <c r="AD897">
        <v>0</v>
      </c>
      <c r="AN897" t="s">
        <v>271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A897">
        <v>724752.00000000105</v>
      </c>
      <c r="BB897">
        <v>3764294</v>
      </c>
    </row>
    <row r="898" spans="1:54" x14ac:dyDescent="0.35">
      <c r="A898">
        <v>109654</v>
      </c>
      <c r="B898">
        <v>21</v>
      </c>
      <c r="C898" t="s">
        <v>135</v>
      </c>
      <c r="D898" s="15">
        <v>701014120922020</v>
      </c>
      <c r="F898">
        <v>70</v>
      </c>
      <c r="G898" t="s">
        <v>136</v>
      </c>
      <c r="H898">
        <v>7010</v>
      </c>
      <c r="I898" t="s">
        <v>137</v>
      </c>
      <c r="K898" t="s">
        <v>138</v>
      </c>
      <c r="M898">
        <v>14120922020</v>
      </c>
      <c r="N898" t="s">
        <v>160</v>
      </c>
      <c r="O898">
        <v>14120922020</v>
      </c>
      <c r="P898" t="s">
        <v>147</v>
      </c>
      <c r="Q898" t="s">
        <v>262</v>
      </c>
      <c r="R898">
        <v>3</v>
      </c>
      <c r="S898">
        <v>45</v>
      </c>
      <c r="T898" t="s">
        <v>222</v>
      </c>
      <c r="U898" t="s">
        <v>267</v>
      </c>
      <c r="V898" t="s">
        <v>267</v>
      </c>
      <c r="W898" t="s">
        <v>267</v>
      </c>
      <c r="AA898" t="s">
        <v>265</v>
      </c>
      <c r="AC898">
        <v>0</v>
      </c>
      <c r="AD898">
        <v>0</v>
      </c>
      <c r="AN898" t="s">
        <v>271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A898">
        <v>724752.00000000105</v>
      </c>
      <c r="BB898">
        <v>3764294</v>
      </c>
    </row>
    <row r="899" spans="1:54" x14ac:dyDescent="0.35">
      <c r="A899">
        <v>109653</v>
      </c>
      <c r="B899">
        <v>20</v>
      </c>
      <c r="C899" t="s">
        <v>135</v>
      </c>
      <c r="D899" s="15">
        <v>701014120922020</v>
      </c>
      <c r="E899">
        <v>5</v>
      </c>
      <c r="F899">
        <v>70</v>
      </c>
      <c r="G899" t="s">
        <v>136</v>
      </c>
      <c r="H899">
        <v>7010</v>
      </c>
      <c r="I899" t="s">
        <v>137</v>
      </c>
      <c r="M899">
        <v>14120922019</v>
      </c>
      <c r="N899" t="s">
        <v>160</v>
      </c>
      <c r="O899">
        <v>14120922019</v>
      </c>
      <c r="Q899" t="s">
        <v>262</v>
      </c>
      <c r="R899">
        <v>3</v>
      </c>
      <c r="S899">
        <v>45</v>
      </c>
      <c r="T899" t="s">
        <v>222</v>
      </c>
      <c r="AA899" t="s">
        <v>265</v>
      </c>
      <c r="AC899">
        <v>0</v>
      </c>
      <c r="AD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A899">
        <v>724750.00000000105</v>
      </c>
      <c r="BB899">
        <v>3764259</v>
      </c>
    </row>
    <row r="900" spans="1:54" x14ac:dyDescent="0.35">
      <c r="A900">
        <v>109652</v>
      </c>
      <c r="B900">
        <v>19</v>
      </c>
      <c r="C900" t="s">
        <v>135</v>
      </c>
      <c r="D900" s="15">
        <v>701014120922020</v>
      </c>
      <c r="E900">
        <v>4</v>
      </c>
      <c r="F900">
        <v>70</v>
      </c>
      <c r="G900" t="s">
        <v>136</v>
      </c>
      <c r="H900">
        <v>7010</v>
      </c>
      <c r="I900" t="s">
        <v>137</v>
      </c>
      <c r="M900">
        <v>14120922017</v>
      </c>
      <c r="N900" t="s">
        <v>160</v>
      </c>
      <c r="O900">
        <v>14120922017</v>
      </c>
      <c r="Q900" t="s">
        <v>262</v>
      </c>
      <c r="R900">
        <v>3</v>
      </c>
      <c r="S900">
        <v>45</v>
      </c>
      <c r="T900" t="s">
        <v>222</v>
      </c>
      <c r="AA900" t="s">
        <v>265</v>
      </c>
      <c r="AC900">
        <v>0</v>
      </c>
      <c r="AD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A900">
        <v>724747.00000000105</v>
      </c>
      <c r="BB900">
        <v>3764216</v>
      </c>
    </row>
    <row r="901" spans="1:54" x14ac:dyDescent="0.35">
      <c r="A901">
        <v>109651</v>
      </c>
      <c r="B901">
        <v>18</v>
      </c>
      <c r="C901" t="s">
        <v>135</v>
      </c>
      <c r="D901" s="15">
        <v>701014120922020</v>
      </c>
      <c r="E901">
        <v>3</v>
      </c>
      <c r="F901">
        <v>70</v>
      </c>
      <c r="G901" t="s">
        <v>136</v>
      </c>
      <c r="H901">
        <v>7010</v>
      </c>
      <c r="I901" t="s">
        <v>137</v>
      </c>
      <c r="M901">
        <v>14120922015</v>
      </c>
      <c r="N901" t="s">
        <v>160</v>
      </c>
      <c r="O901">
        <v>14120922015</v>
      </c>
      <c r="Q901" t="s">
        <v>262</v>
      </c>
      <c r="R901">
        <v>3</v>
      </c>
      <c r="S901">
        <v>45</v>
      </c>
      <c r="T901" t="s">
        <v>222</v>
      </c>
      <c r="AA901" t="s">
        <v>265</v>
      </c>
      <c r="AC901">
        <v>0</v>
      </c>
      <c r="AD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A901">
        <v>724744.00000000198</v>
      </c>
      <c r="BB901">
        <v>3764163</v>
      </c>
    </row>
    <row r="902" spans="1:54" x14ac:dyDescent="0.35">
      <c r="A902">
        <v>109650</v>
      </c>
      <c r="B902">
        <v>17</v>
      </c>
      <c r="C902" t="s">
        <v>135</v>
      </c>
      <c r="D902" s="15">
        <v>701014120922020</v>
      </c>
      <c r="E902">
        <v>2</v>
      </c>
      <c r="F902">
        <v>70</v>
      </c>
      <c r="G902" t="s">
        <v>136</v>
      </c>
      <c r="H902">
        <v>7010</v>
      </c>
      <c r="I902" t="s">
        <v>137</v>
      </c>
      <c r="M902">
        <v>14120922014</v>
      </c>
      <c r="N902" t="s">
        <v>160</v>
      </c>
      <c r="O902">
        <v>14120922014</v>
      </c>
      <c r="Q902" t="s">
        <v>262</v>
      </c>
      <c r="R902">
        <v>3</v>
      </c>
      <c r="S902">
        <v>45</v>
      </c>
      <c r="T902" t="s">
        <v>222</v>
      </c>
      <c r="AA902" t="s">
        <v>265</v>
      </c>
      <c r="AC902">
        <v>0</v>
      </c>
      <c r="AD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A902">
        <v>724742.00000000105</v>
      </c>
      <c r="BB902">
        <v>3764121</v>
      </c>
    </row>
    <row r="903" spans="1:54" x14ac:dyDescent="0.35">
      <c r="A903">
        <v>109649</v>
      </c>
      <c r="B903">
        <v>16</v>
      </c>
      <c r="C903" t="s">
        <v>135</v>
      </c>
      <c r="D903" s="15">
        <v>701014120922020</v>
      </c>
      <c r="E903">
        <v>1</v>
      </c>
      <c r="F903">
        <v>70</v>
      </c>
      <c r="G903" t="s">
        <v>136</v>
      </c>
      <c r="H903">
        <v>7010</v>
      </c>
      <c r="I903" t="s">
        <v>137</v>
      </c>
      <c r="M903">
        <v>14120922013</v>
      </c>
      <c r="N903" t="s">
        <v>160</v>
      </c>
      <c r="O903">
        <v>14120922013</v>
      </c>
      <c r="Q903" t="s">
        <v>262</v>
      </c>
      <c r="R903">
        <v>3</v>
      </c>
      <c r="S903">
        <v>45</v>
      </c>
      <c r="T903" t="s">
        <v>222</v>
      </c>
      <c r="AA903" t="s">
        <v>265</v>
      </c>
      <c r="AC903">
        <v>0</v>
      </c>
      <c r="AD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A903">
        <v>724737.00000000105</v>
      </c>
      <c r="BB903">
        <v>3764071</v>
      </c>
    </row>
    <row r="904" spans="1:54" x14ac:dyDescent="0.35">
      <c r="A904">
        <v>109648</v>
      </c>
      <c r="B904">
        <v>15</v>
      </c>
      <c r="C904" t="s">
        <v>135</v>
      </c>
      <c r="D904" s="15">
        <v>701014120922020</v>
      </c>
      <c r="E904">
        <v>0</v>
      </c>
      <c r="F904">
        <v>70</v>
      </c>
      <c r="G904" t="s">
        <v>136</v>
      </c>
      <c r="H904">
        <v>7010</v>
      </c>
      <c r="I904" t="s">
        <v>137</v>
      </c>
      <c r="M904">
        <v>14120922012</v>
      </c>
      <c r="N904" t="s">
        <v>160</v>
      </c>
      <c r="O904">
        <v>14120922012</v>
      </c>
      <c r="Q904" t="s">
        <v>262</v>
      </c>
      <c r="R904">
        <v>3</v>
      </c>
      <c r="S904">
        <v>45</v>
      </c>
      <c r="T904" t="s">
        <v>222</v>
      </c>
      <c r="AA904" t="s">
        <v>265</v>
      </c>
      <c r="AC904">
        <v>0</v>
      </c>
      <c r="AD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A904">
        <v>724740.00000000105</v>
      </c>
      <c r="BB904">
        <v>3764043</v>
      </c>
    </row>
    <row r="905" spans="1:54" x14ac:dyDescent="0.35">
      <c r="A905">
        <v>109647</v>
      </c>
      <c r="B905">
        <v>14</v>
      </c>
      <c r="C905" t="s">
        <v>135</v>
      </c>
      <c r="D905" s="15">
        <v>701014120922020</v>
      </c>
      <c r="F905">
        <v>70</v>
      </c>
      <c r="G905" t="s">
        <v>136</v>
      </c>
      <c r="H905">
        <v>7010</v>
      </c>
      <c r="I905" t="s">
        <v>137</v>
      </c>
      <c r="K905" t="s">
        <v>79</v>
      </c>
      <c r="M905">
        <v>14120922011</v>
      </c>
      <c r="N905" t="s">
        <v>160</v>
      </c>
      <c r="O905">
        <v>14120922011</v>
      </c>
      <c r="Q905" t="s">
        <v>262</v>
      </c>
      <c r="R905">
        <v>4</v>
      </c>
      <c r="S905">
        <v>36</v>
      </c>
      <c r="T905" t="s">
        <v>222</v>
      </c>
      <c r="AA905" t="s">
        <v>265</v>
      </c>
      <c r="AC905">
        <v>0</v>
      </c>
      <c r="AD905">
        <v>0</v>
      </c>
      <c r="AN905" t="s">
        <v>271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A905">
        <v>724746</v>
      </c>
      <c r="BB905">
        <v>3764010</v>
      </c>
    </row>
    <row r="906" spans="1:54" x14ac:dyDescent="0.35">
      <c r="A906">
        <v>109646</v>
      </c>
      <c r="B906">
        <v>13</v>
      </c>
      <c r="C906" t="s">
        <v>135</v>
      </c>
      <c r="D906" s="15">
        <v>701014120922011</v>
      </c>
      <c r="F906">
        <v>70</v>
      </c>
      <c r="G906" t="s">
        <v>136</v>
      </c>
      <c r="H906">
        <v>7010</v>
      </c>
      <c r="I906" t="s">
        <v>137</v>
      </c>
      <c r="K906" t="s">
        <v>138</v>
      </c>
      <c r="M906">
        <v>14120922011</v>
      </c>
      <c r="N906" t="s">
        <v>160</v>
      </c>
      <c r="O906">
        <v>14120922011</v>
      </c>
      <c r="P906" t="s">
        <v>147</v>
      </c>
      <c r="Q906" t="s">
        <v>262</v>
      </c>
      <c r="R906">
        <v>4</v>
      </c>
      <c r="S906">
        <v>36</v>
      </c>
      <c r="T906" t="s">
        <v>222</v>
      </c>
      <c r="U906" t="s">
        <v>267</v>
      </c>
      <c r="V906" t="s">
        <v>267</v>
      </c>
      <c r="W906" t="s">
        <v>267</v>
      </c>
      <c r="AA906" t="s">
        <v>265</v>
      </c>
      <c r="AC906">
        <v>0</v>
      </c>
      <c r="AD906">
        <v>0</v>
      </c>
      <c r="AN906" t="s">
        <v>271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A906">
        <v>724746</v>
      </c>
      <c r="BB906">
        <v>3764010</v>
      </c>
    </row>
    <row r="907" spans="1:54" x14ac:dyDescent="0.35">
      <c r="A907">
        <v>109645</v>
      </c>
      <c r="B907">
        <v>12</v>
      </c>
      <c r="C907" t="s">
        <v>135</v>
      </c>
      <c r="D907" s="15">
        <v>701014120922011</v>
      </c>
      <c r="E907">
        <v>1</v>
      </c>
      <c r="F907">
        <v>70</v>
      </c>
      <c r="G907" t="s">
        <v>136</v>
      </c>
      <c r="H907">
        <v>7010</v>
      </c>
      <c r="I907" t="s">
        <v>137</v>
      </c>
      <c r="M907">
        <v>14120922010</v>
      </c>
      <c r="N907" t="s">
        <v>160</v>
      </c>
      <c r="O907">
        <v>14120922010</v>
      </c>
      <c r="Q907" t="s">
        <v>262</v>
      </c>
      <c r="R907">
        <v>2</v>
      </c>
      <c r="S907">
        <v>36</v>
      </c>
      <c r="T907" t="s">
        <v>222</v>
      </c>
      <c r="AA907" t="s">
        <v>265</v>
      </c>
      <c r="AC907">
        <v>0</v>
      </c>
      <c r="AD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A907">
        <v>724753.99999999895</v>
      </c>
      <c r="BB907">
        <v>3763856</v>
      </c>
    </row>
    <row r="908" spans="1:54" x14ac:dyDescent="0.35">
      <c r="A908">
        <v>109644</v>
      </c>
      <c r="B908">
        <v>11</v>
      </c>
      <c r="C908" t="s">
        <v>135</v>
      </c>
      <c r="D908" s="15">
        <v>701014120922011</v>
      </c>
      <c r="E908">
        <v>0</v>
      </c>
      <c r="F908">
        <v>70</v>
      </c>
      <c r="G908" t="s">
        <v>136</v>
      </c>
      <c r="H908">
        <v>7010</v>
      </c>
      <c r="I908" t="s">
        <v>137</v>
      </c>
      <c r="M908">
        <v>14120922009</v>
      </c>
      <c r="N908" t="s">
        <v>160</v>
      </c>
      <c r="O908">
        <v>14120922009</v>
      </c>
      <c r="Q908" t="s">
        <v>262</v>
      </c>
      <c r="R908">
        <v>2</v>
      </c>
      <c r="S908">
        <v>36</v>
      </c>
      <c r="T908" t="s">
        <v>222</v>
      </c>
      <c r="AA908" t="s">
        <v>265</v>
      </c>
      <c r="AC908">
        <v>0</v>
      </c>
      <c r="AD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A908">
        <v>724766</v>
      </c>
      <c r="BB908">
        <v>3763771</v>
      </c>
    </row>
    <row r="909" spans="1:54" x14ac:dyDescent="0.35">
      <c r="A909">
        <v>109643</v>
      </c>
      <c r="B909">
        <v>10</v>
      </c>
      <c r="C909" t="s">
        <v>135</v>
      </c>
      <c r="D909" s="15">
        <v>701014120922011</v>
      </c>
      <c r="F909">
        <v>70</v>
      </c>
      <c r="G909" t="s">
        <v>136</v>
      </c>
      <c r="H909">
        <v>7010</v>
      </c>
      <c r="I909" t="s">
        <v>137</v>
      </c>
      <c r="K909" t="s">
        <v>79</v>
      </c>
      <c r="M909">
        <v>14120922008</v>
      </c>
      <c r="N909" t="s">
        <v>160</v>
      </c>
      <c r="O909">
        <v>14120922008</v>
      </c>
      <c r="Q909" t="s">
        <v>262</v>
      </c>
      <c r="R909">
        <v>2</v>
      </c>
      <c r="S909">
        <v>36</v>
      </c>
      <c r="T909" t="s">
        <v>222</v>
      </c>
      <c r="AA909" t="s">
        <v>265</v>
      </c>
      <c r="AC909">
        <v>0</v>
      </c>
      <c r="AD909">
        <v>0</v>
      </c>
      <c r="AN909" t="s">
        <v>271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A909">
        <v>724763.00000000105</v>
      </c>
      <c r="BB909">
        <v>3763725</v>
      </c>
    </row>
    <row r="910" spans="1:54" x14ac:dyDescent="0.35">
      <c r="A910">
        <v>109642</v>
      </c>
      <c r="B910">
        <v>9</v>
      </c>
      <c r="C910" t="s">
        <v>135</v>
      </c>
      <c r="D910" s="15">
        <v>701014120922008</v>
      </c>
      <c r="F910">
        <v>70</v>
      </c>
      <c r="G910" t="s">
        <v>136</v>
      </c>
      <c r="H910">
        <v>7010</v>
      </c>
      <c r="I910" t="s">
        <v>137</v>
      </c>
      <c r="K910" t="s">
        <v>138</v>
      </c>
      <c r="M910">
        <v>14120922008</v>
      </c>
      <c r="N910" t="s">
        <v>160</v>
      </c>
      <c r="O910">
        <v>14120922008</v>
      </c>
      <c r="P910" t="s">
        <v>147</v>
      </c>
      <c r="Q910" t="s">
        <v>262</v>
      </c>
      <c r="R910">
        <v>2</v>
      </c>
      <c r="S910">
        <v>36</v>
      </c>
      <c r="T910" t="s">
        <v>222</v>
      </c>
      <c r="U910" t="s">
        <v>267</v>
      </c>
      <c r="V910" t="s">
        <v>267</v>
      </c>
      <c r="W910" t="s">
        <v>267</v>
      </c>
      <c r="AA910" t="s">
        <v>265</v>
      </c>
      <c r="AC910">
        <v>0</v>
      </c>
      <c r="AD910">
        <v>0</v>
      </c>
      <c r="AN910" t="s">
        <v>271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A910">
        <v>724763.00000000105</v>
      </c>
      <c r="BB910">
        <v>3763725</v>
      </c>
    </row>
    <row r="911" spans="1:54" x14ac:dyDescent="0.35">
      <c r="A911">
        <v>109641</v>
      </c>
      <c r="B911">
        <v>8</v>
      </c>
      <c r="C911" t="s">
        <v>135</v>
      </c>
      <c r="D911" s="15">
        <v>701014120922008</v>
      </c>
      <c r="E911">
        <v>3</v>
      </c>
      <c r="F911">
        <v>70</v>
      </c>
      <c r="G911" t="s">
        <v>136</v>
      </c>
      <c r="H911">
        <v>7010</v>
      </c>
      <c r="I911" t="s">
        <v>137</v>
      </c>
      <c r="M911">
        <v>14120922007</v>
      </c>
      <c r="N911" t="s">
        <v>160</v>
      </c>
      <c r="O911">
        <v>14120922007</v>
      </c>
      <c r="Q911" t="s">
        <v>262</v>
      </c>
      <c r="R911">
        <v>2</v>
      </c>
      <c r="S911">
        <v>36</v>
      </c>
      <c r="T911" t="s">
        <v>222</v>
      </c>
      <c r="AA911" t="s">
        <v>265</v>
      </c>
      <c r="AC911">
        <v>0</v>
      </c>
      <c r="AD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A911">
        <v>724759</v>
      </c>
      <c r="BB911">
        <v>3763672</v>
      </c>
    </row>
    <row r="912" spans="1:54" x14ac:dyDescent="0.35">
      <c r="A912">
        <v>109640</v>
      </c>
      <c r="B912">
        <v>7</v>
      </c>
      <c r="C912" t="s">
        <v>135</v>
      </c>
      <c r="D912" s="15">
        <v>701014120922008</v>
      </c>
      <c r="E912">
        <v>2</v>
      </c>
      <c r="F912">
        <v>70</v>
      </c>
      <c r="G912" t="s">
        <v>136</v>
      </c>
      <c r="H912">
        <v>7010</v>
      </c>
      <c r="I912" t="s">
        <v>137</v>
      </c>
      <c r="M912">
        <v>14120922006</v>
      </c>
      <c r="N912" t="s">
        <v>160</v>
      </c>
      <c r="O912">
        <v>14120922006</v>
      </c>
      <c r="Q912" t="s">
        <v>262</v>
      </c>
      <c r="R912">
        <v>2</v>
      </c>
      <c r="S912">
        <v>36</v>
      </c>
      <c r="T912" t="s">
        <v>222</v>
      </c>
      <c r="AA912" t="s">
        <v>265</v>
      </c>
      <c r="AC912">
        <v>0</v>
      </c>
      <c r="AD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A912">
        <v>724755.00000000105</v>
      </c>
      <c r="BB912">
        <v>3763606</v>
      </c>
    </row>
    <row r="913" spans="1:54" x14ac:dyDescent="0.35">
      <c r="A913">
        <v>109639</v>
      </c>
      <c r="B913">
        <v>6</v>
      </c>
      <c r="C913" t="s">
        <v>135</v>
      </c>
      <c r="D913" s="15">
        <v>701014120922008</v>
      </c>
      <c r="E913">
        <v>1</v>
      </c>
      <c r="F913">
        <v>70</v>
      </c>
      <c r="G913" t="s">
        <v>136</v>
      </c>
      <c r="H913">
        <v>7010</v>
      </c>
      <c r="I913" t="s">
        <v>137</v>
      </c>
      <c r="M913">
        <v>14120922005</v>
      </c>
      <c r="N913" t="s">
        <v>160</v>
      </c>
      <c r="O913">
        <v>14120922005</v>
      </c>
      <c r="Q913" t="s">
        <v>262</v>
      </c>
      <c r="R913">
        <v>3</v>
      </c>
      <c r="S913">
        <v>45</v>
      </c>
      <c r="T913" t="s">
        <v>222</v>
      </c>
      <c r="AA913" t="s">
        <v>265</v>
      </c>
      <c r="AC913">
        <v>0</v>
      </c>
      <c r="AD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A913">
        <v>724752.00000000105</v>
      </c>
      <c r="BB913">
        <v>3763556</v>
      </c>
    </row>
    <row r="914" spans="1:54" x14ac:dyDescent="0.35">
      <c r="A914">
        <v>109638</v>
      </c>
      <c r="B914">
        <v>5</v>
      </c>
      <c r="C914" t="s">
        <v>135</v>
      </c>
      <c r="D914" s="15">
        <v>701014120922008</v>
      </c>
      <c r="E914">
        <v>0</v>
      </c>
      <c r="F914">
        <v>70</v>
      </c>
      <c r="G914" t="s">
        <v>136</v>
      </c>
      <c r="H914">
        <v>7010</v>
      </c>
      <c r="I914" t="s">
        <v>137</v>
      </c>
      <c r="M914">
        <v>14120922004</v>
      </c>
      <c r="N914" t="s">
        <v>160</v>
      </c>
      <c r="O914">
        <v>14120922004</v>
      </c>
      <c r="Q914" t="s">
        <v>262</v>
      </c>
      <c r="R914">
        <v>3</v>
      </c>
      <c r="S914">
        <v>45</v>
      </c>
      <c r="T914" t="s">
        <v>222</v>
      </c>
      <c r="AA914" t="s">
        <v>265</v>
      </c>
      <c r="AC914">
        <v>0</v>
      </c>
      <c r="AD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A914">
        <v>724710</v>
      </c>
      <c r="BB914">
        <v>3763557</v>
      </c>
    </row>
    <row r="915" spans="1:54" x14ac:dyDescent="0.35">
      <c r="A915">
        <v>109637</v>
      </c>
      <c r="B915">
        <v>4</v>
      </c>
      <c r="C915" t="s">
        <v>135</v>
      </c>
      <c r="D915" s="15">
        <v>701014120922008</v>
      </c>
      <c r="F915">
        <v>70</v>
      </c>
      <c r="G915" t="s">
        <v>136</v>
      </c>
      <c r="H915">
        <v>7010</v>
      </c>
      <c r="I915" t="s">
        <v>137</v>
      </c>
      <c r="K915" t="s">
        <v>79</v>
      </c>
      <c r="M915">
        <v>14120922003</v>
      </c>
      <c r="N915" t="s">
        <v>160</v>
      </c>
      <c r="O915">
        <v>14120922003</v>
      </c>
      <c r="Q915" t="s">
        <v>262</v>
      </c>
      <c r="R915">
        <v>4</v>
      </c>
      <c r="S915">
        <v>45</v>
      </c>
      <c r="T915" t="s">
        <v>222</v>
      </c>
      <c r="AA915" t="s">
        <v>265</v>
      </c>
      <c r="AC915">
        <v>0</v>
      </c>
      <c r="AD915">
        <v>0</v>
      </c>
      <c r="AN915" t="s">
        <v>271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A915">
        <v>724690</v>
      </c>
      <c r="BB915">
        <v>3763551</v>
      </c>
    </row>
    <row r="916" spans="1:54" x14ac:dyDescent="0.35">
      <c r="A916">
        <v>109636</v>
      </c>
      <c r="B916">
        <v>3</v>
      </c>
      <c r="C916" t="s">
        <v>135</v>
      </c>
      <c r="D916" s="15">
        <v>701014120922003</v>
      </c>
      <c r="F916">
        <v>70</v>
      </c>
      <c r="G916" t="s">
        <v>136</v>
      </c>
      <c r="H916">
        <v>7010</v>
      </c>
      <c r="I916" t="s">
        <v>137</v>
      </c>
      <c r="K916" t="s">
        <v>138</v>
      </c>
      <c r="M916">
        <v>14120922003</v>
      </c>
      <c r="N916" t="s">
        <v>160</v>
      </c>
      <c r="O916">
        <v>14120922003</v>
      </c>
      <c r="P916" t="s">
        <v>147</v>
      </c>
      <c r="Q916" t="s">
        <v>262</v>
      </c>
      <c r="R916">
        <v>4</v>
      </c>
      <c r="S916">
        <v>45</v>
      </c>
      <c r="T916" t="s">
        <v>222</v>
      </c>
      <c r="U916" t="s">
        <v>267</v>
      </c>
      <c r="V916" t="s">
        <v>267</v>
      </c>
      <c r="W916" t="s">
        <v>267</v>
      </c>
      <c r="AA916" t="s">
        <v>265</v>
      </c>
      <c r="AC916">
        <v>0</v>
      </c>
      <c r="AD916">
        <v>0</v>
      </c>
      <c r="AN916" t="s">
        <v>271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A916">
        <v>724690</v>
      </c>
      <c r="BB916">
        <v>3763551</v>
      </c>
    </row>
    <row r="917" spans="1:54" x14ac:dyDescent="0.35">
      <c r="A917">
        <v>109635</v>
      </c>
      <c r="B917">
        <v>2</v>
      </c>
      <c r="C917" t="s">
        <v>135</v>
      </c>
      <c r="D917" s="15">
        <v>701014120922003</v>
      </c>
      <c r="F917">
        <v>70</v>
      </c>
      <c r="G917" t="s">
        <v>136</v>
      </c>
      <c r="H917">
        <v>7010</v>
      </c>
      <c r="I917" t="s">
        <v>137</v>
      </c>
      <c r="K917" t="s">
        <v>79</v>
      </c>
      <c r="M917">
        <v>14120922002</v>
      </c>
      <c r="N917" t="s">
        <v>160</v>
      </c>
      <c r="O917">
        <v>14120922002</v>
      </c>
      <c r="Q917" t="s">
        <v>262</v>
      </c>
      <c r="R917">
        <v>4</v>
      </c>
      <c r="S917">
        <v>36</v>
      </c>
      <c r="T917" t="s">
        <v>222</v>
      </c>
      <c r="AA917" t="s">
        <v>265</v>
      </c>
      <c r="AC917">
        <v>0</v>
      </c>
      <c r="AD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A917">
        <v>724656</v>
      </c>
      <c r="BB917">
        <v>3763496</v>
      </c>
    </row>
    <row r="918" spans="1:54" x14ac:dyDescent="0.35">
      <c r="A918">
        <v>109634</v>
      </c>
      <c r="B918">
        <v>1</v>
      </c>
      <c r="C918" t="s">
        <v>135</v>
      </c>
      <c r="D918" s="15">
        <v>701014120922002</v>
      </c>
      <c r="F918">
        <v>70</v>
      </c>
      <c r="G918" t="s">
        <v>136</v>
      </c>
      <c r="H918">
        <v>7010</v>
      </c>
      <c r="I918" t="s">
        <v>137</v>
      </c>
      <c r="K918" t="s">
        <v>138</v>
      </c>
      <c r="M918">
        <v>14120922002</v>
      </c>
      <c r="N918" t="s">
        <v>160</v>
      </c>
      <c r="O918">
        <v>14120922002</v>
      </c>
      <c r="P918" t="s">
        <v>147</v>
      </c>
      <c r="Q918" t="s">
        <v>262</v>
      </c>
      <c r="R918">
        <v>2</v>
      </c>
      <c r="S918">
        <v>36</v>
      </c>
      <c r="T918" t="s">
        <v>222</v>
      </c>
      <c r="U918" t="s">
        <v>318</v>
      </c>
      <c r="V918" t="s">
        <v>318</v>
      </c>
      <c r="W918" t="s">
        <v>318</v>
      </c>
      <c r="AA918" t="s">
        <v>265</v>
      </c>
      <c r="AC918">
        <v>0</v>
      </c>
      <c r="AD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A918">
        <v>724656</v>
      </c>
      <c r="BB918">
        <v>3763496</v>
      </c>
    </row>
    <row r="919" spans="1:54" x14ac:dyDescent="0.35">
      <c r="A919">
        <v>109633</v>
      </c>
      <c r="B919">
        <v>0</v>
      </c>
      <c r="C919" t="s">
        <v>135</v>
      </c>
      <c r="D919" s="15">
        <v>701014120922002</v>
      </c>
      <c r="F919">
        <v>70</v>
      </c>
      <c r="G919" t="s">
        <v>136</v>
      </c>
      <c r="H919">
        <v>7010</v>
      </c>
      <c r="I919" t="s">
        <v>137</v>
      </c>
      <c r="K919" t="s">
        <v>79</v>
      </c>
      <c r="M919">
        <v>14120922001</v>
      </c>
      <c r="N919" t="s">
        <v>160</v>
      </c>
      <c r="O919">
        <v>14120922001</v>
      </c>
      <c r="Q919" t="s">
        <v>262</v>
      </c>
      <c r="R919">
        <v>0</v>
      </c>
      <c r="T919" t="s">
        <v>347</v>
      </c>
      <c r="Y919" t="s">
        <v>68</v>
      </c>
      <c r="AA919" t="s">
        <v>68</v>
      </c>
      <c r="AC919">
        <v>0</v>
      </c>
      <c r="AD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A919">
        <v>724645.00000000105</v>
      </c>
      <c r="BB919">
        <v>3763465</v>
      </c>
    </row>
    <row r="923" spans="1:54" x14ac:dyDescent="0.35">
      <c r="M923" s="5"/>
    </row>
    <row r="924" spans="1:54" x14ac:dyDescent="0.35">
      <c r="M924" s="5"/>
    </row>
    <row r="925" spans="1:54" x14ac:dyDescent="0.35">
      <c r="M925" s="5"/>
    </row>
    <row r="926" spans="1:54" x14ac:dyDescent="0.35">
      <c r="M926" s="5"/>
    </row>
    <row r="927" spans="1:54" x14ac:dyDescent="0.35">
      <c r="M927" s="5"/>
    </row>
    <row r="928" spans="1:54" x14ac:dyDescent="0.35">
      <c r="M928" s="5"/>
    </row>
    <row r="929" spans="13:13" x14ac:dyDescent="0.35">
      <c r="M929" s="5"/>
    </row>
    <row r="930" spans="13:13" x14ac:dyDescent="0.35">
      <c r="M930" s="5"/>
    </row>
    <row r="931" spans="13:13" x14ac:dyDescent="0.35">
      <c r="M931" s="5"/>
    </row>
    <row r="932" spans="13:13" x14ac:dyDescent="0.35">
      <c r="M932" s="5"/>
    </row>
    <row r="933" spans="13:13" x14ac:dyDescent="0.35">
      <c r="M933" s="5"/>
    </row>
    <row r="934" spans="13:13" x14ac:dyDescent="0.35">
      <c r="M934" s="5"/>
    </row>
    <row r="935" spans="13:13" x14ac:dyDescent="0.35">
      <c r="M935" s="5"/>
    </row>
    <row r="936" spans="13:13" x14ac:dyDescent="0.35">
      <c r="M936" s="5"/>
    </row>
    <row r="937" spans="13:13" x14ac:dyDescent="0.35">
      <c r="M937" s="5"/>
    </row>
    <row r="938" spans="13:13" x14ac:dyDescent="0.35">
      <c r="M938" s="5"/>
    </row>
    <row r="939" spans="13:13" x14ac:dyDescent="0.35">
      <c r="M939" s="5"/>
    </row>
    <row r="940" spans="13:13" x14ac:dyDescent="0.35">
      <c r="M940" s="5"/>
    </row>
    <row r="941" spans="13:13" x14ac:dyDescent="0.35">
      <c r="M941" s="5"/>
    </row>
    <row r="942" spans="13:13" x14ac:dyDescent="0.35">
      <c r="M942" s="5"/>
    </row>
    <row r="943" spans="13:13" x14ac:dyDescent="0.35">
      <c r="M943" s="5"/>
    </row>
    <row r="944" spans="13:13" x14ac:dyDescent="0.35">
      <c r="M944" s="5"/>
    </row>
    <row r="945" spans="13:13" x14ac:dyDescent="0.35">
      <c r="M945" s="5"/>
    </row>
    <row r="946" spans="13:13" x14ac:dyDescent="0.35">
      <c r="M946" s="5"/>
    </row>
    <row r="947" spans="13:13" x14ac:dyDescent="0.35">
      <c r="M947" s="5"/>
    </row>
    <row r="948" spans="13:13" x14ac:dyDescent="0.35">
      <c r="M948" s="5"/>
    </row>
    <row r="949" spans="13:13" x14ac:dyDescent="0.35">
      <c r="M949" s="5"/>
    </row>
    <row r="950" spans="13:13" x14ac:dyDescent="0.35">
      <c r="M950" s="5"/>
    </row>
    <row r="951" spans="13:13" x14ac:dyDescent="0.35">
      <c r="M951" s="5"/>
    </row>
    <row r="952" spans="13:13" x14ac:dyDescent="0.35">
      <c r="M952" s="5"/>
    </row>
    <row r="953" spans="13:13" x14ac:dyDescent="0.35">
      <c r="M953" s="5"/>
    </row>
    <row r="954" spans="13:13" x14ac:dyDescent="0.35">
      <c r="M954" s="5"/>
    </row>
    <row r="955" spans="13:13" x14ac:dyDescent="0.35">
      <c r="M955" s="5"/>
    </row>
    <row r="956" spans="13:13" x14ac:dyDescent="0.35">
      <c r="M956" s="5"/>
    </row>
    <row r="957" spans="13:13" x14ac:dyDescent="0.35">
      <c r="M957" s="5"/>
    </row>
    <row r="958" spans="13:13" x14ac:dyDescent="0.35">
      <c r="M958" s="5"/>
    </row>
    <row r="959" spans="13:13" x14ac:dyDescent="0.35">
      <c r="M959" s="5"/>
    </row>
    <row r="960" spans="13:13" x14ac:dyDescent="0.35">
      <c r="M960" s="5"/>
    </row>
    <row r="961" spans="13:13" x14ac:dyDescent="0.35">
      <c r="M961" s="5"/>
    </row>
    <row r="962" spans="13:13" x14ac:dyDescent="0.35">
      <c r="M962" s="5"/>
    </row>
    <row r="963" spans="13:13" x14ac:dyDescent="0.35">
      <c r="M963" s="5"/>
    </row>
    <row r="964" spans="13:13" x14ac:dyDescent="0.35">
      <c r="M964" s="5"/>
    </row>
    <row r="965" spans="13:13" x14ac:dyDescent="0.35">
      <c r="M965" s="5"/>
    </row>
    <row r="966" spans="13:13" x14ac:dyDescent="0.35">
      <c r="M966" s="5"/>
    </row>
    <row r="967" spans="13:13" x14ac:dyDescent="0.35">
      <c r="M967" s="5"/>
    </row>
    <row r="968" spans="13:13" x14ac:dyDescent="0.35">
      <c r="M968" s="5"/>
    </row>
    <row r="969" spans="13:13" x14ac:dyDescent="0.35">
      <c r="M969" s="8"/>
    </row>
    <row r="970" spans="13:13" x14ac:dyDescent="0.35">
      <c r="M970" s="5"/>
    </row>
    <row r="971" spans="13:13" x14ac:dyDescent="0.35">
      <c r="M971" s="5"/>
    </row>
    <row r="972" spans="13:13" x14ac:dyDescent="0.35">
      <c r="M972" s="5"/>
    </row>
    <row r="973" spans="13:13" x14ac:dyDescent="0.35">
      <c r="M973" s="5"/>
    </row>
    <row r="974" spans="13:13" x14ac:dyDescent="0.35">
      <c r="M974" s="5"/>
    </row>
    <row r="975" spans="13:13" x14ac:dyDescent="0.35">
      <c r="M975" s="5"/>
    </row>
    <row r="976" spans="13:13" x14ac:dyDescent="0.35">
      <c r="M976" s="5"/>
    </row>
    <row r="977" spans="13:13" x14ac:dyDescent="0.35">
      <c r="M977" s="5"/>
    </row>
    <row r="978" spans="13:13" x14ac:dyDescent="0.35">
      <c r="M978" s="5"/>
    </row>
    <row r="979" spans="13:13" x14ac:dyDescent="0.35">
      <c r="M979" s="5"/>
    </row>
    <row r="980" spans="13:13" x14ac:dyDescent="0.35">
      <c r="M980" s="5"/>
    </row>
    <row r="981" spans="13:13" x14ac:dyDescent="0.35">
      <c r="M981" s="5"/>
    </row>
    <row r="982" spans="13:13" x14ac:dyDescent="0.35">
      <c r="M982" s="5"/>
    </row>
    <row r="983" spans="13:13" x14ac:dyDescent="0.35">
      <c r="M983" s="5"/>
    </row>
    <row r="984" spans="13:13" x14ac:dyDescent="0.35">
      <c r="M984" s="5"/>
    </row>
    <row r="985" spans="13:13" x14ac:dyDescent="0.35">
      <c r="M985" s="5"/>
    </row>
    <row r="986" spans="13:13" x14ac:dyDescent="0.35">
      <c r="M986" s="5"/>
    </row>
    <row r="987" spans="13:13" x14ac:dyDescent="0.35">
      <c r="M987" s="5"/>
    </row>
    <row r="988" spans="13:13" x14ac:dyDescent="0.35">
      <c r="M988" s="5"/>
    </row>
    <row r="989" spans="13:13" x14ac:dyDescent="0.35">
      <c r="M989" s="5"/>
    </row>
    <row r="990" spans="13:13" x14ac:dyDescent="0.35">
      <c r="M990" s="5"/>
    </row>
    <row r="991" spans="13:13" x14ac:dyDescent="0.35">
      <c r="M991" s="5"/>
    </row>
    <row r="992" spans="13:13" x14ac:dyDescent="0.35">
      <c r="M992" s="5"/>
    </row>
    <row r="993" spans="13:13" x14ac:dyDescent="0.35">
      <c r="M993" s="5"/>
    </row>
    <row r="994" spans="13:13" x14ac:dyDescent="0.35">
      <c r="M994" s="5"/>
    </row>
    <row r="995" spans="13:13" x14ac:dyDescent="0.35">
      <c r="M995" s="5"/>
    </row>
    <row r="996" spans="13:13" x14ac:dyDescent="0.35">
      <c r="M996" s="5"/>
    </row>
    <row r="997" spans="13:13" x14ac:dyDescent="0.35">
      <c r="M997" s="5"/>
    </row>
    <row r="998" spans="13:13" x14ac:dyDescent="0.35">
      <c r="M998" s="5"/>
    </row>
    <row r="999" spans="13:13" x14ac:dyDescent="0.35">
      <c r="M999" s="5"/>
    </row>
    <row r="1000" spans="13:13" x14ac:dyDescent="0.35">
      <c r="M1000" s="5"/>
    </row>
    <row r="1001" spans="13:13" x14ac:dyDescent="0.35">
      <c r="M1001" s="5"/>
    </row>
    <row r="1002" spans="13:13" x14ac:dyDescent="0.35">
      <c r="M1002" s="5"/>
    </row>
    <row r="1003" spans="13:13" x14ac:dyDescent="0.35">
      <c r="M1003" s="5"/>
    </row>
    <row r="1004" spans="13:13" x14ac:dyDescent="0.35">
      <c r="M1004" s="5"/>
    </row>
    <row r="1005" spans="13:13" x14ac:dyDescent="0.35">
      <c r="M1005" s="5"/>
    </row>
    <row r="1006" spans="13:13" x14ac:dyDescent="0.35">
      <c r="M1006" s="5"/>
    </row>
    <row r="1007" spans="13:13" x14ac:dyDescent="0.35">
      <c r="M1007" s="5"/>
    </row>
    <row r="1008" spans="13:13" x14ac:dyDescent="0.35">
      <c r="M1008" s="5"/>
    </row>
    <row r="1009" spans="13:13" x14ac:dyDescent="0.35">
      <c r="M1009" s="5"/>
    </row>
    <row r="1010" spans="13:13" x14ac:dyDescent="0.35">
      <c r="M1010" s="5"/>
    </row>
    <row r="1011" spans="13:13" x14ac:dyDescent="0.35">
      <c r="M1011" s="5"/>
    </row>
    <row r="1012" spans="13:13" x14ac:dyDescent="0.35">
      <c r="M1012" s="5"/>
    </row>
    <row r="1013" spans="13:13" x14ac:dyDescent="0.35">
      <c r="M1013" s="5"/>
    </row>
    <row r="1014" spans="13:13" x14ac:dyDescent="0.35">
      <c r="M1014" s="5"/>
    </row>
    <row r="1015" spans="13:13" x14ac:dyDescent="0.35">
      <c r="M1015" s="5"/>
    </row>
    <row r="1016" spans="13:13" x14ac:dyDescent="0.35">
      <c r="M1016" s="5"/>
    </row>
    <row r="1017" spans="13:13" x14ac:dyDescent="0.35">
      <c r="M1017" s="5"/>
    </row>
    <row r="1018" spans="13:13" x14ac:dyDescent="0.35">
      <c r="M1018" s="5"/>
    </row>
    <row r="1019" spans="13:13" x14ac:dyDescent="0.35">
      <c r="M1019" s="5"/>
    </row>
    <row r="1020" spans="13:13" x14ac:dyDescent="0.35">
      <c r="M1020" s="5"/>
    </row>
    <row r="1021" spans="13:13" x14ac:dyDescent="0.35">
      <c r="M1021" s="5"/>
    </row>
    <row r="1022" spans="13:13" x14ac:dyDescent="0.35">
      <c r="M1022" s="5"/>
    </row>
    <row r="1023" spans="13:13" x14ac:dyDescent="0.35">
      <c r="M1023" s="5"/>
    </row>
    <row r="1024" spans="13:13" x14ac:dyDescent="0.35">
      <c r="M1024" s="5"/>
    </row>
    <row r="1025" spans="13:13" x14ac:dyDescent="0.35">
      <c r="M1025" s="5"/>
    </row>
    <row r="1026" spans="13:13" x14ac:dyDescent="0.35">
      <c r="M1026" s="5"/>
    </row>
    <row r="1027" spans="13:13" x14ac:dyDescent="0.35">
      <c r="M1027" s="5"/>
    </row>
    <row r="1028" spans="13:13" x14ac:dyDescent="0.35">
      <c r="M1028" s="5"/>
    </row>
    <row r="1029" spans="13:13" x14ac:dyDescent="0.35">
      <c r="M1029" s="5"/>
    </row>
    <row r="1030" spans="13:13" x14ac:dyDescent="0.35">
      <c r="M1030" s="5"/>
    </row>
    <row r="1031" spans="13:13" x14ac:dyDescent="0.35">
      <c r="M1031" s="5"/>
    </row>
    <row r="1032" spans="13:13" x14ac:dyDescent="0.35">
      <c r="M1032" s="5"/>
    </row>
    <row r="1033" spans="13:13" x14ac:dyDescent="0.35">
      <c r="M1033" s="5"/>
    </row>
    <row r="1034" spans="13:13" x14ac:dyDescent="0.35">
      <c r="M1034" s="5"/>
    </row>
    <row r="1035" spans="13:13" x14ac:dyDescent="0.35">
      <c r="M1035" s="5"/>
    </row>
    <row r="1036" spans="13:13" x14ac:dyDescent="0.35">
      <c r="M1036" s="5"/>
    </row>
    <row r="1037" spans="13:13" x14ac:dyDescent="0.35">
      <c r="M1037" s="5"/>
    </row>
    <row r="1038" spans="13:13" x14ac:dyDescent="0.35">
      <c r="M1038" s="5"/>
    </row>
    <row r="1039" spans="13:13" x14ac:dyDescent="0.35">
      <c r="M1039" s="5"/>
    </row>
    <row r="1040" spans="13:13" x14ac:dyDescent="0.35">
      <c r="M1040" s="5"/>
    </row>
    <row r="1041" spans="13:13" x14ac:dyDescent="0.35">
      <c r="M1041" s="5"/>
    </row>
    <row r="1042" spans="13:13" x14ac:dyDescent="0.35">
      <c r="M1042" s="5"/>
    </row>
    <row r="1043" spans="13:13" x14ac:dyDescent="0.35">
      <c r="M1043" s="5"/>
    </row>
    <row r="1044" spans="13:13" x14ac:dyDescent="0.35">
      <c r="M1044" s="5"/>
    </row>
    <row r="1045" spans="13:13" x14ac:dyDescent="0.35">
      <c r="M1045" s="5"/>
    </row>
    <row r="1046" spans="13:13" x14ac:dyDescent="0.35">
      <c r="M1046" s="5"/>
    </row>
    <row r="1047" spans="13:13" x14ac:dyDescent="0.35">
      <c r="M1047" s="5"/>
    </row>
    <row r="1048" spans="13:13" x14ac:dyDescent="0.35">
      <c r="M1048" s="5"/>
    </row>
    <row r="1049" spans="13:13" x14ac:dyDescent="0.35">
      <c r="M1049" s="5"/>
    </row>
    <row r="1050" spans="13:13" x14ac:dyDescent="0.35">
      <c r="M1050" s="5"/>
    </row>
    <row r="1051" spans="13:13" x14ac:dyDescent="0.35">
      <c r="M1051" s="5"/>
    </row>
    <row r="1052" spans="13:13" x14ac:dyDescent="0.35">
      <c r="M1052" s="5"/>
    </row>
    <row r="1053" spans="13:13" x14ac:dyDescent="0.35">
      <c r="M1053" s="5"/>
    </row>
    <row r="1054" spans="13:13" x14ac:dyDescent="0.35">
      <c r="M1054" s="5"/>
    </row>
    <row r="1055" spans="13:13" x14ac:dyDescent="0.35">
      <c r="M1055" s="5"/>
    </row>
    <row r="1056" spans="13:13" x14ac:dyDescent="0.35">
      <c r="M1056" s="5"/>
    </row>
    <row r="1057" spans="13:13" x14ac:dyDescent="0.35">
      <c r="M1057" s="5"/>
    </row>
    <row r="1058" spans="13:13" x14ac:dyDescent="0.35">
      <c r="M1058" s="5"/>
    </row>
    <row r="1059" spans="13:13" x14ac:dyDescent="0.35">
      <c r="M1059" s="5"/>
    </row>
    <row r="1060" spans="13:13" x14ac:dyDescent="0.35">
      <c r="M1060" s="5"/>
    </row>
    <row r="1061" spans="13:13" x14ac:dyDescent="0.35">
      <c r="M1061" s="5"/>
    </row>
    <row r="1062" spans="13:13" x14ac:dyDescent="0.35">
      <c r="M1062" s="5"/>
    </row>
    <row r="1063" spans="13:13" x14ac:dyDescent="0.35">
      <c r="M1063" s="5"/>
    </row>
    <row r="1064" spans="13:13" x14ac:dyDescent="0.35">
      <c r="M1064" s="5"/>
    </row>
    <row r="1065" spans="13:13" x14ac:dyDescent="0.35">
      <c r="M1065" s="5"/>
    </row>
    <row r="1066" spans="13:13" x14ac:dyDescent="0.35">
      <c r="M1066" s="5"/>
    </row>
    <row r="1067" spans="13:13" x14ac:dyDescent="0.35">
      <c r="M1067" s="5"/>
    </row>
    <row r="1068" spans="13:13" x14ac:dyDescent="0.35">
      <c r="M1068" s="5"/>
    </row>
    <row r="1069" spans="13:13" x14ac:dyDescent="0.35">
      <c r="M1069" s="5"/>
    </row>
    <row r="1070" spans="13:13" x14ac:dyDescent="0.35">
      <c r="M1070" s="5"/>
    </row>
    <row r="1071" spans="13:13" x14ac:dyDescent="0.35">
      <c r="M1071" s="5"/>
    </row>
    <row r="1072" spans="13:13" x14ac:dyDescent="0.35">
      <c r="M1072" s="5"/>
    </row>
    <row r="1073" spans="13:13" x14ac:dyDescent="0.35">
      <c r="M1073" s="5"/>
    </row>
    <row r="1074" spans="13:13" x14ac:dyDescent="0.35">
      <c r="M1074" s="5"/>
    </row>
    <row r="1075" spans="13:13" x14ac:dyDescent="0.35">
      <c r="M1075" s="5"/>
    </row>
    <row r="1076" spans="13:13" x14ac:dyDescent="0.35">
      <c r="M1076" s="5"/>
    </row>
    <row r="1077" spans="13:13" x14ac:dyDescent="0.35">
      <c r="M1077" s="5"/>
    </row>
    <row r="1078" spans="13:13" x14ac:dyDescent="0.35">
      <c r="M1078" s="5"/>
    </row>
    <row r="1079" spans="13:13" x14ac:dyDescent="0.35">
      <c r="M1079" s="5"/>
    </row>
    <row r="1080" spans="13:13" x14ac:dyDescent="0.35">
      <c r="M1080" s="5"/>
    </row>
    <row r="1081" spans="13:13" x14ac:dyDescent="0.35">
      <c r="M1081" s="5"/>
    </row>
    <row r="1082" spans="13:13" x14ac:dyDescent="0.35">
      <c r="M1082" s="5"/>
    </row>
    <row r="1083" spans="13:13" x14ac:dyDescent="0.35">
      <c r="M1083" s="5"/>
    </row>
    <row r="1084" spans="13:13" x14ac:dyDescent="0.35">
      <c r="M1084" s="5"/>
    </row>
    <row r="1085" spans="13:13" x14ac:dyDescent="0.35">
      <c r="M1085" s="5"/>
    </row>
    <row r="1086" spans="13:13" x14ac:dyDescent="0.35">
      <c r="M1086" s="5"/>
    </row>
    <row r="1087" spans="13:13" x14ac:dyDescent="0.35">
      <c r="M1087" s="5"/>
    </row>
    <row r="1088" spans="13:13" x14ac:dyDescent="0.35">
      <c r="M1088" s="5"/>
    </row>
    <row r="1089" spans="13:13" x14ac:dyDescent="0.35">
      <c r="M1089" s="5"/>
    </row>
    <row r="1090" spans="13:13" x14ac:dyDescent="0.35">
      <c r="M1090" s="5"/>
    </row>
    <row r="1091" spans="13:13" x14ac:dyDescent="0.35">
      <c r="M1091" s="5"/>
    </row>
    <row r="1092" spans="13:13" x14ac:dyDescent="0.35">
      <c r="M1092" s="5"/>
    </row>
    <row r="1093" spans="13:13" x14ac:dyDescent="0.35">
      <c r="M1093" s="5"/>
    </row>
    <row r="1094" spans="13:13" x14ac:dyDescent="0.35">
      <c r="M1094" s="5"/>
    </row>
    <row r="1095" spans="13:13" x14ac:dyDescent="0.35">
      <c r="M1095" s="5"/>
    </row>
    <row r="1096" spans="13:13" x14ac:dyDescent="0.35">
      <c r="M1096" s="5"/>
    </row>
    <row r="1097" spans="13:13" x14ac:dyDescent="0.35">
      <c r="M1097" s="5"/>
    </row>
    <row r="1098" spans="13:13" x14ac:dyDescent="0.35">
      <c r="M1098" s="5"/>
    </row>
    <row r="1099" spans="13:13" x14ac:dyDescent="0.35">
      <c r="M1099" s="5"/>
    </row>
    <row r="1100" spans="13:13" x14ac:dyDescent="0.35">
      <c r="M1100" s="5"/>
    </row>
    <row r="1101" spans="13:13" x14ac:dyDescent="0.35">
      <c r="M1101" s="5"/>
    </row>
    <row r="1102" spans="13:13" x14ac:dyDescent="0.35">
      <c r="M1102" s="5"/>
    </row>
    <row r="1103" spans="13:13" x14ac:dyDescent="0.35">
      <c r="M1103" s="5"/>
    </row>
    <row r="1104" spans="13:13" x14ac:dyDescent="0.35">
      <c r="M1104" s="5"/>
    </row>
    <row r="1105" spans="13:13" x14ac:dyDescent="0.35">
      <c r="M1105" s="5"/>
    </row>
    <row r="1106" spans="13:13" x14ac:dyDescent="0.35">
      <c r="M1106" s="5"/>
    </row>
    <row r="1107" spans="13:13" x14ac:dyDescent="0.35">
      <c r="M1107" s="5"/>
    </row>
    <row r="1108" spans="13:13" x14ac:dyDescent="0.35">
      <c r="M1108" s="5"/>
    </row>
    <row r="1109" spans="13:13" x14ac:dyDescent="0.35">
      <c r="M1109" s="5"/>
    </row>
    <row r="1110" spans="13:13" x14ac:dyDescent="0.35">
      <c r="M1110" s="5"/>
    </row>
    <row r="1111" spans="13:13" x14ac:dyDescent="0.35">
      <c r="M1111" s="5"/>
    </row>
    <row r="1112" spans="13:13" x14ac:dyDescent="0.35">
      <c r="M1112" s="5"/>
    </row>
    <row r="1113" spans="13:13" x14ac:dyDescent="0.35">
      <c r="M1113" s="5"/>
    </row>
    <row r="1114" spans="13:13" x14ac:dyDescent="0.35">
      <c r="M1114" s="5"/>
    </row>
    <row r="1115" spans="13:13" x14ac:dyDescent="0.35">
      <c r="M1115" s="5"/>
    </row>
    <row r="1116" spans="13:13" x14ac:dyDescent="0.35">
      <c r="M1116" s="5"/>
    </row>
    <row r="1117" spans="13:13" x14ac:dyDescent="0.35">
      <c r="M1117" s="5"/>
    </row>
    <row r="1118" spans="13:13" x14ac:dyDescent="0.35">
      <c r="M1118" s="5"/>
    </row>
    <row r="1119" spans="13:13" x14ac:dyDescent="0.35">
      <c r="M1119" s="5"/>
    </row>
    <row r="1120" spans="13:13" x14ac:dyDescent="0.35">
      <c r="M1120" s="5"/>
    </row>
    <row r="1121" spans="13:13" x14ac:dyDescent="0.35">
      <c r="M1121" s="5"/>
    </row>
    <row r="1122" spans="13:13" x14ac:dyDescent="0.35">
      <c r="M1122" s="5"/>
    </row>
    <row r="1123" spans="13:13" x14ac:dyDescent="0.35">
      <c r="M1123" s="5"/>
    </row>
    <row r="1124" spans="13:13" x14ac:dyDescent="0.35">
      <c r="M1124" s="5"/>
    </row>
    <row r="1125" spans="13:13" x14ac:dyDescent="0.35">
      <c r="M1125" s="5"/>
    </row>
    <row r="1126" spans="13:13" x14ac:dyDescent="0.35">
      <c r="M1126" s="5"/>
    </row>
    <row r="1127" spans="13:13" x14ac:dyDescent="0.35">
      <c r="M1127" s="5"/>
    </row>
    <row r="1128" spans="13:13" x14ac:dyDescent="0.35">
      <c r="M1128" s="5"/>
    </row>
    <row r="1129" spans="13:13" x14ac:dyDescent="0.35">
      <c r="M1129" s="5"/>
    </row>
    <row r="1130" spans="13:13" x14ac:dyDescent="0.35">
      <c r="M1130" s="5"/>
    </row>
    <row r="1131" spans="13:13" x14ac:dyDescent="0.35">
      <c r="M1131" s="5"/>
    </row>
    <row r="1132" spans="13:13" x14ac:dyDescent="0.35">
      <c r="M1132" s="5"/>
    </row>
    <row r="1133" spans="13:13" x14ac:dyDescent="0.35">
      <c r="M1133" s="5"/>
    </row>
    <row r="1134" spans="13:13" x14ac:dyDescent="0.35">
      <c r="M1134" s="5"/>
    </row>
    <row r="1135" spans="13:13" x14ac:dyDescent="0.35">
      <c r="M1135" s="5"/>
    </row>
    <row r="1136" spans="13:13" x14ac:dyDescent="0.35">
      <c r="M1136" s="5"/>
    </row>
    <row r="1137" spans="13:13" x14ac:dyDescent="0.35">
      <c r="M1137" s="5"/>
    </row>
    <row r="1138" spans="13:13" x14ac:dyDescent="0.35">
      <c r="M1138" s="5"/>
    </row>
    <row r="1139" spans="13:13" x14ac:dyDescent="0.35">
      <c r="M1139" s="5"/>
    </row>
    <row r="1140" spans="13:13" x14ac:dyDescent="0.35">
      <c r="M1140" s="5"/>
    </row>
    <row r="1141" spans="13:13" x14ac:dyDescent="0.35">
      <c r="M1141" s="5"/>
    </row>
    <row r="1142" spans="13:13" x14ac:dyDescent="0.35">
      <c r="M1142" s="5"/>
    </row>
    <row r="1143" spans="13:13" x14ac:dyDescent="0.35">
      <c r="M1143" s="5"/>
    </row>
    <row r="1144" spans="13:13" x14ac:dyDescent="0.35">
      <c r="M1144" s="5"/>
    </row>
    <row r="1145" spans="13:13" x14ac:dyDescent="0.35">
      <c r="M1145" s="5"/>
    </row>
    <row r="1146" spans="13:13" x14ac:dyDescent="0.35">
      <c r="M1146" s="5"/>
    </row>
    <row r="1147" spans="13:13" x14ac:dyDescent="0.35">
      <c r="M1147" s="5"/>
    </row>
    <row r="1148" spans="13:13" x14ac:dyDescent="0.35">
      <c r="M1148" s="5"/>
    </row>
    <row r="1149" spans="13:13" x14ac:dyDescent="0.35">
      <c r="M1149" s="5"/>
    </row>
    <row r="1150" spans="13:13" x14ac:dyDescent="0.35">
      <c r="M1150" s="5"/>
    </row>
    <row r="1151" spans="13:13" x14ac:dyDescent="0.35">
      <c r="M1151" s="5"/>
    </row>
    <row r="1152" spans="13:13" x14ac:dyDescent="0.35">
      <c r="M1152" s="5"/>
    </row>
    <row r="1153" spans="13:13" x14ac:dyDescent="0.35">
      <c r="M1153" s="5"/>
    </row>
    <row r="1154" spans="13:13" x14ac:dyDescent="0.35">
      <c r="M1154" s="5"/>
    </row>
    <row r="1155" spans="13:13" x14ac:dyDescent="0.35">
      <c r="M1155" s="5"/>
    </row>
    <row r="1156" spans="13:13" x14ac:dyDescent="0.35">
      <c r="M1156" s="5"/>
    </row>
    <row r="1157" spans="13:13" x14ac:dyDescent="0.35">
      <c r="M1157" s="5"/>
    </row>
    <row r="1158" spans="13:13" x14ac:dyDescent="0.35">
      <c r="M1158" s="5"/>
    </row>
    <row r="1159" spans="13:13" x14ac:dyDescent="0.35">
      <c r="M1159" s="5"/>
    </row>
    <row r="1160" spans="13:13" x14ac:dyDescent="0.35">
      <c r="M1160" s="5"/>
    </row>
    <row r="1161" spans="13:13" x14ac:dyDescent="0.35">
      <c r="M1161" s="5"/>
    </row>
    <row r="1162" spans="13:13" x14ac:dyDescent="0.35">
      <c r="M1162" s="5"/>
    </row>
    <row r="1163" spans="13:13" x14ac:dyDescent="0.35">
      <c r="M1163" s="5"/>
    </row>
    <row r="1164" spans="13:13" x14ac:dyDescent="0.35">
      <c r="M1164" s="5"/>
    </row>
    <row r="1165" spans="13:13" x14ac:dyDescent="0.35">
      <c r="M1165" s="5"/>
    </row>
    <row r="1166" spans="13:13" x14ac:dyDescent="0.35">
      <c r="M1166" s="5"/>
    </row>
    <row r="1167" spans="13:13" x14ac:dyDescent="0.35">
      <c r="M1167" s="5"/>
    </row>
    <row r="1168" spans="13:13" x14ac:dyDescent="0.35">
      <c r="M1168" s="5"/>
    </row>
    <row r="1169" spans="13:13" x14ac:dyDescent="0.35">
      <c r="M1169" s="5"/>
    </row>
    <row r="1170" spans="13:13" x14ac:dyDescent="0.35">
      <c r="M1170" s="5"/>
    </row>
    <row r="1171" spans="13:13" x14ac:dyDescent="0.35">
      <c r="M1171" s="5"/>
    </row>
    <row r="1172" spans="13:13" x14ac:dyDescent="0.35">
      <c r="M1172" s="5"/>
    </row>
    <row r="1173" spans="13:13" x14ac:dyDescent="0.35">
      <c r="M1173" s="5"/>
    </row>
    <row r="1174" spans="13:13" x14ac:dyDescent="0.35">
      <c r="M1174" s="5"/>
    </row>
    <row r="1175" spans="13:13" x14ac:dyDescent="0.35">
      <c r="M1175" s="5"/>
    </row>
    <row r="1176" spans="13:13" x14ac:dyDescent="0.35">
      <c r="M1176" s="5"/>
    </row>
    <row r="1177" spans="13:13" x14ac:dyDescent="0.35">
      <c r="M1177" s="5"/>
    </row>
    <row r="1178" spans="13:13" x14ac:dyDescent="0.35">
      <c r="M1178" s="5"/>
    </row>
    <row r="1179" spans="13:13" x14ac:dyDescent="0.35">
      <c r="M1179" s="5"/>
    </row>
    <row r="1180" spans="13:13" x14ac:dyDescent="0.35">
      <c r="M1180" s="5"/>
    </row>
    <row r="1181" spans="13:13" x14ac:dyDescent="0.35">
      <c r="M1181" s="5"/>
    </row>
    <row r="1182" spans="13:13" x14ac:dyDescent="0.35">
      <c r="M1182" s="5"/>
    </row>
    <row r="1183" spans="13:13" x14ac:dyDescent="0.35">
      <c r="M1183" s="5"/>
    </row>
    <row r="1184" spans="13:13" x14ac:dyDescent="0.35">
      <c r="M1184" s="5"/>
    </row>
    <row r="1185" spans="13:13" x14ac:dyDescent="0.35">
      <c r="M1185" s="5"/>
    </row>
    <row r="1186" spans="13:13" x14ac:dyDescent="0.35">
      <c r="M1186" s="5"/>
    </row>
    <row r="1187" spans="13:13" x14ac:dyDescent="0.35">
      <c r="M1187" s="5"/>
    </row>
    <row r="1188" spans="13:13" x14ac:dyDescent="0.35">
      <c r="M1188" s="5"/>
    </row>
    <row r="1189" spans="13:13" x14ac:dyDescent="0.35">
      <c r="M1189" s="5"/>
    </row>
    <row r="1190" spans="13:13" x14ac:dyDescent="0.35">
      <c r="M1190" s="5"/>
    </row>
    <row r="1191" spans="13:13" x14ac:dyDescent="0.35">
      <c r="M1191" s="5"/>
    </row>
    <row r="1192" spans="13:13" x14ac:dyDescent="0.35">
      <c r="M1192" s="5"/>
    </row>
    <row r="1193" spans="13:13" x14ac:dyDescent="0.35">
      <c r="M1193" s="5"/>
    </row>
    <row r="1194" spans="13:13" x14ac:dyDescent="0.35">
      <c r="M1194" s="5"/>
    </row>
    <row r="1195" spans="13:13" x14ac:dyDescent="0.35">
      <c r="M1195" s="5"/>
    </row>
    <row r="1196" spans="13:13" x14ac:dyDescent="0.35">
      <c r="M1196" s="5"/>
    </row>
    <row r="1197" spans="13:13" x14ac:dyDescent="0.35">
      <c r="M1197" s="5"/>
    </row>
    <row r="1198" spans="13:13" x14ac:dyDescent="0.35">
      <c r="M1198" s="5"/>
    </row>
    <row r="1199" spans="13:13" x14ac:dyDescent="0.35">
      <c r="M1199" s="5"/>
    </row>
    <row r="1200" spans="13:13" x14ac:dyDescent="0.35">
      <c r="M1200" s="5"/>
    </row>
    <row r="1201" spans="13:13" x14ac:dyDescent="0.35">
      <c r="M1201" s="5"/>
    </row>
    <row r="1202" spans="13:13" x14ac:dyDescent="0.35">
      <c r="M1202" s="5"/>
    </row>
    <row r="1203" spans="13:13" x14ac:dyDescent="0.35">
      <c r="M1203" s="5"/>
    </row>
    <row r="1204" spans="13:13" x14ac:dyDescent="0.35">
      <c r="M1204" s="5"/>
    </row>
    <row r="1205" spans="13:13" x14ac:dyDescent="0.35">
      <c r="M1205" s="5"/>
    </row>
    <row r="1206" spans="13:13" x14ac:dyDescent="0.35">
      <c r="M1206" s="5"/>
    </row>
    <row r="1207" spans="13:13" x14ac:dyDescent="0.35">
      <c r="M1207" s="5"/>
    </row>
    <row r="1208" spans="13:13" x14ac:dyDescent="0.35">
      <c r="M1208" s="5"/>
    </row>
    <row r="1209" spans="13:13" x14ac:dyDescent="0.35">
      <c r="M1209" s="5"/>
    </row>
    <row r="1210" spans="13:13" x14ac:dyDescent="0.35">
      <c r="M1210" s="5"/>
    </row>
    <row r="1211" spans="13:13" x14ac:dyDescent="0.35">
      <c r="M1211" s="5"/>
    </row>
    <row r="1212" spans="13:13" x14ac:dyDescent="0.35">
      <c r="M1212" s="5"/>
    </row>
    <row r="1213" spans="13:13" x14ac:dyDescent="0.35">
      <c r="M1213" s="5"/>
    </row>
    <row r="1214" spans="13:13" x14ac:dyDescent="0.35">
      <c r="M1214" s="5"/>
    </row>
    <row r="1215" spans="13:13" x14ac:dyDescent="0.35">
      <c r="M1215" s="5"/>
    </row>
    <row r="1216" spans="13:13" x14ac:dyDescent="0.35">
      <c r="M1216" s="5"/>
    </row>
    <row r="1217" spans="13:13" x14ac:dyDescent="0.35">
      <c r="M1217" s="5"/>
    </row>
    <row r="1218" spans="13:13" x14ac:dyDescent="0.35">
      <c r="M1218" s="5"/>
    </row>
    <row r="1219" spans="13:13" x14ac:dyDescent="0.35">
      <c r="M1219" s="5"/>
    </row>
    <row r="1220" spans="13:13" x14ac:dyDescent="0.35">
      <c r="M1220" s="5"/>
    </row>
    <row r="1221" spans="13:13" x14ac:dyDescent="0.35">
      <c r="M1221" s="5"/>
    </row>
    <row r="1222" spans="13:13" x14ac:dyDescent="0.35">
      <c r="M1222" s="5"/>
    </row>
    <row r="1223" spans="13:13" x14ac:dyDescent="0.35">
      <c r="M1223" s="5"/>
    </row>
    <row r="1224" spans="13:13" x14ac:dyDescent="0.35">
      <c r="M1224" s="5"/>
    </row>
    <row r="1225" spans="13:13" x14ac:dyDescent="0.35">
      <c r="M1225" s="5"/>
    </row>
    <row r="1226" spans="13:13" x14ac:dyDescent="0.35">
      <c r="M1226" s="5"/>
    </row>
    <row r="1227" spans="13:13" x14ac:dyDescent="0.35">
      <c r="M1227" s="5"/>
    </row>
    <row r="1228" spans="13:13" x14ac:dyDescent="0.35">
      <c r="M1228" s="5"/>
    </row>
    <row r="1229" spans="13:13" x14ac:dyDescent="0.35">
      <c r="M1229" s="5"/>
    </row>
    <row r="1230" spans="13:13" x14ac:dyDescent="0.35">
      <c r="M1230" s="5"/>
    </row>
    <row r="1231" spans="13:13" x14ac:dyDescent="0.35">
      <c r="M1231" s="5"/>
    </row>
    <row r="1232" spans="13:13" x14ac:dyDescent="0.35">
      <c r="M1232" s="5"/>
    </row>
    <row r="1233" spans="13:13" x14ac:dyDescent="0.35">
      <c r="M1233" s="5"/>
    </row>
    <row r="1234" spans="13:13" x14ac:dyDescent="0.35">
      <c r="M1234" s="5"/>
    </row>
    <row r="1235" spans="13:13" x14ac:dyDescent="0.35">
      <c r="M1235" s="5"/>
    </row>
    <row r="1236" spans="13:13" x14ac:dyDescent="0.35">
      <c r="M1236" s="5"/>
    </row>
    <row r="1237" spans="13:13" x14ac:dyDescent="0.35">
      <c r="M1237" s="5"/>
    </row>
    <row r="1238" spans="13:13" x14ac:dyDescent="0.35">
      <c r="M1238" s="5"/>
    </row>
    <row r="1239" spans="13:13" x14ac:dyDescent="0.35">
      <c r="M1239" s="5"/>
    </row>
    <row r="1240" spans="13:13" x14ac:dyDescent="0.35">
      <c r="M1240" s="5"/>
    </row>
    <row r="1241" spans="13:13" x14ac:dyDescent="0.35">
      <c r="M1241" s="5"/>
    </row>
    <row r="1242" spans="13:13" x14ac:dyDescent="0.35">
      <c r="M1242" s="5"/>
    </row>
    <row r="1243" spans="13:13" x14ac:dyDescent="0.35">
      <c r="M1243" s="5"/>
    </row>
    <row r="1244" spans="13:13" x14ac:dyDescent="0.35">
      <c r="M1244" s="5"/>
    </row>
    <row r="1245" spans="13:13" x14ac:dyDescent="0.35">
      <c r="M1245" s="5"/>
    </row>
    <row r="1246" spans="13:13" x14ac:dyDescent="0.35">
      <c r="M1246" s="5"/>
    </row>
    <row r="1247" spans="13:13" x14ac:dyDescent="0.35">
      <c r="M1247" s="5"/>
    </row>
    <row r="1248" spans="13:13" x14ac:dyDescent="0.35">
      <c r="M1248" s="5"/>
    </row>
    <row r="1249" spans="13:13" x14ac:dyDescent="0.35">
      <c r="M1249" s="5"/>
    </row>
    <row r="1250" spans="13:13" x14ac:dyDescent="0.35">
      <c r="M1250" s="5"/>
    </row>
    <row r="1251" spans="13:13" x14ac:dyDescent="0.35">
      <c r="M1251" s="5"/>
    </row>
    <row r="1252" spans="13:13" x14ac:dyDescent="0.35">
      <c r="M1252" s="5"/>
    </row>
    <row r="1253" spans="13:13" x14ac:dyDescent="0.35">
      <c r="M1253" s="5"/>
    </row>
    <row r="1254" spans="13:13" x14ac:dyDescent="0.35">
      <c r="M1254" s="5"/>
    </row>
    <row r="1255" spans="13:13" x14ac:dyDescent="0.35">
      <c r="M1255" s="5"/>
    </row>
    <row r="1256" spans="13:13" x14ac:dyDescent="0.35">
      <c r="M1256" s="5"/>
    </row>
    <row r="1257" spans="13:13" x14ac:dyDescent="0.35">
      <c r="M1257" s="5"/>
    </row>
    <row r="1258" spans="13:13" x14ac:dyDescent="0.35">
      <c r="M1258" s="5"/>
    </row>
    <row r="1259" spans="13:13" x14ac:dyDescent="0.35">
      <c r="M1259" s="5"/>
    </row>
    <row r="1260" spans="13:13" x14ac:dyDescent="0.35">
      <c r="M1260" s="5"/>
    </row>
    <row r="1261" spans="13:13" x14ac:dyDescent="0.35">
      <c r="M1261" s="5"/>
    </row>
    <row r="1262" spans="13:13" x14ac:dyDescent="0.35">
      <c r="M1262" s="5"/>
    </row>
    <row r="1263" spans="13:13" x14ac:dyDescent="0.35">
      <c r="M1263" s="5"/>
    </row>
    <row r="1264" spans="13:13" x14ac:dyDescent="0.35">
      <c r="M1264" s="5"/>
    </row>
    <row r="1265" spans="13:13" x14ac:dyDescent="0.35">
      <c r="M1265" s="5"/>
    </row>
    <row r="1266" spans="13:13" x14ac:dyDescent="0.35">
      <c r="M1266" s="5"/>
    </row>
    <row r="1267" spans="13:13" x14ac:dyDescent="0.35">
      <c r="M1267" s="5"/>
    </row>
    <row r="1268" spans="13:13" x14ac:dyDescent="0.35">
      <c r="M1268" s="5"/>
    </row>
    <row r="1269" spans="13:13" x14ac:dyDescent="0.35">
      <c r="M1269" s="5"/>
    </row>
    <row r="1270" spans="13:13" x14ac:dyDescent="0.35">
      <c r="M1270" s="5"/>
    </row>
    <row r="1271" spans="13:13" x14ac:dyDescent="0.35">
      <c r="M1271" s="5"/>
    </row>
    <row r="1272" spans="13:13" x14ac:dyDescent="0.35">
      <c r="M1272" s="5"/>
    </row>
    <row r="1273" spans="13:13" x14ac:dyDescent="0.35">
      <c r="M1273" s="5"/>
    </row>
    <row r="1274" spans="13:13" x14ac:dyDescent="0.35">
      <c r="M1274" s="5"/>
    </row>
    <row r="1275" spans="13:13" x14ac:dyDescent="0.35">
      <c r="M1275" s="5"/>
    </row>
    <row r="1276" spans="13:13" x14ac:dyDescent="0.35">
      <c r="M1276" s="5"/>
    </row>
    <row r="1277" spans="13:13" x14ac:dyDescent="0.35">
      <c r="M1277" s="5"/>
    </row>
    <row r="1278" spans="13:13" x14ac:dyDescent="0.35">
      <c r="M1278" s="5"/>
    </row>
    <row r="1279" spans="13:13" x14ac:dyDescent="0.35">
      <c r="M1279" s="5"/>
    </row>
    <row r="1280" spans="13:13" x14ac:dyDescent="0.35">
      <c r="M1280" s="5"/>
    </row>
    <row r="1281" spans="13:13" x14ac:dyDescent="0.35">
      <c r="M1281" s="5"/>
    </row>
    <row r="1282" spans="13:13" x14ac:dyDescent="0.35">
      <c r="M1282" s="5"/>
    </row>
    <row r="1283" spans="13:13" x14ac:dyDescent="0.35">
      <c r="M1283" s="5"/>
    </row>
    <row r="1284" spans="13:13" x14ac:dyDescent="0.35">
      <c r="M1284" s="5"/>
    </row>
    <row r="1285" spans="13:13" x14ac:dyDescent="0.35">
      <c r="M1285" s="5"/>
    </row>
    <row r="1286" spans="13:13" x14ac:dyDescent="0.35">
      <c r="M1286" s="5"/>
    </row>
    <row r="1287" spans="13:13" x14ac:dyDescent="0.35">
      <c r="M1287" s="5"/>
    </row>
    <row r="1288" spans="13:13" x14ac:dyDescent="0.35">
      <c r="M1288" s="5"/>
    </row>
    <row r="1289" spans="13:13" x14ac:dyDescent="0.35">
      <c r="M1289" s="5"/>
    </row>
    <row r="1290" spans="13:13" x14ac:dyDescent="0.35">
      <c r="M1290" s="5"/>
    </row>
    <row r="1291" spans="13:13" x14ac:dyDescent="0.35">
      <c r="M1291" s="5"/>
    </row>
    <row r="1292" spans="13:13" x14ac:dyDescent="0.35">
      <c r="M1292" s="5"/>
    </row>
    <row r="1293" spans="13:13" x14ac:dyDescent="0.35">
      <c r="M1293" s="5"/>
    </row>
    <row r="1294" spans="13:13" x14ac:dyDescent="0.35">
      <c r="M1294" s="5"/>
    </row>
    <row r="1295" spans="13:13" x14ac:dyDescent="0.35">
      <c r="M1295" s="5"/>
    </row>
    <row r="1296" spans="13:13" x14ac:dyDescent="0.35">
      <c r="M1296" s="5"/>
    </row>
    <row r="1297" spans="13:13" x14ac:dyDescent="0.35">
      <c r="M1297" s="5"/>
    </row>
    <row r="1298" spans="13:13" x14ac:dyDescent="0.35">
      <c r="M1298" s="5"/>
    </row>
    <row r="1299" spans="13:13" x14ac:dyDescent="0.35">
      <c r="M1299" s="5"/>
    </row>
    <row r="1300" spans="13:13" x14ac:dyDescent="0.35">
      <c r="M1300" s="5"/>
    </row>
    <row r="1301" spans="13:13" x14ac:dyDescent="0.35">
      <c r="M1301" s="5"/>
    </row>
    <row r="1302" spans="13:13" x14ac:dyDescent="0.35">
      <c r="M1302" s="5"/>
    </row>
    <row r="1303" spans="13:13" x14ac:dyDescent="0.35">
      <c r="M1303" s="5"/>
    </row>
    <row r="1304" spans="13:13" x14ac:dyDescent="0.35">
      <c r="M1304" s="5"/>
    </row>
    <row r="1305" spans="13:13" x14ac:dyDescent="0.35">
      <c r="M1305" s="5"/>
    </row>
    <row r="1306" spans="13:13" x14ac:dyDescent="0.35">
      <c r="M1306" s="5"/>
    </row>
    <row r="1307" spans="13:13" x14ac:dyDescent="0.35">
      <c r="M1307" s="5"/>
    </row>
    <row r="1308" spans="13:13" x14ac:dyDescent="0.35">
      <c r="M1308" s="5"/>
    </row>
    <row r="1309" spans="13:13" x14ac:dyDescent="0.35">
      <c r="M1309" s="5"/>
    </row>
    <row r="1310" spans="13:13" x14ac:dyDescent="0.35">
      <c r="M1310" s="5"/>
    </row>
    <row r="1311" spans="13:13" x14ac:dyDescent="0.35">
      <c r="M1311" s="5"/>
    </row>
    <row r="1312" spans="13:13" x14ac:dyDescent="0.35">
      <c r="M1312" s="5"/>
    </row>
    <row r="1313" spans="13:13" x14ac:dyDescent="0.35">
      <c r="M1313" s="5"/>
    </row>
    <row r="1314" spans="13:13" x14ac:dyDescent="0.35">
      <c r="M1314" s="5"/>
    </row>
    <row r="1315" spans="13:13" x14ac:dyDescent="0.35">
      <c r="M1315" s="5"/>
    </row>
    <row r="1316" spans="13:13" x14ac:dyDescent="0.35">
      <c r="M1316" s="5"/>
    </row>
    <row r="1317" spans="13:13" x14ac:dyDescent="0.35">
      <c r="M1317" s="5"/>
    </row>
    <row r="1318" spans="13:13" x14ac:dyDescent="0.35">
      <c r="M1318" s="5"/>
    </row>
    <row r="1319" spans="13:13" x14ac:dyDescent="0.35">
      <c r="M1319" s="5"/>
    </row>
    <row r="1320" spans="13:13" x14ac:dyDescent="0.35">
      <c r="M1320" s="5"/>
    </row>
    <row r="1321" spans="13:13" x14ac:dyDescent="0.35">
      <c r="M1321" s="5"/>
    </row>
    <row r="1322" spans="13:13" x14ac:dyDescent="0.35">
      <c r="M1322" s="5"/>
    </row>
    <row r="1323" spans="13:13" x14ac:dyDescent="0.35">
      <c r="M1323" s="5"/>
    </row>
    <row r="1324" spans="13:13" x14ac:dyDescent="0.35">
      <c r="M1324" s="5"/>
    </row>
    <row r="1325" spans="13:13" x14ac:dyDescent="0.35">
      <c r="M1325" s="5"/>
    </row>
    <row r="1326" spans="13:13" x14ac:dyDescent="0.35">
      <c r="M1326" s="5"/>
    </row>
    <row r="1327" spans="13:13" x14ac:dyDescent="0.35">
      <c r="M1327" s="5"/>
    </row>
    <row r="1328" spans="13:13" x14ac:dyDescent="0.35">
      <c r="M1328" s="5"/>
    </row>
    <row r="1329" spans="13:13" x14ac:dyDescent="0.35">
      <c r="M1329" s="5"/>
    </row>
    <row r="1330" spans="13:13" x14ac:dyDescent="0.35">
      <c r="M1330" s="5"/>
    </row>
    <row r="1331" spans="13:13" x14ac:dyDescent="0.35">
      <c r="M1331" s="5"/>
    </row>
    <row r="1332" spans="13:13" x14ac:dyDescent="0.35">
      <c r="M1332" s="5"/>
    </row>
    <row r="1333" spans="13:13" x14ac:dyDescent="0.35">
      <c r="M1333" s="5"/>
    </row>
    <row r="1334" spans="13:13" x14ac:dyDescent="0.35">
      <c r="M1334" s="5"/>
    </row>
    <row r="1335" spans="13:13" x14ac:dyDescent="0.35">
      <c r="M1335" s="5"/>
    </row>
    <row r="1336" spans="13:13" x14ac:dyDescent="0.35">
      <c r="M1336" s="5"/>
    </row>
    <row r="1337" spans="13:13" x14ac:dyDescent="0.35">
      <c r="M1337" s="5"/>
    </row>
    <row r="1338" spans="13:13" x14ac:dyDescent="0.35">
      <c r="M1338" s="5"/>
    </row>
    <row r="1339" spans="13:13" x14ac:dyDescent="0.35">
      <c r="M1339" s="5"/>
    </row>
    <row r="1340" spans="13:13" x14ac:dyDescent="0.35">
      <c r="M1340" s="5"/>
    </row>
    <row r="1341" spans="13:13" x14ac:dyDescent="0.35">
      <c r="M1341" s="5"/>
    </row>
    <row r="1342" spans="13:13" x14ac:dyDescent="0.35">
      <c r="M1342" s="5"/>
    </row>
    <row r="1343" spans="13:13" x14ac:dyDescent="0.35">
      <c r="M1343" s="5"/>
    </row>
    <row r="1344" spans="13:13" x14ac:dyDescent="0.35">
      <c r="M1344" s="5"/>
    </row>
    <row r="1345" spans="13:13" x14ac:dyDescent="0.35">
      <c r="M1345" s="5"/>
    </row>
    <row r="1346" spans="13:13" x14ac:dyDescent="0.35">
      <c r="M1346" s="5"/>
    </row>
    <row r="1347" spans="13:13" x14ac:dyDescent="0.35">
      <c r="M1347" s="5"/>
    </row>
    <row r="1348" spans="13:13" x14ac:dyDescent="0.35">
      <c r="M1348" s="5"/>
    </row>
    <row r="1349" spans="13:13" x14ac:dyDescent="0.35">
      <c r="M1349" s="5"/>
    </row>
    <row r="1350" spans="13:13" x14ac:dyDescent="0.35">
      <c r="M1350" s="5"/>
    </row>
    <row r="1351" spans="13:13" x14ac:dyDescent="0.35">
      <c r="M1351" s="5"/>
    </row>
    <row r="1352" spans="13:13" x14ac:dyDescent="0.35">
      <c r="M1352" s="5"/>
    </row>
    <row r="1353" spans="13:13" x14ac:dyDescent="0.35">
      <c r="M1353" s="5"/>
    </row>
    <row r="1354" spans="13:13" x14ac:dyDescent="0.35">
      <c r="M1354" s="5"/>
    </row>
    <row r="1355" spans="13:13" x14ac:dyDescent="0.35">
      <c r="M1355" s="5"/>
    </row>
    <row r="1356" spans="13:13" x14ac:dyDescent="0.35">
      <c r="M1356" s="5"/>
    </row>
    <row r="1357" spans="13:13" x14ac:dyDescent="0.35">
      <c r="M1357" s="5"/>
    </row>
    <row r="1358" spans="13:13" x14ac:dyDescent="0.35">
      <c r="M1358" s="5"/>
    </row>
    <row r="1359" spans="13:13" x14ac:dyDescent="0.35">
      <c r="M1359" s="5"/>
    </row>
    <row r="1360" spans="13:13" x14ac:dyDescent="0.35">
      <c r="M1360" s="5"/>
    </row>
    <row r="1361" spans="13:13" x14ac:dyDescent="0.35">
      <c r="M1361" s="5"/>
    </row>
    <row r="1362" spans="13:13" x14ac:dyDescent="0.35">
      <c r="M1362" s="5"/>
    </row>
    <row r="1363" spans="13:13" x14ac:dyDescent="0.35">
      <c r="M1363" s="5"/>
    </row>
    <row r="1364" spans="13:13" x14ac:dyDescent="0.35">
      <c r="M1364" s="5"/>
    </row>
    <row r="1365" spans="13:13" x14ac:dyDescent="0.35">
      <c r="M1365" s="5"/>
    </row>
    <row r="1366" spans="13:13" x14ac:dyDescent="0.35">
      <c r="M1366" s="5"/>
    </row>
    <row r="1367" spans="13:13" x14ac:dyDescent="0.35">
      <c r="M1367" s="5"/>
    </row>
    <row r="1368" spans="13:13" x14ac:dyDescent="0.35">
      <c r="M1368" s="5"/>
    </row>
    <row r="1369" spans="13:13" x14ac:dyDescent="0.35">
      <c r="M1369" s="5"/>
    </row>
    <row r="1370" spans="13:13" x14ac:dyDescent="0.35">
      <c r="M1370" s="5"/>
    </row>
    <row r="1371" spans="13:13" x14ac:dyDescent="0.35">
      <c r="M1371" s="5"/>
    </row>
    <row r="1372" spans="13:13" x14ac:dyDescent="0.35">
      <c r="M1372" s="5"/>
    </row>
    <row r="1373" spans="13:13" x14ac:dyDescent="0.35">
      <c r="M1373" s="5"/>
    </row>
    <row r="1374" spans="13:13" x14ac:dyDescent="0.35">
      <c r="M1374" s="5"/>
    </row>
    <row r="1375" spans="13:13" x14ac:dyDescent="0.35">
      <c r="M1375" s="5"/>
    </row>
    <row r="1376" spans="13:13" x14ac:dyDescent="0.35">
      <c r="M1376" s="5"/>
    </row>
    <row r="1377" spans="13:13" x14ac:dyDescent="0.35">
      <c r="M1377" s="5"/>
    </row>
    <row r="1378" spans="13:13" x14ac:dyDescent="0.35">
      <c r="M1378" s="5"/>
    </row>
    <row r="1379" spans="13:13" x14ac:dyDescent="0.35">
      <c r="M1379" s="5"/>
    </row>
    <row r="1380" spans="13:13" x14ac:dyDescent="0.35">
      <c r="M1380" s="5"/>
    </row>
    <row r="1381" spans="13:13" x14ac:dyDescent="0.35">
      <c r="M1381" s="5"/>
    </row>
    <row r="1382" spans="13:13" x14ac:dyDescent="0.35">
      <c r="M1382" s="5"/>
    </row>
    <row r="1383" spans="13:13" x14ac:dyDescent="0.35">
      <c r="M1383" s="5"/>
    </row>
    <row r="1384" spans="13:13" x14ac:dyDescent="0.35">
      <c r="M1384" s="5"/>
    </row>
    <row r="1385" spans="13:13" x14ac:dyDescent="0.35">
      <c r="M1385" s="5"/>
    </row>
    <row r="1386" spans="13:13" x14ac:dyDescent="0.35">
      <c r="M1386" s="5"/>
    </row>
    <row r="1387" spans="13:13" x14ac:dyDescent="0.35">
      <c r="M1387" s="5"/>
    </row>
    <row r="1388" spans="13:13" x14ac:dyDescent="0.35">
      <c r="M1388" s="5"/>
    </row>
    <row r="1389" spans="13:13" x14ac:dyDescent="0.35">
      <c r="M1389" s="5"/>
    </row>
    <row r="1390" spans="13:13" x14ac:dyDescent="0.35">
      <c r="M1390" s="5"/>
    </row>
    <row r="1391" spans="13:13" x14ac:dyDescent="0.35">
      <c r="M1391" s="5"/>
    </row>
    <row r="1392" spans="13:13" x14ac:dyDescent="0.35">
      <c r="M1392" s="5"/>
    </row>
    <row r="1393" spans="13:13" x14ac:dyDescent="0.35">
      <c r="M1393" s="5"/>
    </row>
    <row r="1394" spans="13:13" x14ac:dyDescent="0.35">
      <c r="M1394" s="5"/>
    </row>
    <row r="1395" spans="13:13" x14ac:dyDescent="0.35">
      <c r="M1395" s="5"/>
    </row>
    <row r="1396" spans="13:13" x14ac:dyDescent="0.35">
      <c r="M1396" s="5"/>
    </row>
    <row r="1397" spans="13:13" x14ac:dyDescent="0.35">
      <c r="M1397" s="5"/>
    </row>
    <row r="1398" spans="13:13" x14ac:dyDescent="0.35">
      <c r="M1398" s="5"/>
    </row>
    <row r="1399" spans="13:13" x14ac:dyDescent="0.35">
      <c r="M1399" s="5"/>
    </row>
    <row r="1400" spans="13:13" x14ac:dyDescent="0.35">
      <c r="M1400" s="5"/>
    </row>
    <row r="1401" spans="13:13" x14ac:dyDescent="0.35">
      <c r="M1401" s="5"/>
    </row>
    <row r="1402" spans="13:13" x14ac:dyDescent="0.35">
      <c r="M1402" s="5"/>
    </row>
    <row r="1403" spans="13:13" x14ac:dyDescent="0.35">
      <c r="M1403" s="5"/>
    </row>
    <row r="1404" spans="13:13" x14ac:dyDescent="0.35">
      <c r="M1404" s="5"/>
    </row>
    <row r="1405" spans="13:13" x14ac:dyDescent="0.35">
      <c r="M1405" s="5"/>
    </row>
    <row r="1406" spans="13:13" x14ac:dyDescent="0.35">
      <c r="M1406" s="5"/>
    </row>
    <row r="1407" spans="13:13" x14ac:dyDescent="0.35">
      <c r="M1407" s="5"/>
    </row>
    <row r="1408" spans="13:13" x14ac:dyDescent="0.35">
      <c r="M1408" s="5"/>
    </row>
    <row r="1409" spans="13:13" x14ac:dyDescent="0.35">
      <c r="M1409" s="5"/>
    </row>
    <row r="1410" spans="13:13" x14ac:dyDescent="0.35">
      <c r="M1410" s="5"/>
    </row>
    <row r="1411" spans="13:13" x14ac:dyDescent="0.35">
      <c r="M1411" s="5"/>
    </row>
    <row r="1412" spans="13:13" x14ac:dyDescent="0.35">
      <c r="M1412" s="5"/>
    </row>
    <row r="1413" spans="13:13" x14ac:dyDescent="0.35">
      <c r="M1413" s="5"/>
    </row>
    <row r="1414" spans="13:13" x14ac:dyDescent="0.35">
      <c r="M1414" s="5"/>
    </row>
    <row r="1415" spans="13:13" x14ac:dyDescent="0.35">
      <c r="M1415" s="5"/>
    </row>
    <row r="1416" spans="13:13" x14ac:dyDescent="0.35">
      <c r="M1416" s="5"/>
    </row>
    <row r="1417" spans="13:13" x14ac:dyDescent="0.35">
      <c r="M1417" s="5"/>
    </row>
    <row r="1418" spans="13:13" x14ac:dyDescent="0.35">
      <c r="M1418" s="5"/>
    </row>
    <row r="1419" spans="13:13" x14ac:dyDescent="0.35">
      <c r="M1419" s="5"/>
    </row>
    <row r="1420" spans="13:13" x14ac:dyDescent="0.35">
      <c r="M1420" s="5"/>
    </row>
    <row r="1421" spans="13:13" x14ac:dyDescent="0.35">
      <c r="M1421" s="5"/>
    </row>
    <row r="1422" spans="13:13" x14ac:dyDescent="0.35">
      <c r="M1422" s="5"/>
    </row>
    <row r="1423" spans="13:13" x14ac:dyDescent="0.35">
      <c r="M1423" s="5"/>
    </row>
    <row r="1424" spans="13:13" x14ac:dyDescent="0.35">
      <c r="M1424" s="5"/>
    </row>
    <row r="1425" spans="13:13" x14ac:dyDescent="0.35">
      <c r="M1425" s="5"/>
    </row>
    <row r="1426" spans="13:13" x14ac:dyDescent="0.35">
      <c r="M1426" s="5"/>
    </row>
    <row r="1427" spans="13:13" x14ac:dyDescent="0.35">
      <c r="M1427" s="5"/>
    </row>
    <row r="1428" spans="13:13" x14ac:dyDescent="0.35">
      <c r="M1428" s="5"/>
    </row>
    <row r="1429" spans="13:13" x14ac:dyDescent="0.35">
      <c r="M1429" s="5"/>
    </row>
    <row r="1430" spans="13:13" x14ac:dyDescent="0.35">
      <c r="M1430" s="5"/>
    </row>
    <row r="1431" spans="13:13" x14ac:dyDescent="0.35">
      <c r="M1431" s="5"/>
    </row>
    <row r="1432" spans="13:13" x14ac:dyDescent="0.35">
      <c r="M1432" s="5"/>
    </row>
    <row r="1433" spans="13:13" x14ac:dyDescent="0.35">
      <c r="M1433" s="5"/>
    </row>
    <row r="1434" spans="13:13" x14ac:dyDescent="0.35">
      <c r="M1434" s="5"/>
    </row>
    <row r="1435" spans="13:13" x14ac:dyDescent="0.35">
      <c r="M1435" s="5"/>
    </row>
    <row r="1436" spans="13:13" x14ac:dyDescent="0.35">
      <c r="M1436" s="5"/>
    </row>
    <row r="1437" spans="13:13" x14ac:dyDescent="0.35">
      <c r="M1437" s="5"/>
    </row>
    <row r="1438" spans="13:13" x14ac:dyDescent="0.35">
      <c r="M1438" s="5"/>
    </row>
    <row r="1439" spans="13:13" x14ac:dyDescent="0.35">
      <c r="M1439" s="5"/>
    </row>
    <row r="1440" spans="13:13" x14ac:dyDescent="0.35">
      <c r="M1440" s="5"/>
    </row>
    <row r="1441" spans="13:13" x14ac:dyDescent="0.35">
      <c r="M1441" s="5"/>
    </row>
    <row r="1442" spans="13:13" x14ac:dyDescent="0.35">
      <c r="M1442" s="5"/>
    </row>
    <row r="1443" spans="13:13" x14ac:dyDescent="0.35">
      <c r="M1443" s="5"/>
    </row>
    <row r="1444" spans="13:13" x14ac:dyDescent="0.35">
      <c r="M1444" s="5"/>
    </row>
    <row r="1445" spans="13:13" x14ac:dyDescent="0.35">
      <c r="M1445" s="5"/>
    </row>
    <row r="1446" spans="13:13" x14ac:dyDescent="0.35">
      <c r="M1446" s="5"/>
    </row>
    <row r="1447" spans="13:13" x14ac:dyDescent="0.35">
      <c r="M1447" s="5"/>
    </row>
    <row r="1448" spans="13:13" x14ac:dyDescent="0.35">
      <c r="M1448" s="5"/>
    </row>
    <row r="1449" spans="13:13" x14ac:dyDescent="0.35">
      <c r="M1449" s="5"/>
    </row>
    <row r="1450" spans="13:13" x14ac:dyDescent="0.35">
      <c r="M1450" s="5"/>
    </row>
    <row r="1451" spans="13:13" x14ac:dyDescent="0.35">
      <c r="M1451" s="5"/>
    </row>
    <row r="1452" spans="13:13" x14ac:dyDescent="0.35">
      <c r="M1452" s="5"/>
    </row>
    <row r="1453" spans="13:13" x14ac:dyDescent="0.35">
      <c r="M1453" s="5"/>
    </row>
    <row r="1454" spans="13:13" x14ac:dyDescent="0.35">
      <c r="M1454" s="5"/>
    </row>
    <row r="1455" spans="13:13" x14ac:dyDescent="0.35">
      <c r="M1455" s="5"/>
    </row>
    <row r="1456" spans="13:13" x14ac:dyDescent="0.35">
      <c r="M1456" s="5"/>
    </row>
    <row r="1457" spans="13:13" x14ac:dyDescent="0.35">
      <c r="M1457" s="5"/>
    </row>
    <row r="1458" spans="13:13" x14ac:dyDescent="0.35">
      <c r="M1458" s="5"/>
    </row>
    <row r="1459" spans="13:13" x14ac:dyDescent="0.35">
      <c r="M1459" s="5"/>
    </row>
    <row r="1460" spans="13:13" x14ac:dyDescent="0.35">
      <c r="M1460" s="5"/>
    </row>
    <row r="1461" spans="13:13" x14ac:dyDescent="0.35">
      <c r="M1461" s="5"/>
    </row>
    <row r="1462" spans="13:13" x14ac:dyDescent="0.35">
      <c r="M1462" s="5"/>
    </row>
    <row r="1463" spans="13:13" x14ac:dyDescent="0.35">
      <c r="M1463" s="5"/>
    </row>
    <row r="1464" spans="13:13" x14ac:dyDescent="0.35">
      <c r="M1464" s="5"/>
    </row>
    <row r="1465" spans="13:13" x14ac:dyDescent="0.35">
      <c r="M1465" s="5"/>
    </row>
    <row r="1466" spans="13:13" x14ac:dyDescent="0.35">
      <c r="M1466" s="5"/>
    </row>
    <row r="1467" spans="13:13" x14ac:dyDescent="0.35">
      <c r="M1467" s="5"/>
    </row>
    <row r="1468" spans="13:13" x14ac:dyDescent="0.35">
      <c r="M1468" s="5"/>
    </row>
    <row r="1469" spans="13:13" x14ac:dyDescent="0.35">
      <c r="M1469" s="5"/>
    </row>
    <row r="1470" spans="13:13" x14ac:dyDescent="0.35">
      <c r="M1470" s="5"/>
    </row>
    <row r="1471" spans="13:13" x14ac:dyDescent="0.35">
      <c r="M1471" s="5"/>
    </row>
    <row r="1472" spans="13:13" x14ac:dyDescent="0.35">
      <c r="M1472" s="5"/>
    </row>
    <row r="1473" spans="13:13" x14ac:dyDescent="0.35">
      <c r="M1473" s="5"/>
    </row>
    <row r="1474" spans="13:13" x14ac:dyDescent="0.35">
      <c r="M1474" s="5"/>
    </row>
    <row r="1475" spans="13:13" x14ac:dyDescent="0.35">
      <c r="M1475" s="5"/>
    </row>
    <row r="1476" spans="13:13" x14ac:dyDescent="0.35">
      <c r="M1476" s="5"/>
    </row>
    <row r="1477" spans="13:13" x14ac:dyDescent="0.35">
      <c r="M1477" s="5"/>
    </row>
    <row r="1478" spans="13:13" x14ac:dyDescent="0.35">
      <c r="M1478" s="5"/>
    </row>
    <row r="1479" spans="13:13" x14ac:dyDescent="0.35">
      <c r="M1479" s="5"/>
    </row>
    <row r="1480" spans="13:13" x14ac:dyDescent="0.35">
      <c r="M1480" s="5"/>
    </row>
    <row r="1481" spans="13:13" x14ac:dyDescent="0.35">
      <c r="M1481" s="5"/>
    </row>
    <row r="1482" spans="13:13" x14ac:dyDescent="0.35">
      <c r="M1482" s="5"/>
    </row>
    <row r="1483" spans="13:13" x14ac:dyDescent="0.35">
      <c r="M1483" s="5"/>
    </row>
    <row r="1484" spans="13:13" x14ac:dyDescent="0.35">
      <c r="M1484" s="5"/>
    </row>
    <row r="1485" spans="13:13" x14ac:dyDescent="0.35">
      <c r="M1485" s="5"/>
    </row>
    <row r="1486" spans="13:13" x14ac:dyDescent="0.35">
      <c r="M1486" s="5"/>
    </row>
    <row r="1487" spans="13:13" x14ac:dyDescent="0.35">
      <c r="M1487" s="5"/>
    </row>
    <row r="1488" spans="13:13" x14ac:dyDescent="0.35">
      <c r="M1488" s="5"/>
    </row>
    <row r="1489" spans="13:13" x14ac:dyDescent="0.35">
      <c r="M1489" s="5"/>
    </row>
    <row r="1490" spans="13:13" x14ac:dyDescent="0.35">
      <c r="M1490" s="5"/>
    </row>
    <row r="1491" spans="13:13" x14ac:dyDescent="0.35">
      <c r="M1491" s="5"/>
    </row>
    <row r="1492" spans="13:13" x14ac:dyDescent="0.35">
      <c r="M1492" s="5"/>
    </row>
    <row r="1493" spans="13:13" x14ac:dyDescent="0.35">
      <c r="M1493" s="5"/>
    </row>
    <row r="1494" spans="13:13" x14ac:dyDescent="0.35">
      <c r="M1494" s="5"/>
    </row>
    <row r="1495" spans="13:13" x14ac:dyDescent="0.35">
      <c r="M1495" s="5"/>
    </row>
    <row r="1496" spans="13:13" x14ac:dyDescent="0.35">
      <c r="M1496" s="5"/>
    </row>
    <row r="1497" spans="13:13" x14ac:dyDescent="0.35">
      <c r="M1497" s="5"/>
    </row>
    <row r="1498" spans="13:13" x14ac:dyDescent="0.35">
      <c r="M1498" s="5"/>
    </row>
    <row r="1499" spans="13:13" x14ac:dyDescent="0.35">
      <c r="M1499" s="5"/>
    </row>
    <row r="1500" spans="13:13" x14ac:dyDescent="0.35">
      <c r="M1500" s="5"/>
    </row>
    <row r="1501" spans="13:13" x14ac:dyDescent="0.35">
      <c r="M1501" s="5"/>
    </row>
    <row r="1502" spans="13:13" x14ac:dyDescent="0.35">
      <c r="M1502" s="5"/>
    </row>
    <row r="1503" spans="13:13" x14ac:dyDescent="0.35">
      <c r="M1503" s="5"/>
    </row>
    <row r="1504" spans="13:13" x14ac:dyDescent="0.35">
      <c r="M1504" s="5"/>
    </row>
    <row r="1505" spans="13:13" x14ac:dyDescent="0.35">
      <c r="M1505" s="5"/>
    </row>
    <row r="1506" spans="13:13" x14ac:dyDescent="0.35">
      <c r="M1506" s="5"/>
    </row>
    <row r="1507" spans="13:13" x14ac:dyDescent="0.35">
      <c r="M1507" s="5"/>
    </row>
    <row r="1508" spans="13:13" x14ac:dyDescent="0.35">
      <c r="M1508" s="5"/>
    </row>
    <row r="1509" spans="13:13" x14ac:dyDescent="0.35">
      <c r="M1509" s="5"/>
    </row>
    <row r="1510" spans="13:13" x14ac:dyDescent="0.35">
      <c r="M1510" s="5"/>
    </row>
    <row r="1511" spans="13:13" x14ac:dyDescent="0.35">
      <c r="M1511" s="5"/>
    </row>
    <row r="1512" spans="13:13" x14ac:dyDescent="0.35">
      <c r="M1512" s="5"/>
    </row>
    <row r="1513" spans="13:13" x14ac:dyDescent="0.35">
      <c r="M1513" s="5"/>
    </row>
    <row r="1514" spans="13:13" x14ac:dyDescent="0.35">
      <c r="M1514" s="5"/>
    </row>
    <row r="1515" spans="13:13" x14ac:dyDescent="0.35">
      <c r="M1515" s="5"/>
    </row>
    <row r="1516" spans="13:13" x14ac:dyDescent="0.35">
      <c r="M1516" s="5"/>
    </row>
    <row r="1517" spans="13:13" x14ac:dyDescent="0.35">
      <c r="M1517" s="5"/>
    </row>
    <row r="1518" spans="13:13" x14ac:dyDescent="0.35">
      <c r="M1518" s="5"/>
    </row>
    <row r="1519" spans="13:13" x14ac:dyDescent="0.35">
      <c r="M1519" s="5"/>
    </row>
    <row r="1520" spans="13:13" x14ac:dyDescent="0.35">
      <c r="M1520" s="5"/>
    </row>
    <row r="1521" spans="13:13" x14ac:dyDescent="0.35">
      <c r="M1521" s="5"/>
    </row>
    <row r="1522" spans="13:13" x14ac:dyDescent="0.35">
      <c r="M1522" s="5"/>
    </row>
    <row r="1523" spans="13:13" x14ac:dyDescent="0.35">
      <c r="M1523" s="5"/>
    </row>
    <row r="1524" spans="13:13" x14ac:dyDescent="0.35">
      <c r="M1524" s="5"/>
    </row>
    <row r="1525" spans="13:13" x14ac:dyDescent="0.35">
      <c r="M1525" s="5"/>
    </row>
    <row r="1526" spans="13:13" x14ac:dyDescent="0.35">
      <c r="M1526" s="5"/>
    </row>
    <row r="1527" spans="13:13" x14ac:dyDescent="0.35">
      <c r="M1527" s="5"/>
    </row>
    <row r="1528" spans="13:13" x14ac:dyDescent="0.35">
      <c r="M1528" s="5"/>
    </row>
    <row r="1529" spans="13:13" x14ac:dyDescent="0.35">
      <c r="M1529" s="5"/>
    </row>
    <row r="1530" spans="13:13" x14ac:dyDescent="0.35">
      <c r="M1530" s="5"/>
    </row>
    <row r="1531" spans="13:13" x14ac:dyDescent="0.35">
      <c r="M1531" s="5"/>
    </row>
    <row r="1532" spans="13:13" x14ac:dyDescent="0.35">
      <c r="M1532" s="5"/>
    </row>
    <row r="1533" spans="13:13" x14ac:dyDescent="0.35">
      <c r="M1533" s="5"/>
    </row>
    <row r="1534" spans="13:13" x14ac:dyDescent="0.35">
      <c r="M1534" s="5"/>
    </row>
    <row r="1535" spans="13:13" x14ac:dyDescent="0.35">
      <c r="M1535" s="5"/>
    </row>
    <row r="1536" spans="13:13" x14ac:dyDescent="0.35">
      <c r="M1536" s="5"/>
    </row>
    <row r="1537" spans="13:13" x14ac:dyDescent="0.35">
      <c r="M1537" s="5"/>
    </row>
    <row r="1538" spans="13:13" x14ac:dyDescent="0.35">
      <c r="M1538" s="5"/>
    </row>
    <row r="1539" spans="13:13" x14ac:dyDescent="0.35">
      <c r="M1539" s="5"/>
    </row>
    <row r="1540" spans="13:13" x14ac:dyDescent="0.35">
      <c r="M1540" s="5"/>
    </row>
    <row r="1541" spans="13:13" x14ac:dyDescent="0.35">
      <c r="M1541" s="5"/>
    </row>
    <row r="1542" spans="13:13" x14ac:dyDescent="0.35">
      <c r="M1542" s="5"/>
    </row>
    <row r="1543" spans="13:13" x14ac:dyDescent="0.35">
      <c r="M1543" s="5"/>
    </row>
    <row r="1544" spans="13:13" x14ac:dyDescent="0.35">
      <c r="M1544" s="5"/>
    </row>
    <row r="1545" spans="13:13" x14ac:dyDescent="0.35">
      <c r="M1545" s="5"/>
    </row>
    <row r="1546" spans="13:13" x14ac:dyDescent="0.35">
      <c r="M1546" s="5"/>
    </row>
    <row r="1547" spans="13:13" x14ac:dyDescent="0.35">
      <c r="M1547" s="5"/>
    </row>
    <row r="1548" spans="13:13" x14ac:dyDescent="0.35">
      <c r="M1548" s="5"/>
    </row>
    <row r="1549" spans="13:13" x14ac:dyDescent="0.35">
      <c r="M1549" s="5"/>
    </row>
    <row r="1550" spans="13:13" x14ac:dyDescent="0.35">
      <c r="M1550" s="5"/>
    </row>
    <row r="1551" spans="13:13" x14ac:dyDescent="0.35">
      <c r="M1551" s="5"/>
    </row>
    <row r="1552" spans="13:13" x14ac:dyDescent="0.35">
      <c r="M1552" s="5"/>
    </row>
    <row r="1553" spans="13:13" x14ac:dyDescent="0.35">
      <c r="M1553" s="5"/>
    </row>
    <row r="1554" spans="13:13" x14ac:dyDescent="0.35">
      <c r="M1554" s="5"/>
    </row>
    <row r="1555" spans="13:13" x14ac:dyDescent="0.35">
      <c r="M1555" s="5"/>
    </row>
    <row r="1556" spans="13:13" x14ac:dyDescent="0.35">
      <c r="M1556" s="5"/>
    </row>
    <row r="1557" spans="13:13" x14ac:dyDescent="0.35">
      <c r="M1557" s="5"/>
    </row>
    <row r="1558" spans="13:13" x14ac:dyDescent="0.35">
      <c r="M1558" s="5"/>
    </row>
    <row r="1559" spans="13:13" x14ac:dyDescent="0.35">
      <c r="M1559" s="5"/>
    </row>
    <row r="1560" spans="13:13" x14ac:dyDescent="0.35">
      <c r="M1560" s="5"/>
    </row>
    <row r="1561" spans="13:13" x14ac:dyDescent="0.35">
      <c r="M1561" s="5"/>
    </row>
    <row r="1562" spans="13:13" x14ac:dyDescent="0.35">
      <c r="M1562" s="5"/>
    </row>
    <row r="1563" spans="13:13" x14ac:dyDescent="0.35">
      <c r="M1563" s="5"/>
    </row>
    <row r="1564" spans="13:13" x14ac:dyDescent="0.35">
      <c r="M1564" s="5"/>
    </row>
    <row r="1565" spans="13:13" x14ac:dyDescent="0.35">
      <c r="M1565" s="5"/>
    </row>
    <row r="1566" spans="13:13" x14ac:dyDescent="0.35">
      <c r="M1566" s="5"/>
    </row>
    <row r="1567" spans="13:13" x14ac:dyDescent="0.35">
      <c r="M1567" s="5"/>
    </row>
    <row r="1568" spans="13:13" x14ac:dyDescent="0.35">
      <c r="M1568" s="5"/>
    </row>
    <row r="1569" spans="13:13" x14ac:dyDescent="0.35">
      <c r="M1569" s="5"/>
    </row>
    <row r="1570" spans="13:13" x14ac:dyDescent="0.35">
      <c r="M1570" s="5"/>
    </row>
    <row r="1571" spans="13:13" x14ac:dyDescent="0.35">
      <c r="M1571" s="5"/>
    </row>
    <row r="1572" spans="13:13" x14ac:dyDescent="0.35">
      <c r="M1572" s="5"/>
    </row>
    <row r="1573" spans="13:13" x14ac:dyDescent="0.35">
      <c r="M1573" s="5"/>
    </row>
    <row r="1574" spans="13:13" x14ac:dyDescent="0.35">
      <c r="M1574" s="5"/>
    </row>
    <row r="1575" spans="13:13" x14ac:dyDescent="0.35">
      <c r="M1575" s="5"/>
    </row>
    <row r="1576" spans="13:13" x14ac:dyDescent="0.35">
      <c r="M1576" s="5"/>
    </row>
    <row r="1577" spans="13:13" x14ac:dyDescent="0.35">
      <c r="M1577" s="5"/>
    </row>
    <row r="1578" spans="13:13" x14ac:dyDescent="0.35">
      <c r="M1578" s="5"/>
    </row>
    <row r="1579" spans="13:13" x14ac:dyDescent="0.35">
      <c r="M1579" s="5"/>
    </row>
    <row r="1580" spans="13:13" x14ac:dyDescent="0.35">
      <c r="M1580" s="5"/>
    </row>
    <row r="1581" spans="13:13" x14ac:dyDescent="0.35">
      <c r="M1581" s="5"/>
    </row>
    <row r="1582" spans="13:13" x14ac:dyDescent="0.35">
      <c r="M1582" s="5"/>
    </row>
    <row r="1583" spans="13:13" x14ac:dyDescent="0.35">
      <c r="M1583" s="5"/>
    </row>
    <row r="1584" spans="13:13" x14ac:dyDescent="0.35">
      <c r="M1584" s="5"/>
    </row>
    <row r="1585" spans="13:13" x14ac:dyDescent="0.35">
      <c r="M1585" s="5"/>
    </row>
    <row r="1586" spans="13:13" x14ac:dyDescent="0.35">
      <c r="M1586" s="5"/>
    </row>
    <row r="1587" spans="13:13" x14ac:dyDescent="0.35">
      <c r="M1587" s="5"/>
    </row>
    <row r="1588" spans="13:13" x14ac:dyDescent="0.35">
      <c r="M1588" s="5"/>
    </row>
    <row r="1589" spans="13:13" x14ac:dyDescent="0.35">
      <c r="M1589" s="5"/>
    </row>
    <row r="1590" spans="13:13" x14ac:dyDescent="0.35">
      <c r="M1590" s="5"/>
    </row>
    <row r="1591" spans="13:13" x14ac:dyDescent="0.35">
      <c r="M1591" s="5"/>
    </row>
    <row r="1592" spans="13:13" x14ac:dyDescent="0.35">
      <c r="M1592" s="5"/>
    </row>
    <row r="1593" spans="13:13" x14ac:dyDescent="0.35">
      <c r="M1593" s="5"/>
    </row>
    <row r="1594" spans="13:13" x14ac:dyDescent="0.35">
      <c r="M1594" s="5"/>
    </row>
    <row r="1595" spans="13:13" x14ac:dyDescent="0.35">
      <c r="M1595" s="5"/>
    </row>
    <row r="1596" spans="13:13" x14ac:dyDescent="0.35">
      <c r="M1596" s="5"/>
    </row>
    <row r="1597" spans="13:13" x14ac:dyDescent="0.35">
      <c r="M1597" s="5"/>
    </row>
    <row r="1598" spans="13:13" x14ac:dyDescent="0.35">
      <c r="M1598" s="5"/>
    </row>
    <row r="1599" spans="13:13" x14ac:dyDescent="0.35">
      <c r="M1599" s="5"/>
    </row>
    <row r="1600" spans="13:13" x14ac:dyDescent="0.35">
      <c r="M1600" s="5"/>
    </row>
    <row r="1601" spans="13:13" x14ac:dyDescent="0.35">
      <c r="M1601" s="5"/>
    </row>
    <row r="1602" spans="13:13" x14ac:dyDescent="0.35">
      <c r="M1602" s="5"/>
    </row>
    <row r="1603" spans="13:13" x14ac:dyDescent="0.35">
      <c r="M1603" s="5"/>
    </row>
    <row r="1604" spans="13:13" x14ac:dyDescent="0.35">
      <c r="M1604" s="5"/>
    </row>
    <row r="1605" spans="13:13" x14ac:dyDescent="0.35">
      <c r="M1605" s="5"/>
    </row>
    <row r="1606" spans="13:13" x14ac:dyDescent="0.35">
      <c r="M1606" s="5"/>
    </row>
    <row r="1607" spans="13:13" x14ac:dyDescent="0.35">
      <c r="M1607" s="5"/>
    </row>
    <row r="1608" spans="13:13" x14ac:dyDescent="0.35">
      <c r="M1608" s="5"/>
    </row>
    <row r="1609" spans="13:13" x14ac:dyDescent="0.35">
      <c r="M1609" s="5"/>
    </row>
    <row r="1610" spans="13:13" x14ac:dyDescent="0.35">
      <c r="M1610" s="5"/>
    </row>
    <row r="1611" spans="13:13" x14ac:dyDescent="0.35">
      <c r="M1611" s="5"/>
    </row>
    <row r="1612" spans="13:13" x14ac:dyDescent="0.35">
      <c r="M1612" s="5"/>
    </row>
    <row r="1613" spans="13:13" x14ac:dyDescent="0.35">
      <c r="M1613" s="5"/>
    </row>
    <row r="1614" spans="13:13" x14ac:dyDescent="0.35">
      <c r="M1614" s="5"/>
    </row>
    <row r="1615" spans="13:13" x14ac:dyDescent="0.35">
      <c r="M1615" s="5"/>
    </row>
    <row r="1616" spans="13:13" x14ac:dyDescent="0.35">
      <c r="M1616" s="5"/>
    </row>
    <row r="1617" spans="13:13" x14ac:dyDescent="0.35">
      <c r="M1617" s="5"/>
    </row>
    <row r="1618" spans="13:13" x14ac:dyDescent="0.35">
      <c r="M1618" s="5"/>
    </row>
    <row r="1619" spans="13:13" x14ac:dyDescent="0.35">
      <c r="M1619" s="5"/>
    </row>
    <row r="1620" spans="13:13" x14ac:dyDescent="0.35">
      <c r="M1620" s="5"/>
    </row>
    <row r="1621" spans="13:13" x14ac:dyDescent="0.35">
      <c r="M1621" s="5"/>
    </row>
    <row r="1622" spans="13:13" x14ac:dyDescent="0.35">
      <c r="M1622" s="5"/>
    </row>
    <row r="1623" spans="13:13" x14ac:dyDescent="0.35">
      <c r="M1623" s="5"/>
    </row>
    <row r="1624" spans="13:13" x14ac:dyDescent="0.35">
      <c r="M1624" s="5"/>
    </row>
    <row r="1625" spans="13:13" x14ac:dyDescent="0.35">
      <c r="M1625" s="5"/>
    </row>
    <row r="1626" spans="13:13" x14ac:dyDescent="0.35">
      <c r="M1626" s="5"/>
    </row>
    <row r="1627" spans="13:13" x14ac:dyDescent="0.35">
      <c r="M1627" s="5"/>
    </row>
    <row r="1628" spans="13:13" x14ac:dyDescent="0.35">
      <c r="M1628" s="5"/>
    </row>
    <row r="1629" spans="13:13" x14ac:dyDescent="0.35">
      <c r="M1629" s="5"/>
    </row>
    <row r="1630" spans="13:13" x14ac:dyDescent="0.35">
      <c r="M1630" s="5"/>
    </row>
    <row r="1631" spans="13:13" x14ac:dyDescent="0.35">
      <c r="M1631" s="5"/>
    </row>
    <row r="1632" spans="13:13" x14ac:dyDescent="0.35">
      <c r="M1632" s="5"/>
    </row>
    <row r="1633" spans="13:13" x14ac:dyDescent="0.35">
      <c r="M1633" s="5"/>
    </row>
    <row r="1634" spans="13:13" x14ac:dyDescent="0.35">
      <c r="M1634" s="5"/>
    </row>
    <row r="1635" spans="13:13" x14ac:dyDescent="0.35">
      <c r="M1635" s="5"/>
    </row>
    <row r="1636" spans="13:13" x14ac:dyDescent="0.35">
      <c r="M1636" s="5"/>
    </row>
    <row r="1637" spans="13:13" x14ac:dyDescent="0.35">
      <c r="M1637" s="5"/>
    </row>
    <row r="1638" spans="13:13" x14ac:dyDescent="0.35">
      <c r="M1638" s="5"/>
    </row>
    <row r="1639" spans="13:13" x14ac:dyDescent="0.35">
      <c r="M1639" s="5"/>
    </row>
    <row r="1640" spans="13:13" x14ac:dyDescent="0.35">
      <c r="M1640" s="5"/>
    </row>
    <row r="1641" spans="13:13" x14ac:dyDescent="0.35">
      <c r="M1641" s="5"/>
    </row>
    <row r="1642" spans="13:13" x14ac:dyDescent="0.35">
      <c r="M1642" s="5"/>
    </row>
    <row r="1643" spans="13:13" x14ac:dyDescent="0.35">
      <c r="M1643" s="5"/>
    </row>
    <row r="1644" spans="13:13" x14ac:dyDescent="0.35">
      <c r="M1644" s="5"/>
    </row>
    <row r="1645" spans="13:13" x14ac:dyDescent="0.35">
      <c r="M1645" s="5"/>
    </row>
    <row r="1646" spans="13:13" x14ac:dyDescent="0.35">
      <c r="M1646" s="5"/>
    </row>
    <row r="1647" spans="13:13" x14ac:dyDescent="0.35">
      <c r="M1647" s="5"/>
    </row>
    <row r="1648" spans="13:13" x14ac:dyDescent="0.35">
      <c r="M1648" s="5"/>
    </row>
    <row r="1649" spans="13:13" x14ac:dyDescent="0.35">
      <c r="M1649" s="5"/>
    </row>
    <row r="1650" spans="13:13" x14ac:dyDescent="0.35">
      <c r="M1650" s="5"/>
    </row>
    <row r="1651" spans="13:13" x14ac:dyDescent="0.35">
      <c r="M1651" s="5"/>
    </row>
    <row r="1652" spans="13:13" x14ac:dyDescent="0.35">
      <c r="M1652" s="5"/>
    </row>
    <row r="1653" spans="13:13" x14ac:dyDescent="0.35">
      <c r="M1653" s="5"/>
    </row>
    <row r="1654" spans="13:13" x14ac:dyDescent="0.35">
      <c r="M1654" s="5"/>
    </row>
    <row r="1655" spans="13:13" x14ac:dyDescent="0.35">
      <c r="M1655" s="5"/>
    </row>
    <row r="1656" spans="13:13" x14ac:dyDescent="0.35">
      <c r="M1656" s="5"/>
    </row>
    <row r="1657" spans="13:13" x14ac:dyDescent="0.35">
      <c r="M1657" s="5"/>
    </row>
    <row r="1658" spans="13:13" x14ac:dyDescent="0.35">
      <c r="M1658" s="5"/>
    </row>
    <row r="1659" spans="13:13" x14ac:dyDescent="0.35">
      <c r="M1659" s="5"/>
    </row>
    <row r="1660" spans="13:13" x14ac:dyDescent="0.35">
      <c r="M1660" s="5"/>
    </row>
    <row r="1661" spans="13:13" x14ac:dyDescent="0.35">
      <c r="M1661" s="5"/>
    </row>
    <row r="1662" spans="13:13" x14ac:dyDescent="0.35">
      <c r="M1662" s="5"/>
    </row>
    <row r="1663" spans="13:13" x14ac:dyDescent="0.35">
      <c r="M1663" s="5"/>
    </row>
    <row r="1664" spans="13:13" x14ac:dyDescent="0.35">
      <c r="M1664" s="5"/>
    </row>
    <row r="1665" spans="13:13" x14ac:dyDescent="0.35">
      <c r="M1665" s="5"/>
    </row>
    <row r="1666" spans="13:13" x14ac:dyDescent="0.35">
      <c r="M1666" s="5"/>
    </row>
    <row r="1667" spans="13:13" x14ac:dyDescent="0.35">
      <c r="M1667" s="5"/>
    </row>
    <row r="1668" spans="13:13" x14ac:dyDescent="0.35">
      <c r="M1668" s="5"/>
    </row>
    <row r="1669" spans="13:13" x14ac:dyDescent="0.35">
      <c r="M1669" s="5"/>
    </row>
    <row r="1670" spans="13:13" x14ac:dyDescent="0.35">
      <c r="M1670" s="5"/>
    </row>
    <row r="1671" spans="13:13" x14ac:dyDescent="0.35">
      <c r="M1671" s="5"/>
    </row>
    <row r="1672" spans="13:13" x14ac:dyDescent="0.35">
      <c r="M1672" s="5"/>
    </row>
    <row r="1673" spans="13:13" x14ac:dyDescent="0.35">
      <c r="M1673" s="5"/>
    </row>
    <row r="1674" spans="13:13" x14ac:dyDescent="0.35">
      <c r="M1674" s="5"/>
    </row>
    <row r="1675" spans="13:13" x14ac:dyDescent="0.35">
      <c r="M1675" s="5"/>
    </row>
    <row r="1676" spans="13:13" x14ac:dyDescent="0.35">
      <c r="M1676" s="5"/>
    </row>
    <row r="1677" spans="13:13" x14ac:dyDescent="0.35">
      <c r="M1677" s="5"/>
    </row>
    <row r="1678" spans="13:13" x14ac:dyDescent="0.35">
      <c r="M1678" s="5"/>
    </row>
    <row r="1679" spans="13:13" x14ac:dyDescent="0.35">
      <c r="M1679" s="5"/>
    </row>
    <row r="1680" spans="13:13" x14ac:dyDescent="0.35">
      <c r="M1680" s="5"/>
    </row>
    <row r="1681" spans="13:13" x14ac:dyDescent="0.35">
      <c r="M1681" s="5"/>
    </row>
    <row r="1682" spans="13:13" x14ac:dyDescent="0.35">
      <c r="M1682" s="5"/>
    </row>
    <row r="1683" spans="13:13" x14ac:dyDescent="0.35">
      <c r="M1683" s="5"/>
    </row>
    <row r="1684" spans="13:13" x14ac:dyDescent="0.35">
      <c r="M1684" s="5"/>
    </row>
    <row r="1685" spans="13:13" x14ac:dyDescent="0.35">
      <c r="M1685" s="5"/>
    </row>
    <row r="1686" spans="13:13" x14ac:dyDescent="0.35">
      <c r="M1686" s="5"/>
    </row>
    <row r="1687" spans="13:13" x14ac:dyDescent="0.35">
      <c r="M1687" s="5"/>
    </row>
    <row r="1688" spans="13:13" x14ac:dyDescent="0.35">
      <c r="M1688" s="5"/>
    </row>
    <row r="1689" spans="13:13" x14ac:dyDescent="0.35">
      <c r="M1689" s="5"/>
    </row>
    <row r="1690" spans="13:13" x14ac:dyDescent="0.35">
      <c r="M1690" s="5"/>
    </row>
    <row r="1691" spans="13:13" x14ac:dyDescent="0.35">
      <c r="M1691" s="5"/>
    </row>
    <row r="1692" spans="13:13" x14ac:dyDescent="0.35">
      <c r="M1692" s="5"/>
    </row>
    <row r="1693" spans="13:13" x14ac:dyDescent="0.35">
      <c r="M1693" s="5"/>
    </row>
    <row r="1694" spans="13:13" x14ac:dyDescent="0.35">
      <c r="M1694" s="5"/>
    </row>
    <row r="1695" spans="13:13" x14ac:dyDescent="0.35">
      <c r="M1695" s="5"/>
    </row>
    <row r="1696" spans="13:13" x14ac:dyDescent="0.35">
      <c r="M1696" s="5"/>
    </row>
    <row r="1697" spans="13:13" x14ac:dyDescent="0.35">
      <c r="M1697" s="5"/>
    </row>
    <row r="1698" spans="13:13" x14ac:dyDescent="0.35">
      <c r="M1698" s="5"/>
    </row>
    <row r="1699" spans="13:13" x14ac:dyDescent="0.35">
      <c r="M1699" s="5"/>
    </row>
    <row r="1700" spans="13:13" x14ac:dyDescent="0.35">
      <c r="M1700" s="5"/>
    </row>
    <row r="1701" spans="13:13" x14ac:dyDescent="0.35">
      <c r="M1701" s="5"/>
    </row>
    <row r="1702" spans="13:13" x14ac:dyDescent="0.35">
      <c r="M1702" s="5"/>
    </row>
    <row r="1703" spans="13:13" x14ac:dyDescent="0.35">
      <c r="M1703" s="5"/>
    </row>
    <row r="1704" spans="13:13" x14ac:dyDescent="0.35">
      <c r="M1704" s="5"/>
    </row>
    <row r="1705" spans="13:13" x14ac:dyDescent="0.35">
      <c r="M1705" s="5"/>
    </row>
    <row r="1706" spans="13:13" x14ac:dyDescent="0.35">
      <c r="M1706" s="5"/>
    </row>
    <row r="1707" spans="13:13" x14ac:dyDescent="0.35">
      <c r="M1707" s="5"/>
    </row>
    <row r="1708" spans="13:13" x14ac:dyDescent="0.35">
      <c r="M1708" s="5"/>
    </row>
    <row r="1709" spans="13:13" x14ac:dyDescent="0.35">
      <c r="M1709" s="5"/>
    </row>
    <row r="1710" spans="13:13" x14ac:dyDescent="0.35">
      <c r="M1710" s="5"/>
    </row>
    <row r="1711" spans="13:13" x14ac:dyDescent="0.35">
      <c r="M1711" s="5"/>
    </row>
    <row r="1712" spans="13:13" x14ac:dyDescent="0.35">
      <c r="M1712" s="5"/>
    </row>
    <row r="1713" spans="13:13" x14ac:dyDescent="0.35">
      <c r="M1713" s="5"/>
    </row>
    <row r="1714" spans="13:13" x14ac:dyDescent="0.35">
      <c r="M1714" s="5"/>
    </row>
    <row r="1715" spans="13:13" x14ac:dyDescent="0.35">
      <c r="M1715" s="5"/>
    </row>
    <row r="1716" spans="13:13" x14ac:dyDescent="0.35">
      <c r="M1716" s="5"/>
    </row>
    <row r="1717" spans="13:13" x14ac:dyDescent="0.35">
      <c r="M1717" s="5"/>
    </row>
    <row r="1718" spans="13:13" x14ac:dyDescent="0.35">
      <c r="M1718" s="5"/>
    </row>
    <row r="1719" spans="13:13" x14ac:dyDescent="0.35">
      <c r="M1719" s="5"/>
    </row>
    <row r="1720" spans="13:13" x14ac:dyDescent="0.35">
      <c r="M1720" s="5"/>
    </row>
    <row r="1721" spans="13:13" x14ac:dyDescent="0.35">
      <c r="M1721" s="5"/>
    </row>
    <row r="1722" spans="13:13" x14ac:dyDescent="0.35">
      <c r="M1722" s="5"/>
    </row>
    <row r="1723" spans="13:13" x14ac:dyDescent="0.35">
      <c r="M1723" s="5"/>
    </row>
    <row r="1724" spans="13:13" x14ac:dyDescent="0.35">
      <c r="M1724" s="5"/>
    </row>
    <row r="1725" spans="13:13" x14ac:dyDescent="0.35">
      <c r="M1725" s="5"/>
    </row>
    <row r="1726" spans="13:13" x14ac:dyDescent="0.35">
      <c r="M1726" s="5"/>
    </row>
    <row r="1727" spans="13:13" x14ac:dyDescent="0.35">
      <c r="M1727" s="5"/>
    </row>
    <row r="1728" spans="13:13" x14ac:dyDescent="0.35">
      <c r="M1728" s="5"/>
    </row>
    <row r="1729" spans="13:13" x14ac:dyDescent="0.35">
      <c r="M1729" s="5"/>
    </row>
    <row r="1730" spans="13:13" x14ac:dyDescent="0.35">
      <c r="M1730" s="5"/>
    </row>
    <row r="1731" spans="13:13" x14ac:dyDescent="0.35">
      <c r="M1731" s="5"/>
    </row>
    <row r="1732" spans="13:13" x14ac:dyDescent="0.35">
      <c r="M1732" s="5"/>
    </row>
    <row r="1733" spans="13:13" x14ac:dyDescent="0.35">
      <c r="M1733" s="5"/>
    </row>
    <row r="1734" spans="13:13" x14ac:dyDescent="0.35">
      <c r="M1734" s="5"/>
    </row>
    <row r="1735" spans="13:13" x14ac:dyDescent="0.35">
      <c r="M1735" s="5"/>
    </row>
    <row r="1736" spans="13:13" x14ac:dyDescent="0.35">
      <c r="M1736" s="5"/>
    </row>
    <row r="1737" spans="13:13" x14ac:dyDescent="0.35">
      <c r="M1737" s="5"/>
    </row>
    <row r="1738" spans="13:13" x14ac:dyDescent="0.35">
      <c r="M1738" s="5"/>
    </row>
    <row r="1739" spans="13:13" x14ac:dyDescent="0.35">
      <c r="M1739" s="5"/>
    </row>
    <row r="1740" spans="13:13" x14ac:dyDescent="0.35">
      <c r="M1740" s="5"/>
    </row>
    <row r="1741" spans="13:13" x14ac:dyDescent="0.35">
      <c r="M1741" s="5"/>
    </row>
    <row r="1742" spans="13:13" x14ac:dyDescent="0.35">
      <c r="M1742" s="5"/>
    </row>
    <row r="1743" spans="13:13" x14ac:dyDescent="0.35">
      <c r="M1743" s="5"/>
    </row>
    <row r="1744" spans="13:13" x14ac:dyDescent="0.35">
      <c r="M1744" s="5"/>
    </row>
    <row r="1745" spans="13:13" x14ac:dyDescent="0.35">
      <c r="M1745" s="5"/>
    </row>
    <row r="1746" spans="13:13" x14ac:dyDescent="0.35">
      <c r="M1746" s="5"/>
    </row>
    <row r="1747" spans="13:13" x14ac:dyDescent="0.35">
      <c r="M1747" s="5"/>
    </row>
    <row r="1748" spans="13:13" x14ac:dyDescent="0.35">
      <c r="M1748" s="5"/>
    </row>
    <row r="1749" spans="13:13" x14ac:dyDescent="0.35">
      <c r="M1749" s="5"/>
    </row>
    <row r="1750" spans="13:13" x14ac:dyDescent="0.35">
      <c r="M1750" s="5"/>
    </row>
    <row r="1751" spans="13:13" x14ac:dyDescent="0.35">
      <c r="M1751" s="5"/>
    </row>
    <row r="1752" spans="13:13" x14ac:dyDescent="0.35">
      <c r="M1752" s="5"/>
    </row>
    <row r="1753" spans="13:13" x14ac:dyDescent="0.35">
      <c r="M1753" s="5"/>
    </row>
    <row r="1754" spans="13:13" x14ac:dyDescent="0.35">
      <c r="M1754" s="5"/>
    </row>
    <row r="1755" spans="13:13" x14ac:dyDescent="0.35">
      <c r="M1755" s="5"/>
    </row>
    <row r="1756" spans="13:13" x14ac:dyDescent="0.35">
      <c r="M1756" s="5"/>
    </row>
    <row r="1757" spans="13:13" x14ac:dyDescent="0.35">
      <c r="M1757" s="5"/>
    </row>
    <row r="1758" spans="13:13" x14ac:dyDescent="0.35">
      <c r="M1758" s="5"/>
    </row>
    <row r="1759" spans="13:13" x14ac:dyDescent="0.35">
      <c r="M1759" s="5"/>
    </row>
    <row r="1760" spans="13:13" x14ac:dyDescent="0.35">
      <c r="M1760" s="5"/>
    </row>
    <row r="1761" spans="13:13" x14ac:dyDescent="0.35">
      <c r="M1761" s="5"/>
    </row>
    <row r="1762" spans="13:13" x14ac:dyDescent="0.35">
      <c r="M1762" s="5"/>
    </row>
    <row r="1763" spans="13:13" x14ac:dyDescent="0.35">
      <c r="M1763" s="5"/>
    </row>
    <row r="1764" spans="13:13" x14ac:dyDescent="0.35">
      <c r="M1764" s="5"/>
    </row>
  </sheetData>
  <autoFilter ref="A1:BE920" xr:uid="{00000000-0009-0000-0000-000002000000}"/>
  <conditionalFormatting sqref="M1:M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GPX</vt:lpstr>
      <vt:lpstr>mdb_gps_points</vt:lpstr>
      <vt:lpstr>Comparison</vt:lpstr>
      <vt:lpstr>Sheet2</vt:lpstr>
      <vt:lpstr>Field_Data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best consultant</cp:lastModifiedBy>
  <dcterms:created xsi:type="dcterms:W3CDTF">2026-07-17T05:37:01Z</dcterms:created>
  <dcterms:modified xsi:type="dcterms:W3CDTF">2026-07-21T00:53:48Z</dcterms:modified>
</cp:coreProperties>
</file>