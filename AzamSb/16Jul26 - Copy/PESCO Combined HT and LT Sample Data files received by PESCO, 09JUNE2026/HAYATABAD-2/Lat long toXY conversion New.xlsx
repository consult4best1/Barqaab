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B9C267D2-CED0-490F-9275-FBA0F7C9D83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ingle Point Converter" sheetId="1" r:id="rId1"/>
    <sheet name="Batch Converter" sheetId="2" r:id="rId2"/>
    <sheet name="Hayatabad" sheetId="4" r:id="rId3"/>
    <sheet name="Formula Referen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 s="1"/>
  <c r="E4" i="4"/>
  <c r="F4" i="4" s="1"/>
  <c r="E5" i="4"/>
  <c r="F5" i="4"/>
  <c r="G5" i="4" s="1"/>
  <c r="E6" i="4"/>
  <c r="F6" i="4" s="1"/>
  <c r="E7" i="4"/>
  <c r="F7" i="4" s="1"/>
  <c r="E8" i="4"/>
  <c r="F8" i="4" s="1"/>
  <c r="E9" i="4"/>
  <c r="F9" i="4" s="1"/>
  <c r="G9" i="4" s="1"/>
  <c r="E10" i="4"/>
  <c r="F10" i="4" s="1"/>
  <c r="E11" i="4"/>
  <c r="F11" i="4" s="1"/>
  <c r="E12" i="4"/>
  <c r="F12" i="4" s="1"/>
  <c r="E13" i="4"/>
  <c r="F13" i="4"/>
  <c r="G13" i="4" s="1"/>
  <c r="E2" i="4"/>
  <c r="F2" i="4" s="1"/>
  <c r="H2" i="4" s="1"/>
  <c r="E14" i="2"/>
  <c r="F14" i="2" s="1"/>
  <c r="G14" i="2" s="1"/>
  <c r="E13" i="2"/>
  <c r="F13" i="2" s="1"/>
  <c r="E12" i="2"/>
  <c r="E11" i="2"/>
  <c r="E10" i="2"/>
  <c r="F10" i="2" s="1"/>
  <c r="E9" i="2"/>
  <c r="E8" i="2"/>
  <c r="F8" i="2" s="1"/>
  <c r="F7" i="2"/>
  <c r="G7" i="2" s="1"/>
  <c r="E7" i="2"/>
  <c r="E6" i="2"/>
  <c r="E5" i="2"/>
  <c r="F5" i="2" s="1"/>
  <c r="C23" i="1"/>
  <c r="C21" i="1"/>
  <c r="D21" i="1" s="1"/>
  <c r="C17" i="1"/>
  <c r="C11" i="1"/>
  <c r="C12" i="1" s="1"/>
  <c r="C22" i="1" s="1"/>
  <c r="G12" i="4" l="1"/>
  <c r="H12" i="4"/>
  <c r="G11" i="4"/>
  <c r="H11" i="4"/>
  <c r="H8" i="4"/>
  <c r="G8" i="4"/>
  <c r="G10" i="4"/>
  <c r="H10" i="4"/>
  <c r="H7" i="4"/>
  <c r="G7" i="4"/>
  <c r="H4" i="4"/>
  <c r="G4" i="4"/>
  <c r="I13" i="4"/>
  <c r="G6" i="4"/>
  <c r="H6" i="4"/>
  <c r="I6" i="4" s="1"/>
  <c r="G3" i="4"/>
  <c r="I3" i="4" s="1"/>
  <c r="H3" i="4"/>
  <c r="H13" i="4"/>
  <c r="H9" i="4"/>
  <c r="I9" i="4" s="1"/>
  <c r="H5" i="4"/>
  <c r="I5" i="4" s="1"/>
  <c r="G2" i="4"/>
  <c r="I2" i="4" s="1"/>
  <c r="C25" i="1"/>
  <c r="D25" i="1" s="1"/>
  <c r="C28" i="1"/>
  <c r="D28" i="1" s="1"/>
  <c r="D22" i="1"/>
  <c r="G8" i="2"/>
  <c r="H8" i="2"/>
  <c r="G10" i="2"/>
  <c r="H10" i="2"/>
  <c r="H5" i="2"/>
  <c r="G5" i="2"/>
  <c r="H13" i="2"/>
  <c r="G13" i="2"/>
  <c r="F11" i="2"/>
  <c r="C26" i="1"/>
  <c r="D26" i="1" s="1"/>
  <c r="F12" i="2"/>
  <c r="D23" i="1"/>
  <c r="H7" i="2"/>
  <c r="I7" i="2" s="1"/>
  <c r="F9" i="2"/>
  <c r="C24" i="1"/>
  <c r="C29" i="1"/>
  <c r="H14" i="2"/>
  <c r="I14" i="2" s="1"/>
  <c r="F6" i="2"/>
  <c r="I12" i="4" l="1"/>
  <c r="I4" i="4"/>
  <c r="I10" i="4"/>
  <c r="I11" i="4"/>
  <c r="I7" i="4"/>
  <c r="I8" i="4"/>
  <c r="I13" i="2"/>
  <c r="I5" i="2"/>
  <c r="H6" i="2"/>
  <c r="G6" i="2"/>
  <c r="H12" i="2"/>
  <c r="G12" i="2"/>
  <c r="H9" i="2"/>
  <c r="G9" i="2"/>
  <c r="I10" i="2"/>
  <c r="D29" i="1"/>
  <c r="H11" i="2"/>
  <c r="G11" i="2"/>
  <c r="I11" i="2" s="1"/>
  <c r="I8" i="2"/>
  <c r="C27" i="1"/>
  <c r="D27" i="1" s="1"/>
  <c r="D24" i="1"/>
  <c r="C33" i="1" l="1"/>
  <c r="D33" i="1" s="1"/>
  <c r="I9" i="2"/>
  <c r="C34" i="1"/>
  <c r="D34" i="1" s="1"/>
  <c r="I12" i="2"/>
  <c r="I6" i="2"/>
  <c r="E34" i="1" l="1"/>
  <c r="E33" i="1"/>
</calcChain>
</file>

<file path=xl/sharedStrings.xml><?xml version="1.0" encoding="utf-8"?>
<sst xmlns="http://schemas.openxmlformats.org/spreadsheetml/2006/main" count="183" uniqueCount="143">
  <si>
    <t>Coordinate Converter: Latitude/Longitude to UTM (X, Y)</t>
  </si>
  <si>
    <t>Automated WGS84 Transverse Mercator Projection Model</t>
  </si>
  <si>
    <t>1. Input Geographic Coordinates (WGS84)</t>
  </si>
  <si>
    <t>Parameter</t>
  </si>
  <si>
    <t>Value</t>
  </si>
  <si>
    <t>Unit / Format</t>
  </si>
  <si>
    <t>Description</t>
  </si>
  <si>
    <t>Latitude (φ)</t>
  </si>
  <si>
    <t>Decimal Degrees (°N)</t>
  </si>
  <si>
    <t>Northern hemisphere positive</t>
  </si>
  <si>
    <t>Longitude (λ)</t>
  </si>
  <si>
    <t>Decimal Degrees (°E)</t>
  </si>
  <si>
    <t>Eastern hemisphere positive</t>
  </si>
  <si>
    <t>2. UTM Zone Identification &amp; Ellipsoid Constants</t>
  </si>
  <si>
    <t>Calculated Formula / Value</t>
  </si>
  <si>
    <t>Unit</t>
  </si>
  <si>
    <t>Notes</t>
  </si>
  <si>
    <t>UTM Zone</t>
  </si>
  <si>
    <t>Zone Number</t>
  </si>
  <si>
    <t>Automated zone detection</t>
  </si>
  <si>
    <t>Central Meridian (λ0)</t>
  </si>
  <si>
    <t>Degrees (°)</t>
  </si>
  <si>
    <t>Center meridian of zone</t>
  </si>
  <si>
    <t>Semi-Major Axis (a)</t>
  </si>
  <si>
    <t>Meters (m)</t>
  </si>
  <si>
    <t>WGS 84 ellipsoid radius</t>
  </si>
  <si>
    <t>Flattening (f)</t>
  </si>
  <si>
    <t>Ratio (1/298.257223563)</t>
  </si>
  <si>
    <t>WGS 84 flattening</t>
  </si>
  <si>
    <t>Scale Factor (k0)</t>
  </si>
  <si>
    <t>Constant</t>
  </si>
  <si>
    <t>Standard UTM scale factor</t>
  </si>
  <si>
    <t>False Easting (FE)</t>
  </si>
  <si>
    <t>Grid origin offset</t>
  </si>
  <si>
    <t>False Northing (FN)</t>
  </si>
  <si>
    <t>0 for North, 10,000,000 for South</t>
  </si>
  <si>
    <t>3. Intermediate Projection Terms</t>
  </si>
  <si>
    <t>Term</t>
  </si>
  <si>
    <t>Excel Formula</t>
  </si>
  <si>
    <t>Result</t>
  </si>
  <si>
    <t>Latitude φ (Rad)</t>
  </si>
  <si>
    <t>Latitude in radians</t>
  </si>
  <si>
    <t>Delta Longitude Δλ (Rad)</t>
  </si>
  <si>
    <t>Longitude offset from Central Meridian</t>
  </si>
  <si>
    <t>Eccentricity Squared (e²)</t>
  </si>
  <si>
    <t>First eccentricity squared (0.00669438)</t>
  </si>
  <si>
    <t>Second Eccentricity (e'²)</t>
  </si>
  <si>
    <t>Second eccentricity squared (0.00673950)</t>
  </si>
  <si>
    <t>Curvature Radius (N)</t>
  </si>
  <si>
    <t>Radius of curvature in prime vertical</t>
  </si>
  <si>
    <t>Helper Term (T)</t>
  </si>
  <si>
    <t>tan²(φ)</t>
  </si>
  <si>
    <t>Helper Term (C)</t>
  </si>
  <si>
    <t>e'² ⋅ cos²(φ)</t>
  </si>
  <si>
    <t>Helper Term (A)</t>
  </si>
  <si>
    <t>Δλ ⋅ cos(φ)</t>
  </si>
  <si>
    <t>Meridional Distance (M)</t>
  </si>
  <si>
    <t>Arc length from equator to latitude φ</t>
  </si>
  <si>
    <t>4. Final Output: Grid Coordinates (X &amp; Y)</t>
  </si>
  <si>
    <t>Coordinate</t>
  </si>
  <si>
    <t>Calculated Value</t>
  </si>
  <si>
    <t>Formatted String</t>
  </si>
  <si>
    <t>X (Easting)</t>
  </si>
  <si>
    <t>Y (Northing)</t>
  </si>
  <si>
    <t>Multi-Point Batch Conversion Table</t>
  </si>
  <si>
    <t>Automated conversion table for multiple Latitude &amp; Longitude pairs</t>
  </si>
  <si>
    <t>Point ID</t>
  </si>
  <si>
    <t>Location / Description</t>
  </si>
  <si>
    <t>Latitude (°N)</t>
  </si>
  <si>
    <t>Longitude (°E)</t>
  </si>
  <si>
    <t>Central Mer.</t>
  </si>
  <si>
    <t>X (Easting) [m]</t>
  </si>
  <si>
    <t>Y (Northing) [m]</t>
  </si>
  <si>
    <t>Grid Ref (Zone + X/Y)</t>
  </si>
  <si>
    <t>P-01</t>
  </si>
  <si>
    <t>Peshawar / Khyber Pass (User Sample)</t>
  </si>
  <si>
    <t>P-02</t>
  </si>
  <si>
    <t>Islamabad Federal Area</t>
  </si>
  <si>
    <t>P-03</t>
  </si>
  <si>
    <t>Lahore Grid Hub</t>
  </si>
  <si>
    <t>P-04</t>
  </si>
  <si>
    <t>Karachi Port / Coast</t>
  </si>
  <si>
    <t>P-05</t>
  </si>
  <si>
    <t>Quetta Valley Station</t>
  </si>
  <si>
    <t>P-06</t>
  </si>
  <si>
    <t>Gwadar Deepwater Port</t>
  </si>
  <si>
    <t>P-07</t>
  </si>
  <si>
    <t>Multan Substation Site</t>
  </si>
  <si>
    <t>P-08</t>
  </si>
  <si>
    <t>Faisalabad Industrial Area</t>
  </si>
  <si>
    <t>P-09</t>
  </si>
  <si>
    <t>Hyderabad Node</t>
  </si>
  <si>
    <t>P-10</t>
  </si>
  <si>
    <t>Gilgit Northern Grid</t>
  </si>
  <si>
    <t>Transverse Mercator Formula &amp; Parameter Guide</t>
  </si>
  <si>
    <t>Technical specifications for WGS84 coordinate transformation to UTM grid</t>
  </si>
  <si>
    <t>1. Key Constants (WGS 84 Datum)</t>
  </si>
  <si>
    <t>Symbol</t>
  </si>
  <si>
    <t>Description / Formula</t>
  </si>
  <si>
    <t>Semi-major axis</t>
  </si>
  <si>
    <t>a</t>
  </si>
  <si>
    <t>6,378,137.0 m</t>
  </si>
  <si>
    <t>Equatorial radius of WGS 84 ellipsoid</t>
  </si>
  <si>
    <t>Flattening</t>
  </si>
  <si>
    <t>f</t>
  </si>
  <si>
    <t>1 / 298.257223563</t>
  </si>
  <si>
    <t>Ellipsoid flattening factor</t>
  </si>
  <si>
    <t>First Eccentricity Sq.</t>
  </si>
  <si>
    <t>e²</t>
  </si>
  <si>
    <t>2f - f² ≈ 0.00669438</t>
  </si>
  <si>
    <t>Primary eccentricity parameter</t>
  </si>
  <si>
    <t>Second Eccentricity Sq.</t>
  </si>
  <si>
    <t>e'²</t>
  </si>
  <si>
    <t>e² / (1 - e²) ≈ 0.00673950</t>
  </si>
  <si>
    <t>Secondary eccentricity parameter</t>
  </si>
  <si>
    <t>Scale Factor</t>
  </si>
  <si>
    <t>k0</t>
  </si>
  <si>
    <t>0.9996</t>
  </si>
  <si>
    <t>Central meridian scale factor</t>
  </si>
  <si>
    <t>False Easting</t>
  </si>
  <si>
    <t>FE</t>
  </si>
  <si>
    <t>500,000 m</t>
  </si>
  <si>
    <t>Offset added to X to ensure positive values</t>
  </si>
  <si>
    <t>False Northing</t>
  </si>
  <si>
    <t>FN</t>
  </si>
  <si>
    <t>0 m (N) / 10,000,000 m (S)</t>
  </si>
  <si>
    <t>Offset added to Y for Southern Hemisphere</t>
  </si>
  <si>
    <t>2. Mathematical Equations Summary</t>
  </si>
  <si>
    <t>Step / Component</t>
  </si>
  <si>
    <t>Mathematical Expression</t>
  </si>
  <si>
    <t>UTM Zone Determination</t>
  </si>
  <si>
    <t>Zone = FLOOR((Lon + 180) / 6) + 1</t>
  </si>
  <si>
    <t>λ0 = (Zone × 6) - 183°</t>
  </si>
  <si>
    <t>Delta Longitude (A)</t>
  </si>
  <si>
    <t>A = (λ - λ0) × cos(φ)   [in radians]</t>
  </si>
  <si>
    <t>Prime Vertical Radius (N)</t>
  </si>
  <si>
    <t>N = a / √(1 - e² ⋅ sin²(φ))</t>
  </si>
  <si>
    <t>Easting (X) Equation</t>
  </si>
  <si>
    <t>X = FE + k0 ⋅ N ⋅ [ A + (1 - T + C)(A³/6) + (5 - 18T + T² + 72C - 58e'²)(A⁵/120) ]</t>
  </si>
  <si>
    <t>Northing (Y) Equation</t>
  </si>
  <si>
    <t>Y = FN + k0 ⋅ [ S + N ⋅ tan(φ) ⋅ ( A²/2 + (5 - T + 9C + 4C²)(A⁴/24) + (61 - 58T + T² + 600C - 330e'²)(A⁶/720) ) ]</t>
  </si>
  <si>
    <t>P-11</t>
  </si>
  <si>
    <t>P-12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</si>
</sst>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0"/>
    <numFmt numFmtId="166" formatCode="0.0000"/>
  </numFmts>
  <fonts count="11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1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333333"/>
      <name val="Consolas"/>
      <family val="3"/>
    </font>
    <font>
      <b/>
      <sz val="12"/>
      <name val="Calibri"/>
      <family val="2"/>
    </font>
    <font>
      <b/>
      <sz val="12"/>
      <color rgb="FF1F497D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  <xf numFmtId="0" fontId="2" fillId="0" borderId="2" xfId="0" applyFont="1" applyBorder="1"/>
    <xf numFmtId="0" fontId="5" fillId="0" borderId="2" xfId="0" applyFont="1" applyBorder="1" applyAlignment="1">
      <alignment horizontal="right"/>
    </xf>
    <xf numFmtId="4" fontId="5" fillId="0" borderId="2" xfId="0" applyNumberFormat="1" applyFont="1" applyBorder="1" applyAlignment="1">
      <alignment horizontal="right"/>
    </xf>
    <xf numFmtId="165" fontId="5" fillId="0" borderId="2" xfId="0" applyNumberFormat="1" applyFont="1" applyBorder="1" applyAlignment="1">
      <alignment horizontal="right"/>
    </xf>
    <xf numFmtId="166" fontId="5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8" fillId="0" borderId="2" xfId="0" applyFont="1" applyBorder="1"/>
    <xf numFmtId="4" fontId="9" fillId="3" borderId="2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164" fontId="0" fillId="4" borderId="2" xfId="0" applyNumberFormat="1" applyFill="1" applyBorder="1" applyAlignment="1">
      <alignment horizontal="right"/>
    </xf>
    <xf numFmtId="4" fontId="5" fillId="3" borderId="2" xfId="0" applyNumberFormat="1" applyFont="1" applyFill="1" applyBorder="1" applyAlignment="1">
      <alignment horizontal="right"/>
    </xf>
    <xf numFmtId="0" fontId="6" fillId="4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4" fillId="2" borderId="0" xfId="0" applyFont="1" applyFill="1"/>
    <xf numFmtId="0" fontId="3" fillId="0" borderId="0" xfId="0" applyFont="1"/>
    <xf numFmtId="0" fontId="0" fillId="0" borderId="0" xfId="0"/>
    <xf numFmtId="0" fontId="4" fillId="2" borderId="0" xfId="0" applyFont="1" applyFill="1"/>
    <xf numFmtId="0" fontId="7" fillId="0" borderId="2" xfId="0" applyFont="1" applyBorder="1"/>
    <xf numFmtId="0" fontId="0" fillId="0" borderId="2" xfId="0" applyBorder="1"/>
    <xf numFmtId="0" fontId="5" fillId="0" borderId="2" xfId="0" applyFont="1" applyFill="1" applyBorder="1" applyAlignment="1">
      <alignment horizontal="right"/>
    </xf>
    <xf numFmtId="0" fontId="0" fillId="5" borderId="3" xfId="0" applyFill="1" applyBorder="1"/>
    <xf numFmtId="0" fontId="0" fillId="6" borderId="3" xfId="0" applyFill="1" applyBorder="1"/>
    <xf numFmtId="1" fontId="7" fillId="0" borderId="2" xfId="0" applyNumberFormat="1" applyFont="1" applyBorder="1"/>
    <xf numFmtId="3" fontId="5" fillId="3" borderId="2" xfId="0" applyNumberFormat="1" applyFont="1" applyFill="1" applyBorder="1" applyAlignment="1">
      <alignment horizontal="right"/>
    </xf>
    <xf numFmtId="0" fontId="0" fillId="0" borderId="3" xfId="0" applyFill="1" applyBorder="1"/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6" fillId="0" borderId="5" xfId="0" applyFont="1" applyBorder="1"/>
    <xf numFmtId="3" fontId="5" fillId="3" borderId="6" xfId="0" applyNumberFormat="1" applyFont="1" applyFill="1" applyBorder="1" applyAlignment="1">
      <alignment horizontal="right"/>
    </xf>
    <xf numFmtId="3" fontId="5" fillId="3" borderId="0" xfId="0" applyNumberFormat="1" applyFont="1" applyFill="1" applyBorder="1" applyAlignment="1">
      <alignment horizontal="right"/>
    </xf>
    <xf numFmtId="0" fontId="0" fillId="0" borderId="4" xfId="0" applyBorder="1" applyAlignment="1">
      <alignment horizontal="center"/>
    </xf>
    <xf numFmtId="3" fontId="5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20" workbookViewId="0">
      <selection activeCell="C36" sqref="C36"/>
    </sheetView>
  </sheetViews>
  <sheetFormatPr defaultRowHeight="14.5" x14ac:dyDescent="0.35"/>
  <cols>
    <col min="1" max="1" width="3" customWidth="1"/>
    <col min="2" max="2" width="32" customWidth="1"/>
    <col min="3" max="3" width="45" customWidth="1"/>
    <col min="4" max="4" width="22" customWidth="1"/>
    <col min="5" max="5" width="40" customWidth="1"/>
  </cols>
  <sheetData>
    <row r="1" spans="1:5" ht="21" x14ac:dyDescent="0.5">
      <c r="A1" s="1" t="s">
        <v>0</v>
      </c>
    </row>
    <row r="2" spans="1:5" x14ac:dyDescent="0.35">
      <c r="A2" s="2" t="s">
        <v>1</v>
      </c>
    </row>
    <row r="4" spans="1:5" x14ac:dyDescent="0.35">
      <c r="B4" s="25" t="s">
        <v>2</v>
      </c>
      <c r="C4" s="26"/>
      <c r="D4" s="26"/>
      <c r="E4" s="26"/>
    </row>
    <row r="5" spans="1:5" x14ac:dyDescent="0.35">
      <c r="B5" s="4" t="s">
        <v>3</v>
      </c>
      <c r="C5" s="4" t="s">
        <v>4</v>
      </c>
      <c r="D5" s="4" t="s">
        <v>5</v>
      </c>
      <c r="E5" s="4" t="s">
        <v>6</v>
      </c>
    </row>
    <row r="6" spans="1:5" x14ac:dyDescent="0.35">
      <c r="B6" s="5" t="s">
        <v>7</v>
      </c>
      <c r="C6" s="31">
        <v>33.996749999999999</v>
      </c>
      <c r="D6" s="6" t="s">
        <v>8</v>
      </c>
      <c r="E6" s="7" t="s">
        <v>9</v>
      </c>
    </row>
    <row r="7" spans="1:5" x14ac:dyDescent="0.35">
      <c r="B7" s="5" t="s">
        <v>10</v>
      </c>
      <c r="C7" s="32">
        <v>71.440866</v>
      </c>
      <c r="D7" s="6" t="s">
        <v>11</v>
      </c>
      <c r="E7" s="7" t="s">
        <v>12</v>
      </c>
    </row>
    <row r="9" spans="1:5" x14ac:dyDescent="0.35">
      <c r="B9" s="25" t="s">
        <v>13</v>
      </c>
      <c r="C9" s="26"/>
      <c r="D9" s="26"/>
      <c r="E9" s="26"/>
    </row>
    <row r="10" spans="1:5" x14ac:dyDescent="0.35">
      <c r="B10" s="4" t="s">
        <v>3</v>
      </c>
      <c r="C10" s="4" t="s">
        <v>14</v>
      </c>
      <c r="D10" s="4" t="s">
        <v>15</v>
      </c>
      <c r="E10" s="4" t="s">
        <v>16</v>
      </c>
    </row>
    <row r="11" spans="1:5" x14ac:dyDescent="0.35">
      <c r="B11" s="6" t="s">
        <v>17</v>
      </c>
      <c r="C11" s="30">
        <f>INT((C7+180)/6)+1</f>
        <v>42</v>
      </c>
      <c r="D11" s="6" t="s">
        <v>18</v>
      </c>
      <c r="E11" s="7" t="s">
        <v>19</v>
      </c>
    </row>
    <row r="12" spans="1:5" x14ac:dyDescent="0.35">
      <c r="B12" s="6" t="s">
        <v>20</v>
      </c>
      <c r="C12" s="30">
        <f>(C11*6)-183</f>
        <v>69</v>
      </c>
      <c r="D12" s="6" t="s">
        <v>21</v>
      </c>
      <c r="E12" s="7" t="s">
        <v>22</v>
      </c>
    </row>
    <row r="13" spans="1:5" x14ac:dyDescent="0.35">
      <c r="B13" s="6" t="s">
        <v>23</v>
      </c>
      <c r="C13" s="9">
        <v>6378137</v>
      </c>
      <c r="D13" s="6" t="s">
        <v>24</v>
      </c>
      <c r="E13" s="7" t="s">
        <v>25</v>
      </c>
    </row>
    <row r="14" spans="1:5" x14ac:dyDescent="0.35">
      <c r="B14" s="6" t="s">
        <v>26</v>
      </c>
      <c r="C14" s="10">
        <v>3.3528106647474801E-3</v>
      </c>
      <c r="D14" s="6" t="s">
        <v>27</v>
      </c>
      <c r="E14" s="7" t="s">
        <v>28</v>
      </c>
    </row>
    <row r="15" spans="1:5" x14ac:dyDescent="0.35">
      <c r="B15" s="6" t="s">
        <v>29</v>
      </c>
      <c r="C15" s="11">
        <v>0.99960000000000004</v>
      </c>
      <c r="D15" s="6" t="s">
        <v>30</v>
      </c>
      <c r="E15" s="7" t="s">
        <v>31</v>
      </c>
    </row>
    <row r="16" spans="1:5" x14ac:dyDescent="0.35">
      <c r="B16" s="6" t="s">
        <v>32</v>
      </c>
      <c r="C16" s="9">
        <v>500000</v>
      </c>
      <c r="D16" s="6" t="s">
        <v>24</v>
      </c>
      <c r="E16" s="7" t="s">
        <v>33</v>
      </c>
    </row>
    <row r="17" spans="2:5" x14ac:dyDescent="0.35">
      <c r="B17" s="6" t="s">
        <v>34</v>
      </c>
      <c r="C17" s="8">
        <f>IF(C6&gt;=0, 0, 10000000)</f>
        <v>0</v>
      </c>
      <c r="D17" s="6" t="s">
        <v>24</v>
      </c>
      <c r="E17" s="7" t="s">
        <v>35</v>
      </c>
    </row>
    <row r="19" spans="2:5" x14ac:dyDescent="0.35">
      <c r="B19" s="25" t="s">
        <v>36</v>
      </c>
      <c r="C19" s="26"/>
      <c r="D19" s="26"/>
      <c r="E19" s="26"/>
    </row>
    <row r="20" spans="2:5" x14ac:dyDescent="0.35">
      <c r="B20" s="4" t="s">
        <v>37</v>
      </c>
      <c r="C20" s="4" t="s">
        <v>38</v>
      </c>
      <c r="D20" s="4" t="s">
        <v>39</v>
      </c>
      <c r="E20" s="4" t="s">
        <v>6</v>
      </c>
    </row>
    <row r="21" spans="2:5" x14ac:dyDescent="0.35">
      <c r="B21" s="6" t="s">
        <v>40</v>
      </c>
      <c r="C21" s="12">
        <f>RADIANS(C6)</f>
        <v>0.59335522247738226</v>
      </c>
      <c r="D21" s="8">
        <f t="shared" ref="D21:D29" si="0">C21</f>
        <v>0.59335522247738226</v>
      </c>
      <c r="E21" s="7" t="s">
        <v>41</v>
      </c>
    </row>
    <row r="22" spans="2:5" x14ac:dyDescent="0.35">
      <c r="B22" s="6" t="s">
        <v>42</v>
      </c>
      <c r="C22" s="12">
        <f>RADIANS(C7-C12)</f>
        <v>4.2601148299983904E-2</v>
      </c>
      <c r="D22" s="8">
        <f t="shared" si="0"/>
        <v>4.2601148299983904E-2</v>
      </c>
      <c r="E22" s="7" t="s">
        <v>43</v>
      </c>
    </row>
    <row r="23" spans="2:5" x14ac:dyDescent="0.35">
      <c r="B23" s="6" t="s">
        <v>44</v>
      </c>
      <c r="C23" s="12">
        <f>2*C14 - C14^2</f>
        <v>6.6943799901413156E-3</v>
      </c>
      <c r="D23" s="8">
        <f t="shared" si="0"/>
        <v>6.6943799901413156E-3</v>
      </c>
      <c r="E23" s="7" t="s">
        <v>45</v>
      </c>
    </row>
    <row r="24" spans="2:5" x14ac:dyDescent="0.35">
      <c r="B24" s="6" t="s">
        <v>46</v>
      </c>
      <c r="C24" s="12">
        <f>C23/(1-C23)</f>
        <v>6.7394967422764332E-3</v>
      </c>
      <c r="D24" s="8">
        <f t="shared" si="0"/>
        <v>6.7394967422764332E-3</v>
      </c>
      <c r="E24" s="7" t="s">
        <v>47</v>
      </c>
    </row>
    <row r="25" spans="2:5" x14ac:dyDescent="0.35">
      <c r="B25" s="6" t="s">
        <v>48</v>
      </c>
      <c r="C25" s="12">
        <f>C13/SQRT(1-C23*(SIN(C21)^2))</f>
        <v>6384822.083510628</v>
      </c>
      <c r="D25" s="8">
        <f t="shared" si="0"/>
        <v>6384822.083510628</v>
      </c>
      <c r="E25" s="7" t="s">
        <v>49</v>
      </c>
    </row>
    <row r="26" spans="2:5" x14ac:dyDescent="0.35">
      <c r="B26" s="6" t="s">
        <v>50</v>
      </c>
      <c r="C26" s="12">
        <f>TAN(C21)^2</f>
        <v>0.45485041587027547</v>
      </c>
      <c r="D26" s="8">
        <f t="shared" si="0"/>
        <v>0.45485041587027547</v>
      </c>
      <c r="E26" s="7" t="s">
        <v>51</v>
      </c>
    </row>
    <row r="27" spans="2:5" x14ac:dyDescent="0.35">
      <c r="B27" s="6" t="s">
        <v>52</v>
      </c>
      <c r="C27" s="12">
        <f>C24*(COS(C21)^2)</f>
        <v>4.6324327702411535E-3</v>
      </c>
      <c r="D27" s="8">
        <f t="shared" si="0"/>
        <v>4.6324327702411535E-3</v>
      </c>
      <c r="E27" s="7" t="s">
        <v>53</v>
      </c>
    </row>
    <row r="28" spans="2:5" x14ac:dyDescent="0.35">
      <c r="B28" s="6" t="s">
        <v>54</v>
      </c>
      <c r="C28" s="12">
        <f>C22*COS(C21)</f>
        <v>3.5319303792681174E-2</v>
      </c>
      <c r="D28" s="8">
        <f t="shared" si="0"/>
        <v>3.5319303792681174E-2</v>
      </c>
      <c r="E28" s="7" t="s">
        <v>55</v>
      </c>
    </row>
    <row r="29" spans="2:5" x14ac:dyDescent="0.35">
      <c r="B29" s="6" t="s">
        <v>56</v>
      </c>
      <c r="C29" s="12">
        <f>C13*(0.9983242984*C21 - 0.002514607*SIN(2*C21) + 0.000002639*SIN(4*C21) - 0.000000003*SIN(6*C21))</f>
        <v>3763300.9434380489</v>
      </c>
      <c r="D29" s="8">
        <f t="shared" si="0"/>
        <v>3763300.9434380489</v>
      </c>
      <c r="E29" s="7" t="s">
        <v>57</v>
      </c>
    </row>
    <row r="31" spans="2:5" x14ac:dyDescent="0.35">
      <c r="B31" s="25" t="s">
        <v>58</v>
      </c>
      <c r="C31" s="26"/>
      <c r="D31" s="26"/>
      <c r="E31" s="26"/>
    </row>
    <row r="32" spans="2:5" x14ac:dyDescent="0.35">
      <c r="B32" s="4" t="s">
        <v>59</v>
      </c>
      <c r="C32" s="4" t="s">
        <v>38</v>
      </c>
      <c r="D32" s="4" t="s">
        <v>60</v>
      </c>
      <c r="E32" s="4" t="s">
        <v>61</v>
      </c>
    </row>
    <row r="33" spans="2:5" ht="15.5" x14ac:dyDescent="0.35">
      <c r="B33" s="13" t="s">
        <v>62</v>
      </c>
      <c r="C33" s="33">
        <f>C16 + C15*C25*(C28 + (1-C26+C27)*(C28^3)/6 + (5-18*C26+C26^2+72*C27-58*C24)*(C28^5)/120)</f>
        <v>725443.02518260828</v>
      </c>
      <c r="D33" s="14">
        <f>C33</f>
        <v>725443.02518260828</v>
      </c>
      <c r="E33" s="5" t="str">
        <f>TEXT(C33,"#,##0.00") &amp; " m E"</f>
        <v>725,443.03 m E</v>
      </c>
    </row>
    <row r="34" spans="2:5" ht="15.5" x14ac:dyDescent="0.35">
      <c r="B34" s="13" t="s">
        <v>63</v>
      </c>
      <c r="C34" s="33">
        <f>C17 + C15*(C29 + C25*TAN(C21)*((C28^2)/2 + (5-C26+9*C27+4*(C27^2))*(C28^4)/24 + (61-58*C26+C26^2+600*C27-330*C24)*(C28^6)/720))</f>
        <v>3764481.6522049154</v>
      </c>
      <c r="D34" s="14">
        <f>C34</f>
        <v>3764481.6522049154</v>
      </c>
      <c r="E34" s="5" t="str">
        <f>TEXT(C34,"#,##0.00") &amp; " m N"</f>
        <v>3,764,481.65 m N</v>
      </c>
    </row>
  </sheetData>
  <mergeCells count="4">
    <mergeCell ref="B31:E31"/>
    <mergeCell ref="B9:E9"/>
    <mergeCell ref="B19:E19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"/>
  <sheetViews>
    <sheetView topLeftCell="B4" workbookViewId="0">
      <selection activeCell="H6" sqref="H6"/>
    </sheetView>
  </sheetViews>
  <sheetFormatPr defaultRowHeight="14.5" x14ac:dyDescent="0.35"/>
  <cols>
    <col min="1" max="1" width="12" customWidth="1"/>
    <col min="2" max="2" width="32" customWidth="1"/>
    <col min="3" max="4" width="16" customWidth="1"/>
    <col min="5" max="5" width="12" customWidth="1"/>
    <col min="6" max="6" width="14" customWidth="1"/>
    <col min="7" max="8" width="18" customWidth="1"/>
    <col min="9" max="9" width="35" customWidth="1"/>
  </cols>
  <sheetData>
    <row r="1" spans="1:9" ht="21" x14ac:dyDescent="0.5">
      <c r="A1" s="1" t="s">
        <v>64</v>
      </c>
    </row>
    <row r="2" spans="1:9" x14ac:dyDescent="0.35">
      <c r="A2" s="2" t="s">
        <v>65</v>
      </c>
    </row>
    <row r="4" spans="1:9" x14ac:dyDescent="0.35">
      <c r="A4" s="15" t="s">
        <v>66</v>
      </c>
      <c r="B4" s="15" t="s">
        <v>67</v>
      </c>
      <c r="C4" s="15" t="s">
        <v>68</v>
      </c>
      <c r="D4" s="15" t="s">
        <v>69</v>
      </c>
      <c r="E4" s="15" t="s">
        <v>17</v>
      </c>
      <c r="F4" s="15" t="s">
        <v>70</v>
      </c>
      <c r="G4" s="15" t="s">
        <v>71</v>
      </c>
      <c r="H4" s="15" t="s">
        <v>72</v>
      </c>
      <c r="I4" s="15" t="s">
        <v>73</v>
      </c>
    </row>
    <row r="5" spans="1:9" x14ac:dyDescent="0.35">
      <c r="A5" s="16" t="s">
        <v>74</v>
      </c>
      <c r="B5" s="17" t="s">
        <v>75</v>
      </c>
      <c r="C5" s="18">
        <v>33.996805000000002</v>
      </c>
      <c r="D5" s="18">
        <v>71.440115000000006</v>
      </c>
      <c r="E5" s="16">
        <f t="shared" ref="E5:E14" si="0">INT((D5+180)/6)+1</f>
        <v>42</v>
      </c>
      <c r="F5" s="16">
        <f t="shared" ref="F5:F14" si="1">(E5*6)-183</f>
        <v>69</v>
      </c>
      <c r="G5" s="34">
        <f t="shared" ref="G5:G14" si="2">500000 + 0.9996 * (6378137/SQRT(1-0.00669438*(SIN(RADIANS(C5))^2))) * ((RADIANS(D5-F5)*COS(RADIANS(C5))) + (1 - TAN(RADIANS(C5))^2 + 0.0067395*(COS(RADIANS(C5))^2)) * ((RADIANS(D5-F5)*COS(RADIANS(C5)))^3)/6 + (5 - 18*TAN(RADIANS(C5))^2 + TAN(RADIANS(C5))^4 + 72*0.0067395*(COS(RADIANS(C5))^2) - 58*0.0067395) * ((RADIANS(D5-F5)*COS(RADIANS(C5)))^5)/120)</f>
        <v>725373.50020119664</v>
      </c>
      <c r="H5" s="34">
        <f t="shared" ref="H5:H14" si="3">0.9996 * ((6378137*(0.9983242984*RADIANS(C5) - 0.002514607*SIN(2*RADIANS(C5)) + 0.000002639*SIN(4*RADIANS(C5)) - 0.000000003*SIN(6*RADIANS(C5)))) + (6378137/SQRT(1-0.00669438*(SIN(RADIANS(C5))^2))) * TAN(RADIANS(C5)) * (((RADIANS(D5-F5)*COS(RADIANS(C5)))^2)/2 + (5 - TAN(RADIANS(C5))^2 + 9*0.0067395*(COS(RADIANS(C5))^2) + 4*(0.0067395*(COS(RADIANS(C5))^2))^2) * ((RADIANS(D5-F5)*COS(RADIANS(C5)))^4)/24 + (61 - 58*TAN(RADIANS(C5))^2 + TAN(RADIANS(C5))^4 + 600*0.0067395*(COS(RADIANS(C5))^2) - 330*0.0067395) * ((RADIANS(D5-F5)*COS(RADIANS(C5)))^6)/720))</f>
        <v>3764486.0991854998</v>
      </c>
      <c r="I5" s="20" t="str">
        <f t="shared" ref="I5:I14" si="4">"UTM Zone " &amp; E5 &amp; "N / " &amp; TEXT(G5,"#,##0") &amp; "E, " &amp; TEXT(H5,"#,##0") &amp; "N"</f>
        <v>UTM Zone 42N / 725,374E, 3,764,486N</v>
      </c>
    </row>
    <row r="6" spans="1:9" x14ac:dyDescent="0.35">
      <c r="A6" s="21" t="s">
        <v>76</v>
      </c>
      <c r="B6" s="22" t="s">
        <v>77</v>
      </c>
      <c r="C6" s="23">
        <v>33.684421999999998</v>
      </c>
      <c r="D6" s="23">
        <v>73.047882000000001</v>
      </c>
      <c r="E6" s="21">
        <f t="shared" si="0"/>
        <v>43</v>
      </c>
      <c r="F6" s="21">
        <f t="shared" si="1"/>
        <v>75</v>
      </c>
      <c r="G6" s="34">
        <f t="shared" si="2"/>
        <v>319048.64709274552</v>
      </c>
      <c r="H6" s="34">
        <f t="shared" si="3"/>
        <v>3728876.2682867674</v>
      </c>
      <c r="I6" s="6" t="str">
        <f t="shared" si="4"/>
        <v>UTM Zone 43N / 319,049E, 3,728,876N</v>
      </c>
    </row>
    <row r="7" spans="1:9" x14ac:dyDescent="0.35">
      <c r="A7" s="16" t="s">
        <v>78</v>
      </c>
      <c r="B7" s="17" t="s">
        <v>79</v>
      </c>
      <c r="C7" s="18">
        <v>31.52037</v>
      </c>
      <c r="D7" s="18">
        <v>74.358746999999994</v>
      </c>
      <c r="E7" s="16">
        <f t="shared" si="0"/>
        <v>43</v>
      </c>
      <c r="F7" s="16">
        <f t="shared" si="1"/>
        <v>75</v>
      </c>
      <c r="G7" s="34">
        <f t="shared" si="2"/>
        <v>439116.47001927451</v>
      </c>
      <c r="H7" s="34">
        <f t="shared" si="3"/>
        <v>3487452.4577139197</v>
      </c>
      <c r="I7" s="20" t="str">
        <f t="shared" si="4"/>
        <v>UTM Zone 43N / 439,116E, 3,487,452N</v>
      </c>
    </row>
    <row r="8" spans="1:9" x14ac:dyDescent="0.35">
      <c r="A8" s="21" t="s">
        <v>80</v>
      </c>
      <c r="B8" s="22" t="s">
        <v>81</v>
      </c>
      <c r="C8" s="23">
        <v>24.860700000000001</v>
      </c>
      <c r="D8" s="23">
        <v>67.001099999999994</v>
      </c>
      <c r="E8" s="21">
        <f t="shared" si="0"/>
        <v>42</v>
      </c>
      <c r="F8" s="21">
        <f t="shared" si="1"/>
        <v>69</v>
      </c>
      <c r="G8" s="34">
        <f t="shared" si="2"/>
        <v>298038.08371635771</v>
      </c>
      <c r="H8" s="34">
        <f t="shared" si="3"/>
        <v>2751004.9055434382</v>
      </c>
      <c r="I8" s="6" t="str">
        <f t="shared" si="4"/>
        <v>UTM Zone 42N / 298,038E, 2,751,005N</v>
      </c>
    </row>
    <row r="9" spans="1:9" x14ac:dyDescent="0.35">
      <c r="A9" s="16" t="s">
        <v>82</v>
      </c>
      <c r="B9" s="17" t="s">
        <v>83</v>
      </c>
      <c r="C9" s="18">
        <v>30.1798</v>
      </c>
      <c r="D9" s="18">
        <v>66.974999999999994</v>
      </c>
      <c r="E9" s="16">
        <f t="shared" si="0"/>
        <v>42</v>
      </c>
      <c r="F9" s="16">
        <f t="shared" si="1"/>
        <v>69</v>
      </c>
      <c r="G9" s="34">
        <f t="shared" si="2"/>
        <v>305026.24745018093</v>
      </c>
      <c r="H9" s="34">
        <f t="shared" si="3"/>
        <v>3340441.4669071855</v>
      </c>
      <c r="I9" s="20" t="str">
        <f t="shared" si="4"/>
        <v>UTM Zone 42N / 305,026E, 3,340,441N</v>
      </c>
    </row>
    <row r="10" spans="1:9" x14ac:dyDescent="0.35">
      <c r="A10" s="21" t="s">
        <v>84</v>
      </c>
      <c r="B10" s="22" t="s">
        <v>85</v>
      </c>
      <c r="C10" s="23">
        <v>25.121600000000001</v>
      </c>
      <c r="D10" s="23">
        <v>62.325400000000002</v>
      </c>
      <c r="E10" s="21">
        <f t="shared" si="0"/>
        <v>41</v>
      </c>
      <c r="F10" s="21">
        <f t="shared" si="1"/>
        <v>63</v>
      </c>
      <c r="G10" s="34">
        <f t="shared" si="2"/>
        <v>431992.448970236</v>
      </c>
      <c r="H10" s="34">
        <f t="shared" si="3"/>
        <v>2778582.4282347457</v>
      </c>
      <c r="I10" s="6" t="str">
        <f t="shared" si="4"/>
        <v>UTM Zone 41N / 431,992E, 2,778,582N</v>
      </c>
    </row>
    <row r="11" spans="1:9" x14ac:dyDescent="0.35">
      <c r="A11" s="16" t="s">
        <v>86</v>
      </c>
      <c r="B11" s="17" t="s">
        <v>87</v>
      </c>
      <c r="C11" s="18">
        <v>30.157499999999999</v>
      </c>
      <c r="D11" s="18">
        <v>71.524900000000002</v>
      </c>
      <c r="E11" s="16">
        <f t="shared" si="0"/>
        <v>42</v>
      </c>
      <c r="F11" s="16">
        <f t="shared" si="1"/>
        <v>69</v>
      </c>
      <c r="G11" s="34">
        <f t="shared" si="2"/>
        <v>743174.56404579303</v>
      </c>
      <c r="H11" s="34">
        <f t="shared" si="3"/>
        <v>3338930.7251546346</v>
      </c>
      <c r="I11" s="20" t="str">
        <f t="shared" si="4"/>
        <v>UTM Zone 42N / 743,175E, 3,338,931N</v>
      </c>
    </row>
    <row r="12" spans="1:9" x14ac:dyDescent="0.35">
      <c r="A12" s="21" t="s">
        <v>88</v>
      </c>
      <c r="B12" s="22" t="s">
        <v>89</v>
      </c>
      <c r="C12" s="23">
        <v>31.450399999999998</v>
      </c>
      <c r="D12" s="23">
        <v>73.135000000000005</v>
      </c>
      <c r="E12" s="21">
        <f t="shared" si="0"/>
        <v>43</v>
      </c>
      <c r="F12" s="21">
        <f t="shared" si="1"/>
        <v>75</v>
      </c>
      <c r="G12" s="34">
        <f t="shared" si="2"/>
        <v>322783.74721808889</v>
      </c>
      <c r="H12" s="34">
        <f t="shared" si="3"/>
        <v>3481024.5190451923</v>
      </c>
      <c r="I12" s="6" t="str">
        <f t="shared" si="4"/>
        <v>UTM Zone 43N / 322,784E, 3,481,025N</v>
      </c>
    </row>
    <row r="13" spans="1:9" x14ac:dyDescent="0.35">
      <c r="A13" s="16" t="s">
        <v>90</v>
      </c>
      <c r="B13" s="17" t="s">
        <v>91</v>
      </c>
      <c r="C13" s="18">
        <v>25.396000000000001</v>
      </c>
      <c r="D13" s="18">
        <v>68.357799999999997</v>
      </c>
      <c r="E13" s="16">
        <f t="shared" si="0"/>
        <v>42</v>
      </c>
      <c r="F13" s="16">
        <f t="shared" si="1"/>
        <v>69</v>
      </c>
      <c r="G13" s="39">
        <f t="shared" si="2"/>
        <v>435404.17311818898</v>
      </c>
      <c r="H13" s="39">
        <f t="shared" si="3"/>
        <v>2808952.6974581978</v>
      </c>
      <c r="I13" s="20" t="str">
        <f t="shared" si="4"/>
        <v>UTM Zone 42N / 435,404E, 2,808,953N</v>
      </c>
    </row>
    <row r="14" spans="1:9" x14ac:dyDescent="0.35">
      <c r="A14" s="21" t="s">
        <v>92</v>
      </c>
      <c r="B14" s="22" t="s">
        <v>93</v>
      </c>
      <c r="C14" s="23">
        <v>35.9208</v>
      </c>
      <c r="D14" s="23">
        <v>74.308000000000007</v>
      </c>
      <c r="E14" s="21">
        <f t="shared" si="0"/>
        <v>43</v>
      </c>
      <c r="F14" s="41">
        <f t="shared" si="1"/>
        <v>75</v>
      </c>
      <c r="G14" s="40">
        <f t="shared" si="2"/>
        <v>437568.90626172855</v>
      </c>
      <c r="H14" s="40">
        <f t="shared" si="3"/>
        <v>3975385.2584199412</v>
      </c>
      <c r="I14" s="38" t="str">
        <f t="shared" si="4"/>
        <v>UTM Zone 43N / 437,569E, 3,975,385N</v>
      </c>
    </row>
    <row r="15" spans="1:9" x14ac:dyDescent="0.35">
      <c r="C15" s="35"/>
      <c r="D15" s="35"/>
      <c r="E15" s="36"/>
      <c r="F15" s="37"/>
      <c r="G15" s="42"/>
      <c r="H15" s="42"/>
      <c r="I15" s="38"/>
    </row>
    <row r="16" spans="1:9" x14ac:dyDescent="0.35">
      <c r="C16" s="35"/>
      <c r="D16" s="35"/>
      <c r="E16" s="36"/>
      <c r="F16" s="37"/>
      <c r="G16" s="42"/>
      <c r="H16" s="42"/>
      <c r="I16" s="38"/>
    </row>
    <row r="17" spans="3:9" x14ac:dyDescent="0.35">
      <c r="C17" s="35"/>
      <c r="D17" s="35"/>
      <c r="E17" s="36"/>
      <c r="F17" s="37"/>
      <c r="G17" s="42"/>
      <c r="H17" s="42"/>
      <c r="I17" s="38"/>
    </row>
    <row r="18" spans="3:9" x14ac:dyDescent="0.35">
      <c r="C18" s="35"/>
      <c r="D18" s="35"/>
      <c r="E18" s="36"/>
      <c r="F18" s="37"/>
      <c r="G18" s="42"/>
      <c r="H18" s="42"/>
      <c r="I18" s="38"/>
    </row>
    <row r="19" spans="3:9" x14ac:dyDescent="0.35">
      <c r="C19" s="35"/>
      <c r="D19" s="35"/>
      <c r="E19" s="36"/>
      <c r="F19" s="37"/>
      <c r="G19" s="42"/>
      <c r="H19" s="42"/>
      <c r="I19" s="38"/>
    </row>
    <row r="20" spans="3:9" x14ac:dyDescent="0.35">
      <c r="C20" s="35"/>
      <c r="D20" s="35"/>
      <c r="E20" s="36"/>
      <c r="F20" s="37"/>
      <c r="G20" s="42"/>
      <c r="H20" s="42"/>
      <c r="I20" s="38"/>
    </row>
    <row r="21" spans="3:9" x14ac:dyDescent="0.35">
      <c r="C21" s="35"/>
      <c r="D21" s="35"/>
      <c r="E21" s="36"/>
      <c r="F21" s="37"/>
      <c r="G21" s="42"/>
      <c r="H21" s="42"/>
      <c r="I21" s="38"/>
    </row>
    <row r="22" spans="3:9" x14ac:dyDescent="0.35">
      <c r="C22" s="35"/>
      <c r="D22" s="35"/>
      <c r="E22" s="36"/>
      <c r="F22" s="37"/>
      <c r="G22" s="42"/>
      <c r="H22" s="42"/>
      <c r="I22" s="38"/>
    </row>
    <row r="23" spans="3:9" x14ac:dyDescent="0.35">
      <c r="C23" s="35"/>
      <c r="D23" s="35"/>
      <c r="E23" s="36"/>
      <c r="F23" s="37"/>
      <c r="G23" s="42"/>
      <c r="H23" s="42"/>
      <c r="I23" s="38"/>
    </row>
    <row r="24" spans="3:9" x14ac:dyDescent="0.35">
      <c r="C24" s="35"/>
      <c r="D24" s="35"/>
      <c r="E24" s="36"/>
      <c r="F24" s="37"/>
      <c r="G24" s="42"/>
      <c r="H24" s="42"/>
      <c r="I24" s="38"/>
    </row>
    <row r="25" spans="3:9" x14ac:dyDescent="0.35">
      <c r="C25" s="35"/>
      <c r="D25" s="35"/>
      <c r="E25" s="36"/>
      <c r="F25" s="37"/>
      <c r="G25" s="42"/>
      <c r="H25" s="42"/>
      <c r="I25" s="38"/>
    </row>
    <row r="26" spans="3:9" x14ac:dyDescent="0.35">
      <c r="C26" s="35"/>
      <c r="D26" s="35"/>
      <c r="E26" s="36"/>
      <c r="F26" s="37"/>
      <c r="G26" s="42"/>
      <c r="H26" s="42"/>
      <c r="I26" s="38"/>
    </row>
    <row r="27" spans="3:9" x14ac:dyDescent="0.35">
      <c r="C27" s="35"/>
      <c r="D27" s="35"/>
      <c r="E27" s="36"/>
      <c r="F27" s="37"/>
      <c r="G27" s="42"/>
      <c r="H27" s="42"/>
      <c r="I27" s="38"/>
    </row>
    <row r="28" spans="3:9" x14ac:dyDescent="0.35">
      <c r="C28" s="35"/>
      <c r="D28" s="35"/>
      <c r="E28" s="36"/>
      <c r="F28" s="37"/>
      <c r="G28" s="42"/>
      <c r="H28" s="42"/>
      <c r="I28" s="38"/>
    </row>
    <row r="29" spans="3:9" x14ac:dyDescent="0.35">
      <c r="C29" s="35"/>
      <c r="D29" s="35"/>
      <c r="E29" s="36"/>
      <c r="F29" s="37"/>
      <c r="G29" s="42"/>
      <c r="H29" s="42"/>
      <c r="I29" s="38"/>
    </row>
    <row r="30" spans="3:9" x14ac:dyDescent="0.35">
      <c r="C30" s="35"/>
      <c r="D30" s="35"/>
      <c r="E30" s="36"/>
      <c r="F30" s="37"/>
      <c r="G30" s="42"/>
      <c r="H30" s="42"/>
      <c r="I30" s="38"/>
    </row>
    <row r="31" spans="3:9" x14ac:dyDescent="0.35">
      <c r="C31" s="35"/>
      <c r="D31" s="35"/>
      <c r="E31" s="36"/>
      <c r="F31" s="37"/>
      <c r="G31" s="42"/>
      <c r="H31" s="42"/>
      <c r="I31" s="38"/>
    </row>
    <row r="32" spans="3:9" x14ac:dyDescent="0.35">
      <c r="C32" s="35"/>
      <c r="D32" s="35"/>
      <c r="E32" s="36"/>
      <c r="F32" s="37"/>
      <c r="G32" s="42"/>
      <c r="H32" s="42"/>
      <c r="I32" s="38"/>
    </row>
    <row r="33" spans="3:9" x14ac:dyDescent="0.35">
      <c r="C33" s="35"/>
      <c r="D33" s="35"/>
      <c r="E33" s="36"/>
      <c r="F33" s="37"/>
      <c r="G33" s="42"/>
      <c r="H33" s="42"/>
      <c r="I33" s="38"/>
    </row>
    <row r="34" spans="3:9" x14ac:dyDescent="0.35">
      <c r="C34" s="35"/>
      <c r="D34" s="35"/>
      <c r="E34" s="36"/>
      <c r="F34" s="37"/>
      <c r="G34" s="42"/>
      <c r="H34" s="42"/>
      <c r="I34" s="38"/>
    </row>
    <row r="35" spans="3:9" x14ac:dyDescent="0.35">
      <c r="C35" s="35"/>
      <c r="D35" s="35"/>
      <c r="E35" s="36"/>
      <c r="F35" s="37"/>
      <c r="G35" s="42"/>
      <c r="H35" s="42"/>
      <c r="I35" s="38"/>
    </row>
    <row r="36" spans="3:9" x14ac:dyDescent="0.35">
      <c r="C36" s="35"/>
      <c r="D36" s="35"/>
      <c r="E36" s="36"/>
      <c r="F36" s="37"/>
      <c r="G36" s="42"/>
      <c r="H36" s="42"/>
      <c r="I36" s="38"/>
    </row>
    <row r="37" spans="3:9" x14ac:dyDescent="0.35">
      <c r="C37" s="35"/>
      <c r="D37" s="35"/>
      <c r="E37" s="36"/>
      <c r="F37" s="37"/>
      <c r="G37" s="42"/>
      <c r="H37" s="42"/>
      <c r="I37" s="38"/>
    </row>
    <row r="38" spans="3:9" x14ac:dyDescent="0.35">
      <c r="C38" s="35"/>
      <c r="D38" s="35"/>
      <c r="E38" s="36"/>
      <c r="F38" s="37"/>
      <c r="G38" s="42"/>
      <c r="H38" s="42"/>
      <c r="I38" s="38"/>
    </row>
    <row r="39" spans="3:9" x14ac:dyDescent="0.35">
      <c r="C39" s="35"/>
      <c r="D39" s="35"/>
      <c r="E39" s="36"/>
      <c r="F39" s="37"/>
      <c r="G39" s="42"/>
      <c r="H39" s="42"/>
      <c r="I39" s="38"/>
    </row>
    <row r="40" spans="3:9" x14ac:dyDescent="0.35">
      <c r="C40" s="35"/>
      <c r="D40" s="35"/>
      <c r="E40" s="36"/>
      <c r="F40" s="37"/>
      <c r="G40" s="42"/>
      <c r="H40" s="42"/>
      <c r="I40" s="38"/>
    </row>
    <row r="41" spans="3:9" x14ac:dyDescent="0.35">
      <c r="C41" s="35"/>
      <c r="D41" s="35"/>
      <c r="E41" s="36"/>
      <c r="F41" s="37"/>
      <c r="G41" s="42"/>
      <c r="H41" s="42"/>
      <c r="I41" s="38"/>
    </row>
    <row r="42" spans="3:9" x14ac:dyDescent="0.35">
      <c r="C42" s="35"/>
      <c r="D42" s="35"/>
      <c r="E42" s="36"/>
      <c r="F42" s="37"/>
      <c r="G42" s="42"/>
      <c r="H42" s="42"/>
      <c r="I42" s="38"/>
    </row>
    <row r="43" spans="3:9" x14ac:dyDescent="0.35">
      <c r="C43" s="35"/>
      <c r="D43" s="35"/>
      <c r="E43" s="36"/>
      <c r="F43" s="37"/>
      <c r="G43" s="42"/>
      <c r="H43" s="42"/>
      <c r="I43" s="38"/>
    </row>
    <row r="44" spans="3:9" x14ac:dyDescent="0.35">
      <c r="C44" s="35"/>
      <c r="D44" s="35"/>
      <c r="E44" s="36"/>
      <c r="F44" s="37"/>
      <c r="G44" s="42"/>
      <c r="H44" s="42"/>
      <c r="I44" s="38"/>
    </row>
    <row r="45" spans="3:9" x14ac:dyDescent="0.35">
      <c r="C45" s="35"/>
      <c r="D45" s="35"/>
      <c r="E45" s="36"/>
      <c r="F45" s="37"/>
      <c r="G45" s="42"/>
      <c r="H45" s="42"/>
      <c r="I45" s="38"/>
    </row>
    <row r="46" spans="3:9" x14ac:dyDescent="0.35">
      <c r="C46" s="35"/>
      <c r="D46" s="35"/>
      <c r="E46" s="36"/>
      <c r="F46" s="37"/>
      <c r="G46" s="42"/>
      <c r="H46" s="42"/>
      <c r="I46" s="38"/>
    </row>
    <row r="47" spans="3:9" x14ac:dyDescent="0.35">
      <c r="C47" s="35"/>
      <c r="D47" s="35"/>
      <c r="E47" s="36"/>
      <c r="F47" s="37"/>
      <c r="G47" s="42"/>
      <c r="H47" s="42"/>
      <c r="I47" s="38"/>
    </row>
    <row r="48" spans="3:9" x14ac:dyDescent="0.35">
      <c r="C48" s="35"/>
      <c r="D48" s="35"/>
      <c r="E48" s="36"/>
      <c r="F48" s="37"/>
      <c r="G48" s="42"/>
      <c r="H48" s="42"/>
      <c r="I48" s="38"/>
    </row>
    <row r="49" spans="3:9" x14ac:dyDescent="0.35">
      <c r="C49" s="35"/>
      <c r="D49" s="35"/>
      <c r="E49" s="36"/>
      <c r="F49" s="37"/>
      <c r="G49" s="42"/>
      <c r="H49" s="42"/>
      <c r="I49" s="38"/>
    </row>
    <row r="50" spans="3:9" x14ac:dyDescent="0.35">
      <c r="C50" s="35"/>
      <c r="D50" s="35"/>
      <c r="E50" s="36"/>
      <c r="F50" s="37"/>
      <c r="G50" s="42"/>
      <c r="H50" s="42"/>
      <c r="I50" s="38"/>
    </row>
    <row r="51" spans="3:9" x14ac:dyDescent="0.35">
      <c r="C51" s="35"/>
      <c r="D51" s="35"/>
      <c r="E51" s="36"/>
      <c r="F51" s="37"/>
      <c r="G51" s="42"/>
      <c r="H51" s="42"/>
      <c r="I51" s="38"/>
    </row>
    <row r="52" spans="3:9" x14ac:dyDescent="0.35">
      <c r="C52" s="35"/>
      <c r="D52" s="35"/>
      <c r="E52" s="36"/>
      <c r="F52" s="37"/>
      <c r="G52" s="42"/>
      <c r="H52" s="42"/>
      <c r="I52" s="38"/>
    </row>
    <row r="53" spans="3:9" x14ac:dyDescent="0.35">
      <c r="C53" s="35"/>
      <c r="D53" s="35"/>
      <c r="E53" s="36"/>
      <c r="F53" s="37"/>
      <c r="G53" s="42"/>
      <c r="H53" s="42"/>
      <c r="I53" s="38"/>
    </row>
    <row r="54" spans="3:9" x14ac:dyDescent="0.35">
      <c r="C54" s="35"/>
      <c r="D54" s="35"/>
      <c r="E54" s="36"/>
      <c r="F54" s="37"/>
      <c r="G54" s="42"/>
      <c r="H54" s="42"/>
      <c r="I54" s="38"/>
    </row>
    <row r="55" spans="3:9" x14ac:dyDescent="0.35">
      <c r="C55" s="35"/>
      <c r="D55" s="35"/>
      <c r="E55" s="36"/>
      <c r="F55" s="37"/>
      <c r="G55" s="42"/>
      <c r="H55" s="42"/>
      <c r="I55" s="38"/>
    </row>
    <row r="56" spans="3:9" x14ac:dyDescent="0.35">
      <c r="C56" s="35"/>
      <c r="D56" s="35"/>
      <c r="E56" s="36"/>
      <c r="F56" s="37"/>
      <c r="G56" s="42"/>
      <c r="H56" s="42"/>
      <c r="I56" s="38"/>
    </row>
    <row r="57" spans="3:9" x14ac:dyDescent="0.35">
      <c r="C57" s="35"/>
      <c r="D57" s="35"/>
      <c r="E57" s="36"/>
      <c r="F57" s="37"/>
      <c r="G57" s="42"/>
      <c r="H57" s="42"/>
      <c r="I57" s="38"/>
    </row>
    <row r="58" spans="3:9" x14ac:dyDescent="0.35">
      <c r="C58" s="35"/>
      <c r="D58" s="35"/>
      <c r="E58" s="36"/>
      <c r="F58" s="37"/>
      <c r="G58" s="42"/>
      <c r="H58" s="42"/>
      <c r="I58" s="38"/>
    </row>
    <row r="59" spans="3:9" x14ac:dyDescent="0.35">
      <c r="C59" s="35"/>
      <c r="D59" s="35"/>
      <c r="E59" s="36"/>
      <c r="F59" s="37"/>
      <c r="G59" s="42"/>
      <c r="H59" s="42"/>
      <c r="I59" s="38"/>
    </row>
    <row r="60" spans="3:9" x14ac:dyDescent="0.35">
      <c r="C60" s="35"/>
      <c r="D60" s="35"/>
      <c r="E60" s="36"/>
      <c r="F60" s="37"/>
      <c r="G60" s="42"/>
      <c r="H60" s="42"/>
      <c r="I60" s="38"/>
    </row>
    <row r="61" spans="3:9" x14ac:dyDescent="0.35">
      <c r="C61" s="35"/>
      <c r="D61" s="35"/>
      <c r="E61" s="36"/>
      <c r="F61" s="37"/>
      <c r="G61" s="42"/>
      <c r="H61" s="42"/>
      <c r="I61" s="38"/>
    </row>
    <row r="62" spans="3:9" x14ac:dyDescent="0.35">
      <c r="C62" s="35"/>
      <c r="D62" s="35"/>
      <c r="E62" s="36"/>
      <c r="F62" s="37"/>
      <c r="G62" s="42"/>
      <c r="H62" s="42"/>
      <c r="I62" s="38"/>
    </row>
    <row r="63" spans="3:9" x14ac:dyDescent="0.35">
      <c r="C63" s="35"/>
      <c r="D63" s="35"/>
      <c r="E63" s="36"/>
      <c r="F63" s="37"/>
      <c r="G63" s="42"/>
      <c r="H63" s="42"/>
      <c r="I63" s="38"/>
    </row>
    <row r="64" spans="3:9" x14ac:dyDescent="0.35">
      <c r="C64" s="35"/>
      <c r="D64" s="35"/>
      <c r="E64" s="36"/>
      <c r="F64" s="37"/>
      <c r="G64" s="42"/>
      <c r="H64" s="42"/>
      <c r="I64" s="38"/>
    </row>
    <row r="65" spans="3:9" x14ac:dyDescent="0.35">
      <c r="C65" s="35"/>
      <c r="D65" s="35"/>
      <c r="E65" s="36"/>
      <c r="F65" s="37"/>
      <c r="G65" s="42"/>
      <c r="H65" s="42"/>
      <c r="I65" s="38"/>
    </row>
    <row r="66" spans="3:9" x14ac:dyDescent="0.35">
      <c r="C66" s="35"/>
      <c r="D66" s="35"/>
      <c r="E66" s="36"/>
      <c r="F66" s="37"/>
      <c r="G66" s="42"/>
      <c r="H66" s="42"/>
      <c r="I66" s="38"/>
    </row>
    <row r="67" spans="3:9" x14ac:dyDescent="0.35">
      <c r="C67" s="35"/>
      <c r="D67" s="35"/>
      <c r="E67" s="36"/>
      <c r="F67" s="37"/>
      <c r="G67" s="42"/>
      <c r="H67" s="42"/>
      <c r="I67" s="38"/>
    </row>
    <row r="68" spans="3:9" x14ac:dyDescent="0.35">
      <c r="C68" s="35"/>
      <c r="D68" s="35"/>
      <c r="E68" s="36"/>
      <c r="F68" s="37"/>
      <c r="G68" s="42"/>
      <c r="H68" s="42"/>
      <c r="I68" s="38"/>
    </row>
    <row r="69" spans="3:9" x14ac:dyDescent="0.35">
      <c r="C69" s="35"/>
      <c r="D69" s="35"/>
      <c r="E69" s="36"/>
      <c r="F69" s="37"/>
      <c r="G69" s="42"/>
      <c r="H69" s="42"/>
      <c r="I69" s="38"/>
    </row>
    <row r="70" spans="3:9" x14ac:dyDescent="0.35">
      <c r="C70" s="35"/>
      <c r="D70" s="35"/>
      <c r="E70" s="36"/>
      <c r="F70" s="37"/>
      <c r="G70" s="42"/>
      <c r="H70" s="42"/>
      <c r="I70" s="38"/>
    </row>
    <row r="71" spans="3:9" x14ac:dyDescent="0.35">
      <c r="C71" s="35"/>
      <c r="D71" s="35"/>
      <c r="E71" s="36"/>
      <c r="F71" s="37"/>
      <c r="G71" s="42"/>
      <c r="H71" s="42"/>
      <c r="I71" s="38"/>
    </row>
    <row r="72" spans="3:9" x14ac:dyDescent="0.35">
      <c r="C72" s="35"/>
      <c r="D72" s="35"/>
      <c r="E72" s="36"/>
      <c r="F72" s="37"/>
      <c r="G72" s="42"/>
      <c r="H72" s="42"/>
      <c r="I72" s="38"/>
    </row>
    <row r="73" spans="3:9" x14ac:dyDescent="0.35">
      <c r="C73" s="35"/>
      <c r="D73" s="35"/>
      <c r="E73" s="36"/>
      <c r="F73" s="37"/>
      <c r="G73" s="42"/>
      <c r="H73" s="42"/>
      <c r="I73" s="38"/>
    </row>
    <row r="74" spans="3:9" x14ac:dyDescent="0.35">
      <c r="C74" s="35"/>
      <c r="D74" s="35"/>
      <c r="E74" s="36"/>
      <c r="F74" s="37"/>
      <c r="G74" s="42"/>
      <c r="H74" s="42"/>
      <c r="I74" s="38"/>
    </row>
    <row r="75" spans="3:9" x14ac:dyDescent="0.35">
      <c r="C75" s="35"/>
      <c r="D75" s="35"/>
      <c r="E75" s="36"/>
      <c r="F75" s="37"/>
      <c r="G75" s="42"/>
      <c r="H75" s="42"/>
      <c r="I75" s="38"/>
    </row>
    <row r="76" spans="3:9" x14ac:dyDescent="0.35">
      <c r="C76" s="35"/>
      <c r="D76" s="35"/>
      <c r="E76" s="36"/>
      <c r="F76" s="37"/>
      <c r="G76" s="42"/>
      <c r="H76" s="42"/>
      <c r="I76" s="38"/>
    </row>
    <row r="77" spans="3:9" x14ac:dyDescent="0.35">
      <c r="C77" s="35"/>
      <c r="D77" s="35"/>
      <c r="E77" s="36"/>
      <c r="F77" s="37"/>
      <c r="G77" s="42"/>
      <c r="H77" s="42"/>
      <c r="I77" s="38"/>
    </row>
    <row r="78" spans="3:9" x14ac:dyDescent="0.35">
      <c r="C78" s="35"/>
      <c r="D78" s="35"/>
      <c r="E78" s="36"/>
      <c r="F78" s="37"/>
      <c r="G78" s="42"/>
      <c r="H78" s="42"/>
      <c r="I78" s="38"/>
    </row>
    <row r="79" spans="3:9" x14ac:dyDescent="0.35">
      <c r="C79" s="35"/>
      <c r="D79" s="35"/>
      <c r="E79" s="36"/>
      <c r="F79" s="37"/>
      <c r="G79" s="42"/>
      <c r="H79" s="42"/>
      <c r="I79" s="38"/>
    </row>
    <row r="80" spans="3:9" x14ac:dyDescent="0.35">
      <c r="C80" s="35"/>
      <c r="D80" s="35"/>
      <c r="E80" s="36"/>
      <c r="F80" s="37"/>
      <c r="G80" s="42"/>
      <c r="H80" s="42"/>
      <c r="I80" s="38"/>
    </row>
    <row r="81" spans="3:9" x14ac:dyDescent="0.35">
      <c r="C81" s="35"/>
      <c r="D81" s="35"/>
      <c r="E81" s="36"/>
      <c r="F81" s="37"/>
      <c r="G81" s="42"/>
      <c r="H81" s="42"/>
      <c r="I81" s="38"/>
    </row>
    <row r="82" spans="3:9" x14ac:dyDescent="0.35">
      <c r="C82" s="35"/>
      <c r="D82" s="35"/>
      <c r="E82" s="36"/>
      <c r="F82" s="37"/>
      <c r="G82" s="42"/>
      <c r="H82" s="42"/>
      <c r="I82" s="38"/>
    </row>
    <row r="83" spans="3:9" x14ac:dyDescent="0.35">
      <c r="C83" s="35"/>
      <c r="D83" s="35"/>
      <c r="E83" s="36"/>
      <c r="F83" s="37"/>
      <c r="G83" s="42"/>
      <c r="H83" s="42"/>
      <c r="I83" s="38"/>
    </row>
    <row r="84" spans="3:9" x14ac:dyDescent="0.35">
      <c r="C84" s="35"/>
      <c r="D84" s="35"/>
      <c r="E84" s="36"/>
      <c r="F84" s="37"/>
      <c r="G84" s="42"/>
      <c r="H84" s="42"/>
      <c r="I84" s="38"/>
    </row>
    <row r="85" spans="3:9" x14ac:dyDescent="0.35">
      <c r="C85" s="35"/>
      <c r="D85" s="35"/>
      <c r="E85" s="36"/>
      <c r="F85" s="37"/>
      <c r="G85" s="42"/>
      <c r="H85" s="42"/>
      <c r="I85" s="38"/>
    </row>
    <row r="86" spans="3:9" x14ac:dyDescent="0.35">
      <c r="C86" s="35"/>
      <c r="D86" s="35"/>
      <c r="E86" s="36"/>
      <c r="F86" s="37"/>
      <c r="G86" s="42"/>
      <c r="H86" s="42"/>
      <c r="I86" s="38"/>
    </row>
    <row r="87" spans="3:9" x14ac:dyDescent="0.35">
      <c r="C87" s="35"/>
      <c r="D87" s="35"/>
      <c r="E87" s="36"/>
      <c r="F87" s="37"/>
      <c r="G87" s="42"/>
      <c r="H87" s="42"/>
      <c r="I87" s="38"/>
    </row>
    <row r="88" spans="3:9" x14ac:dyDescent="0.35">
      <c r="C88" s="35"/>
      <c r="D88" s="35"/>
      <c r="E88" s="36"/>
      <c r="F88" s="37"/>
      <c r="G88" s="42"/>
      <c r="H88" s="42"/>
      <c r="I88" s="38"/>
    </row>
    <row r="89" spans="3:9" x14ac:dyDescent="0.35">
      <c r="C89" s="35"/>
      <c r="D89" s="35"/>
      <c r="E89" s="36"/>
      <c r="F89" s="37"/>
      <c r="G89" s="42"/>
      <c r="H89" s="42"/>
      <c r="I89" s="38"/>
    </row>
    <row r="90" spans="3:9" x14ac:dyDescent="0.35">
      <c r="C90" s="35"/>
      <c r="D90" s="35"/>
      <c r="E90" s="36"/>
      <c r="F90" s="37"/>
      <c r="G90" s="42"/>
      <c r="H90" s="42"/>
      <c r="I90" s="38"/>
    </row>
    <row r="91" spans="3:9" x14ac:dyDescent="0.35">
      <c r="C91" s="35"/>
      <c r="D91" s="35"/>
      <c r="E91" s="36"/>
      <c r="F91" s="37"/>
      <c r="G91" s="42"/>
      <c r="H91" s="42"/>
      <c r="I91" s="38"/>
    </row>
    <row r="92" spans="3:9" x14ac:dyDescent="0.35">
      <c r="C92" s="35"/>
      <c r="D92" s="35"/>
      <c r="E92" s="36"/>
      <c r="F92" s="37"/>
      <c r="G92" s="42"/>
      <c r="H92" s="42"/>
      <c r="I92" s="38"/>
    </row>
    <row r="93" spans="3:9" x14ac:dyDescent="0.35">
      <c r="C93" s="35"/>
      <c r="D93" s="35"/>
      <c r="E93" s="36"/>
      <c r="F93" s="37"/>
      <c r="G93" s="42"/>
      <c r="H93" s="42"/>
      <c r="I93" s="38"/>
    </row>
    <row r="94" spans="3:9" x14ac:dyDescent="0.35">
      <c r="C94" s="35"/>
      <c r="D94" s="35"/>
      <c r="E94" s="36"/>
      <c r="F94" s="37"/>
      <c r="G94" s="42"/>
      <c r="H94" s="42"/>
      <c r="I94" s="38"/>
    </row>
    <row r="95" spans="3:9" x14ac:dyDescent="0.35">
      <c r="C95" s="35"/>
      <c r="D95" s="35"/>
      <c r="E95" s="36"/>
      <c r="F95" s="37"/>
      <c r="G95" s="42"/>
      <c r="H95" s="42"/>
      <c r="I95" s="38"/>
    </row>
    <row r="96" spans="3:9" x14ac:dyDescent="0.35">
      <c r="C96" s="35"/>
      <c r="D96" s="35"/>
      <c r="E96" s="36"/>
      <c r="F96" s="37"/>
      <c r="G96" s="42"/>
      <c r="H96" s="42"/>
      <c r="I96" s="38"/>
    </row>
    <row r="97" spans="3:9" x14ac:dyDescent="0.35">
      <c r="C97" s="35"/>
      <c r="D97" s="35"/>
      <c r="E97" s="36"/>
      <c r="F97" s="37"/>
      <c r="G97" s="42"/>
      <c r="H97" s="42"/>
      <c r="I97" s="38"/>
    </row>
    <row r="98" spans="3:9" x14ac:dyDescent="0.35">
      <c r="C98" s="35"/>
      <c r="D98" s="35"/>
      <c r="E98" s="36"/>
      <c r="F98" s="37"/>
      <c r="G98" s="42"/>
      <c r="H98" s="42"/>
      <c r="I98" s="38"/>
    </row>
    <row r="99" spans="3:9" x14ac:dyDescent="0.35">
      <c r="C99" s="35"/>
      <c r="D99" s="35"/>
      <c r="E99" s="36"/>
      <c r="F99" s="37"/>
      <c r="G99" s="42"/>
      <c r="H99" s="42"/>
      <c r="I99" s="38"/>
    </row>
    <row r="100" spans="3:9" x14ac:dyDescent="0.35">
      <c r="C100" s="35"/>
      <c r="D100" s="35"/>
      <c r="E100" s="36"/>
      <c r="F100" s="37"/>
      <c r="G100" s="42"/>
      <c r="H100" s="42"/>
      <c r="I100" s="38"/>
    </row>
    <row r="101" spans="3:9" x14ac:dyDescent="0.35">
      <c r="C101" s="35"/>
      <c r="D101" s="35"/>
      <c r="E101" s="36"/>
      <c r="F101" s="37"/>
      <c r="G101" s="42"/>
      <c r="H101" s="42"/>
      <c r="I101" s="38"/>
    </row>
    <row r="102" spans="3:9" x14ac:dyDescent="0.35">
      <c r="C102" s="35"/>
      <c r="D102" s="35"/>
      <c r="E102" s="36"/>
      <c r="F102" s="37"/>
      <c r="G102" s="42"/>
      <c r="H102" s="42"/>
      <c r="I102" s="38"/>
    </row>
    <row r="103" spans="3:9" x14ac:dyDescent="0.35">
      <c r="C103" s="35"/>
      <c r="D103" s="35"/>
      <c r="E103" s="36"/>
      <c r="F103" s="37"/>
      <c r="G103" s="42"/>
      <c r="H103" s="42"/>
      <c r="I103" s="38"/>
    </row>
    <row r="104" spans="3:9" x14ac:dyDescent="0.35">
      <c r="C104" s="35"/>
      <c r="D104" s="35"/>
      <c r="E104" s="36"/>
      <c r="F104" s="37"/>
      <c r="G104" s="42"/>
      <c r="H104" s="42"/>
      <c r="I104" s="38"/>
    </row>
    <row r="105" spans="3:9" x14ac:dyDescent="0.35">
      <c r="C105" s="35"/>
      <c r="D105" s="35"/>
      <c r="E105" s="36"/>
      <c r="F105" s="37"/>
      <c r="G105" s="42"/>
      <c r="H105" s="42"/>
      <c r="I105" s="38"/>
    </row>
    <row r="106" spans="3:9" x14ac:dyDescent="0.35">
      <c r="C106" s="35"/>
      <c r="D106" s="35"/>
      <c r="E106" s="36"/>
      <c r="F106" s="37"/>
      <c r="G106" s="42"/>
      <c r="H106" s="42"/>
      <c r="I106" s="38"/>
    </row>
    <row r="107" spans="3:9" x14ac:dyDescent="0.35">
      <c r="C107" s="35"/>
      <c r="D107" s="35"/>
      <c r="E107" s="36"/>
      <c r="F107" s="37"/>
      <c r="G107" s="42"/>
      <c r="H107" s="42"/>
      <c r="I107" s="38"/>
    </row>
    <row r="108" spans="3:9" x14ac:dyDescent="0.35">
      <c r="C108" s="35"/>
      <c r="D108" s="35"/>
      <c r="E108" s="36"/>
      <c r="F108" s="37"/>
      <c r="G108" s="42"/>
      <c r="H108" s="42"/>
      <c r="I108" s="38"/>
    </row>
    <row r="109" spans="3:9" x14ac:dyDescent="0.35">
      <c r="C109" s="35"/>
      <c r="D109" s="35"/>
      <c r="E109" s="36"/>
      <c r="F109" s="37"/>
      <c r="G109" s="42"/>
      <c r="H109" s="42"/>
      <c r="I109" s="38"/>
    </row>
    <row r="110" spans="3:9" x14ac:dyDescent="0.35">
      <c r="C110" s="35"/>
      <c r="D110" s="35"/>
      <c r="E110" s="36"/>
      <c r="F110" s="37"/>
      <c r="G110" s="42"/>
      <c r="H110" s="42"/>
      <c r="I110" s="38"/>
    </row>
    <row r="111" spans="3:9" x14ac:dyDescent="0.35">
      <c r="C111" s="35"/>
      <c r="D111" s="35"/>
      <c r="E111" s="36"/>
      <c r="F111" s="37"/>
      <c r="G111" s="42"/>
      <c r="H111" s="42"/>
      <c r="I111" s="38"/>
    </row>
    <row r="112" spans="3:9" x14ac:dyDescent="0.35">
      <c r="C112" s="35"/>
      <c r="D112" s="35"/>
      <c r="E112" s="36"/>
      <c r="F112" s="37"/>
      <c r="G112" s="42"/>
      <c r="H112" s="42"/>
      <c r="I112" s="38"/>
    </row>
    <row r="113" spans="3:9" x14ac:dyDescent="0.35">
      <c r="C113" s="35"/>
      <c r="D113" s="35"/>
      <c r="E113" s="36"/>
      <c r="F113" s="37"/>
      <c r="G113" s="42"/>
      <c r="H113" s="42"/>
      <c r="I113" s="38"/>
    </row>
    <row r="114" spans="3:9" x14ac:dyDescent="0.35">
      <c r="C114" s="35"/>
      <c r="D114" s="35"/>
      <c r="E114" s="36"/>
      <c r="F114" s="37"/>
      <c r="G114" s="42"/>
      <c r="H114" s="42"/>
      <c r="I114" s="38"/>
    </row>
    <row r="115" spans="3:9" x14ac:dyDescent="0.35">
      <c r="C115" s="35"/>
      <c r="D115" s="35"/>
      <c r="E115" s="36"/>
      <c r="F115" s="37"/>
      <c r="G115" s="42"/>
      <c r="H115" s="42"/>
      <c r="I115" s="38"/>
    </row>
    <row r="116" spans="3:9" x14ac:dyDescent="0.35">
      <c r="C116" s="35"/>
      <c r="D116" s="35"/>
      <c r="E116" s="36"/>
      <c r="F116" s="37"/>
      <c r="G116" s="42"/>
      <c r="H116" s="42"/>
      <c r="I116" s="38"/>
    </row>
    <row r="117" spans="3:9" x14ac:dyDescent="0.35">
      <c r="C117" s="35"/>
      <c r="D117" s="35"/>
      <c r="E117" s="36"/>
      <c r="F117" s="37"/>
      <c r="G117" s="42"/>
      <c r="H117" s="42"/>
      <c r="I117" s="38"/>
    </row>
    <row r="118" spans="3:9" x14ac:dyDescent="0.35">
      <c r="C118" s="35"/>
      <c r="D118" s="35"/>
      <c r="E118" s="36"/>
      <c r="F118" s="37"/>
      <c r="G118" s="42"/>
      <c r="H118" s="42"/>
      <c r="I118" s="38"/>
    </row>
    <row r="119" spans="3:9" x14ac:dyDescent="0.35">
      <c r="C119" s="35"/>
      <c r="D119" s="35"/>
      <c r="E119" s="36"/>
      <c r="F119" s="37"/>
      <c r="G119" s="42"/>
      <c r="H119" s="42"/>
      <c r="I119" s="38"/>
    </row>
    <row r="120" spans="3:9" x14ac:dyDescent="0.35">
      <c r="C120" s="35"/>
      <c r="D120" s="35"/>
      <c r="E120" s="36"/>
      <c r="F120" s="37"/>
      <c r="G120" s="42"/>
      <c r="H120" s="42"/>
      <c r="I120" s="38"/>
    </row>
    <row r="121" spans="3:9" x14ac:dyDescent="0.35">
      <c r="C121" s="35"/>
      <c r="D121" s="35"/>
      <c r="E121" s="36"/>
      <c r="F121" s="37"/>
      <c r="G121" s="42"/>
      <c r="H121" s="42"/>
      <c r="I121" s="38"/>
    </row>
    <row r="122" spans="3:9" x14ac:dyDescent="0.35">
      <c r="C122" s="35"/>
      <c r="D122" s="35"/>
      <c r="E122" s="36"/>
      <c r="F122" s="37"/>
      <c r="G122" s="42"/>
      <c r="H122" s="42"/>
      <c r="I122" s="38"/>
    </row>
    <row r="123" spans="3:9" x14ac:dyDescent="0.35">
      <c r="C123" s="35"/>
      <c r="D123" s="35"/>
      <c r="E123" s="36"/>
      <c r="F123" s="37"/>
      <c r="G123" s="42"/>
      <c r="H123" s="42"/>
      <c r="I123" s="38"/>
    </row>
    <row r="124" spans="3:9" x14ac:dyDescent="0.35">
      <c r="C124" s="35"/>
      <c r="D124" s="35"/>
      <c r="E124" s="36"/>
      <c r="F124" s="37"/>
      <c r="G124" s="42"/>
      <c r="H124" s="42"/>
      <c r="I124" s="38"/>
    </row>
    <row r="125" spans="3:9" x14ac:dyDescent="0.35">
      <c r="C125" s="35"/>
      <c r="D125" s="35"/>
      <c r="E125" s="36"/>
      <c r="F125" s="37"/>
      <c r="G125" s="42"/>
      <c r="H125" s="42"/>
      <c r="I125" s="3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774-5854-4344-9305-010ADF56333A}">
  <dimension ref="A1:I13"/>
  <sheetViews>
    <sheetView tabSelected="1" topLeftCell="B1" workbookViewId="0">
      <selection activeCell="G4" sqref="G4"/>
    </sheetView>
  </sheetViews>
  <sheetFormatPr defaultRowHeight="14.5" x14ac:dyDescent="0.35"/>
  <cols>
    <col min="1" max="1" width="7.54296875" bestFit="1" customWidth="1"/>
    <col min="2" max="2" width="33.08984375" bestFit="1" customWidth="1"/>
    <col min="3" max="4" width="9.36328125" bestFit="1" customWidth="1"/>
    <col min="5" max="5" width="5" bestFit="1" customWidth="1"/>
    <col min="6" max="6" width="6.81640625" customWidth="1"/>
    <col min="7" max="7" width="9.90625" bestFit="1" customWidth="1"/>
    <col min="8" max="8" width="11.453125" bestFit="1" customWidth="1"/>
    <col min="9" max="9" width="32.81640625" bestFit="1" customWidth="1"/>
  </cols>
  <sheetData>
    <row r="1" spans="1:9" ht="58.5" thickBot="1" x14ac:dyDescent="0.4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17</v>
      </c>
      <c r="F1" s="15" t="s">
        <v>70</v>
      </c>
      <c r="G1" s="15" t="s">
        <v>71</v>
      </c>
      <c r="H1" s="15" t="s">
        <v>72</v>
      </c>
      <c r="I1" s="15" t="s">
        <v>73</v>
      </c>
    </row>
    <row r="2" spans="1:9" x14ac:dyDescent="0.35">
      <c r="A2" s="16" t="s">
        <v>74</v>
      </c>
      <c r="B2" s="17" t="s">
        <v>75</v>
      </c>
      <c r="C2" s="31">
        <v>33.996805000000002</v>
      </c>
      <c r="D2" s="32">
        <v>71.440115000000006</v>
      </c>
      <c r="E2" s="16">
        <f t="shared" ref="E2" si="0">INT((D2+180)/6)+1</f>
        <v>42</v>
      </c>
      <c r="F2" s="16">
        <f t="shared" ref="F2" si="1">(E2*6)-183</f>
        <v>69</v>
      </c>
      <c r="G2" s="34">
        <f t="shared" ref="G2" si="2">500000 + 0.9996 * (6378137/SQRT(1-0.00669438*(SIN(RADIANS(C2))^2))) * ((RADIANS(D2-F2)*COS(RADIANS(C2))) + (1 - TAN(RADIANS(C2))^2 + 0.0067395*(COS(RADIANS(C2))^2)) * ((RADIANS(D2-F2)*COS(RADIANS(C2)))^3)/6 + (5 - 18*TAN(RADIANS(C2))^2 + TAN(RADIANS(C2))^4 + 72*0.0067395*(COS(RADIANS(C2))^2) - 58*0.0067395) * ((RADIANS(D2-F2)*COS(RADIANS(C2)))^5)/120)</f>
        <v>725373.50020119664</v>
      </c>
      <c r="H2" s="34">
        <f t="shared" ref="H2" si="3">0.9996 * ((6378137*(0.9983242984*RADIANS(C2) - 0.002514607*SIN(2*RADIANS(C2)) + 0.000002639*SIN(4*RADIANS(C2)) - 0.000000003*SIN(6*RADIANS(C2)))) + (6378137/SQRT(1-0.00669438*(SIN(RADIANS(C2))^2))) * TAN(RADIANS(C2)) * (((RADIANS(D2-F2)*COS(RADIANS(C2)))^2)/2 + (5 - TAN(RADIANS(C2))^2 + 9*0.0067395*(COS(RADIANS(C2))^2) + 4*(0.0067395*(COS(RADIANS(C2))^2))^2) * ((RADIANS(D2-F2)*COS(RADIANS(C2)))^4)/24 + (61 - 58*TAN(RADIANS(C2))^2 + TAN(RADIANS(C2))^4 + 600*0.0067395*(COS(RADIANS(C2))^2) - 330*0.0067395) * ((RADIANS(D2-F2)*COS(RADIANS(C2)))^6)/720))</f>
        <v>3764486.0991854998</v>
      </c>
      <c r="I2" s="20" t="str">
        <f t="shared" ref="I2" si="4">"UTM Zone " &amp; E2 &amp; "N / " &amp; TEXT(G2,"#,##0") &amp; "E, " &amp; TEXT(H2,"#,##0") &amp; "N"</f>
        <v>UTM Zone 42N / 725,374E, 3,764,486N</v>
      </c>
    </row>
    <row r="3" spans="1:9" x14ac:dyDescent="0.35">
      <c r="A3" s="16" t="s">
        <v>76</v>
      </c>
      <c r="B3" s="17" t="s">
        <v>75</v>
      </c>
      <c r="C3" s="31">
        <v>33.996749999999999</v>
      </c>
      <c r="D3" s="32">
        <v>71.440866</v>
      </c>
      <c r="E3" s="16">
        <f t="shared" ref="E3:E13" si="5">INT((D3+180)/6)+1</f>
        <v>42</v>
      </c>
      <c r="F3" s="16">
        <f t="shared" ref="F3:F13" si="6">(E3*6)-183</f>
        <v>69</v>
      </c>
      <c r="G3" s="34">
        <f t="shared" ref="G3:G13" si="7">500000 + 0.9996 * (6378137/SQRT(1-0.00669438*(SIN(RADIANS(C3))^2))) * ((RADIANS(D3-F3)*COS(RADIANS(C3))) + (1 - TAN(RADIANS(C3))^2 + 0.0067395*(COS(RADIANS(C3))^2)) * ((RADIANS(D3-F3)*COS(RADIANS(C3)))^3)/6 + (5 - 18*TAN(RADIANS(C3))^2 + TAN(RADIANS(C3))^4 + 72*0.0067395*(COS(RADIANS(C3))^2) - 58*0.0067395) * ((RADIANS(D3-F3)*COS(RADIANS(C3)))^5)/120)</f>
        <v>725443.02518306125</v>
      </c>
      <c r="H3" s="34">
        <f t="shared" ref="H3:H13" si="8">0.9996 * ((6378137*(0.9983242984*RADIANS(C3) - 0.002514607*SIN(2*RADIANS(C3)) + 0.000002639*SIN(4*RADIANS(C3)) - 0.000000003*SIN(6*RADIANS(C3)))) + (6378137/SQRT(1-0.00669438*(SIN(RADIANS(C3))^2))) * TAN(RADIANS(C3)) * (((RADIANS(D3-F3)*COS(RADIANS(C3)))^2)/2 + (5 - TAN(RADIANS(C3))^2 + 9*0.0067395*(COS(RADIANS(C3))^2) + 4*(0.0067395*(COS(RADIANS(C3))^2))^2) * ((RADIANS(D3-F3)*COS(RADIANS(C3)))^4)/24 + (61 - 58*TAN(RADIANS(C3))^2 + TAN(RADIANS(C3))^4 + 600*0.0067395*(COS(RADIANS(C3))^2) - 330*0.0067395) * ((RADIANS(D3-F3)*COS(RADIANS(C3)))^6)/720))</f>
        <v>3764481.6522049252</v>
      </c>
      <c r="I3" s="20" t="str">
        <f t="shared" ref="I3:I13" si="9">"UTM Zone " &amp; E3 &amp; "N / " &amp; TEXT(G3,"#,##0") &amp; "E, " &amp; TEXT(H3,"#,##0") &amp; "N"</f>
        <v>UTM Zone 42N / 725,443E, 3,764,482N</v>
      </c>
    </row>
    <row r="4" spans="1:9" x14ac:dyDescent="0.35">
      <c r="A4" s="16" t="s">
        <v>78</v>
      </c>
      <c r="B4" s="17" t="s">
        <v>75</v>
      </c>
      <c r="C4" s="31">
        <v>33.996701999999999</v>
      </c>
      <c r="D4" s="32">
        <v>71.441635000000005</v>
      </c>
      <c r="E4" s="16">
        <f t="shared" si="5"/>
        <v>42</v>
      </c>
      <c r="F4" s="16">
        <f t="shared" si="6"/>
        <v>69</v>
      </c>
      <c r="G4" s="34">
        <f t="shared" si="7"/>
        <v>725514.19465295249</v>
      </c>
      <c r="H4" s="34">
        <f t="shared" si="8"/>
        <v>3764478.021790558</v>
      </c>
      <c r="I4" s="20" t="str">
        <f t="shared" si="9"/>
        <v>UTM Zone 42N / 725,514E, 3,764,478N</v>
      </c>
    </row>
    <row r="5" spans="1:9" x14ac:dyDescent="0.35">
      <c r="A5" s="16" t="s">
        <v>80</v>
      </c>
      <c r="B5" s="17" t="s">
        <v>75</v>
      </c>
      <c r="C5" s="31">
        <v>33.996651</v>
      </c>
      <c r="D5" s="32">
        <v>71.442519000000004</v>
      </c>
      <c r="E5" s="16">
        <f t="shared" si="5"/>
        <v>42</v>
      </c>
      <c r="F5" s="16">
        <f t="shared" si="6"/>
        <v>69</v>
      </c>
      <c r="G5" s="34">
        <f t="shared" si="7"/>
        <v>725595.99621613557</v>
      </c>
      <c r="H5" s="34">
        <f t="shared" si="8"/>
        <v>3764474.3125480362</v>
      </c>
      <c r="I5" s="20" t="str">
        <f t="shared" si="9"/>
        <v>UTM Zone 42N / 725,596E, 3,764,474N</v>
      </c>
    </row>
    <row r="6" spans="1:9" x14ac:dyDescent="0.35">
      <c r="A6" s="16" t="s">
        <v>82</v>
      </c>
      <c r="B6" s="17" t="s">
        <v>75</v>
      </c>
      <c r="C6" s="31">
        <v>33.996628999999999</v>
      </c>
      <c r="D6" s="32">
        <v>71.442920000000001</v>
      </c>
      <c r="E6" s="16">
        <f t="shared" si="5"/>
        <v>42</v>
      </c>
      <c r="F6" s="16">
        <f t="shared" si="6"/>
        <v>69</v>
      </c>
      <c r="G6" s="34">
        <f t="shared" si="7"/>
        <v>725633.10007064731</v>
      </c>
      <c r="H6" s="34">
        <f t="shared" si="8"/>
        <v>3764472.7560407557</v>
      </c>
      <c r="I6" s="20" t="str">
        <f t="shared" si="9"/>
        <v>UTM Zone 42N / 725,633E, 3,764,473N</v>
      </c>
    </row>
    <row r="7" spans="1:9" x14ac:dyDescent="0.35">
      <c r="A7" s="16" t="s">
        <v>84</v>
      </c>
      <c r="B7" s="17" t="s">
        <v>75</v>
      </c>
      <c r="C7" s="31">
        <v>33.996603999999998</v>
      </c>
      <c r="D7" s="32">
        <v>71.443309999999997</v>
      </c>
      <c r="E7" s="16">
        <f t="shared" si="5"/>
        <v>42</v>
      </c>
      <c r="F7" s="16">
        <f t="shared" si="6"/>
        <v>69</v>
      </c>
      <c r="G7" s="34">
        <f t="shared" si="7"/>
        <v>725669.19567195559</v>
      </c>
      <c r="H7" s="34">
        <f t="shared" si="8"/>
        <v>3764470.842684621</v>
      </c>
      <c r="I7" s="20" t="str">
        <f t="shared" si="9"/>
        <v>UTM Zone 42N / 725,669E, 3,764,471N</v>
      </c>
    </row>
    <row r="8" spans="1:9" x14ac:dyDescent="0.35">
      <c r="A8" s="16" t="s">
        <v>86</v>
      </c>
      <c r="B8" s="17" t="s">
        <v>75</v>
      </c>
      <c r="C8" s="31">
        <v>33.996184</v>
      </c>
      <c r="D8" s="32">
        <v>71.443397000000004</v>
      </c>
      <c r="E8" s="16">
        <f t="shared" si="5"/>
        <v>42</v>
      </c>
      <c r="F8" s="16">
        <f t="shared" si="6"/>
        <v>69</v>
      </c>
      <c r="G8" s="34">
        <f t="shared" si="7"/>
        <v>725678.34449331742</v>
      </c>
      <c r="H8" s="34">
        <f t="shared" si="8"/>
        <v>3764424.449714717</v>
      </c>
      <c r="I8" s="20" t="str">
        <f t="shared" si="9"/>
        <v>UTM Zone 42N / 725,678E, 3,764,424N</v>
      </c>
    </row>
    <row r="9" spans="1:9" x14ac:dyDescent="0.35">
      <c r="A9" s="16" t="s">
        <v>88</v>
      </c>
      <c r="B9" s="17" t="s">
        <v>75</v>
      </c>
      <c r="C9" s="31">
        <v>33.995657999999999</v>
      </c>
      <c r="D9" s="32">
        <v>71.443360999999996</v>
      </c>
      <c r="E9" s="16">
        <f t="shared" si="5"/>
        <v>42</v>
      </c>
      <c r="F9" s="16">
        <f t="shared" si="6"/>
        <v>69</v>
      </c>
      <c r="G9" s="34">
        <f t="shared" si="7"/>
        <v>725676.41064086824</v>
      </c>
      <c r="H9" s="34">
        <f t="shared" si="8"/>
        <v>3764366.0285358168</v>
      </c>
      <c r="I9" s="20" t="str">
        <f t="shared" si="9"/>
        <v>UTM Zone 42N / 725,676E, 3,764,366N</v>
      </c>
    </row>
    <row r="10" spans="1:9" x14ac:dyDescent="0.35">
      <c r="A10" s="16" t="s">
        <v>90</v>
      </c>
      <c r="B10" s="17" t="s">
        <v>75</v>
      </c>
      <c r="C10" s="31">
        <v>33.995655999999997</v>
      </c>
      <c r="D10" s="32">
        <v>71.443374000000006</v>
      </c>
      <c r="E10" s="16">
        <f t="shared" si="5"/>
        <v>42</v>
      </c>
      <c r="F10" s="16">
        <f t="shared" si="6"/>
        <v>69</v>
      </c>
      <c r="G10" s="34">
        <f t="shared" si="7"/>
        <v>725677.61692872411</v>
      </c>
      <c r="H10" s="34">
        <f t="shared" si="8"/>
        <v>3764365.8353578378</v>
      </c>
      <c r="I10" s="20" t="str">
        <f t="shared" si="9"/>
        <v>UTM Zone 42N / 725,678E, 3,764,366N</v>
      </c>
    </row>
    <row r="11" spans="1:9" x14ac:dyDescent="0.35">
      <c r="A11" s="16" t="s">
        <v>92</v>
      </c>
      <c r="B11" s="17" t="s">
        <v>75</v>
      </c>
      <c r="C11" s="31">
        <v>33.995666999999997</v>
      </c>
      <c r="D11" s="32">
        <v>71.443359999999998</v>
      </c>
      <c r="E11" s="16">
        <f t="shared" si="5"/>
        <v>42</v>
      </c>
      <c r="F11" s="16">
        <f t="shared" si="6"/>
        <v>69</v>
      </c>
      <c r="G11" s="34">
        <f t="shared" si="7"/>
        <v>725676.29443998355</v>
      </c>
      <c r="H11" s="34">
        <f t="shared" si="8"/>
        <v>3764367.0245758388</v>
      </c>
      <c r="I11" s="20" t="str">
        <f t="shared" si="9"/>
        <v>UTM Zone 42N / 725,676E, 3,764,367N</v>
      </c>
    </row>
    <row r="12" spans="1:9" x14ac:dyDescent="0.35">
      <c r="A12" s="16" t="s">
        <v>141</v>
      </c>
      <c r="B12" s="17" t="s">
        <v>75</v>
      </c>
      <c r="C12" s="31">
        <v>33.995356000000001</v>
      </c>
      <c r="D12" s="32">
        <v>71.443335000000005</v>
      </c>
      <c r="E12" s="16">
        <f t="shared" si="5"/>
        <v>42</v>
      </c>
      <c r="F12" s="16">
        <f t="shared" si="6"/>
        <v>69</v>
      </c>
      <c r="G12" s="34">
        <f t="shared" si="7"/>
        <v>725674.80781942757</v>
      </c>
      <c r="H12" s="34">
        <f t="shared" si="8"/>
        <v>3764332.474591224</v>
      </c>
      <c r="I12" s="20" t="str">
        <f t="shared" si="9"/>
        <v>UTM Zone 42N / 725,675E, 3,764,332N</v>
      </c>
    </row>
    <row r="13" spans="1:9" x14ac:dyDescent="0.35">
      <c r="A13" s="16" t="s">
        <v>142</v>
      </c>
      <c r="B13" s="17" t="s">
        <v>75</v>
      </c>
      <c r="C13" s="18">
        <v>33.996805000000002</v>
      </c>
      <c r="D13" s="18">
        <v>71.440115000000006</v>
      </c>
      <c r="E13" s="16">
        <f t="shared" si="5"/>
        <v>42</v>
      </c>
      <c r="F13" s="16">
        <f t="shared" si="6"/>
        <v>69</v>
      </c>
      <c r="G13" s="19">
        <f t="shared" si="7"/>
        <v>725373.50020119664</v>
      </c>
      <c r="H13" s="19">
        <f t="shared" si="8"/>
        <v>3764486.0991854998</v>
      </c>
      <c r="I13" s="20" t="str">
        <f t="shared" si="9"/>
        <v>UTM Zone 42N / 725,374E, 3,764,486N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D9" sqref="D9"/>
    </sheetView>
  </sheetViews>
  <sheetFormatPr defaultRowHeight="14.5" x14ac:dyDescent="0.35"/>
  <cols>
    <col min="1" max="1" width="28" customWidth="1"/>
    <col min="2" max="2" width="7.54296875" bestFit="1" customWidth="1"/>
    <col min="3" max="3" width="25" customWidth="1"/>
    <col min="4" max="4" width="50" customWidth="1"/>
  </cols>
  <sheetData>
    <row r="1" spans="1:4" ht="21" x14ac:dyDescent="0.5">
      <c r="A1" s="1" t="s">
        <v>94</v>
      </c>
    </row>
    <row r="2" spans="1:4" x14ac:dyDescent="0.35">
      <c r="A2" s="2" t="s">
        <v>95</v>
      </c>
    </row>
    <row r="4" spans="1:4" x14ac:dyDescent="0.35">
      <c r="A4" s="3" t="s">
        <v>96</v>
      </c>
    </row>
    <row r="5" spans="1:4" x14ac:dyDescent="0.35">
      <c r="A5" s="24" t="s">
        <v>3</v>
      </c>
      <c r="B5" s="24" t="s">
        <v>97</v>
      </c>
      <c r="C5" s="24" t="s">
        <v>4</v>
      </c>
      <c r="D5" s="24" t="s">
        <v>98</v>
      </c>
    </row>
    <row r="6" spans="1:4" x14ac:dyDescent="0.35">
      <c r="A6" s="5" t="s">
        <v>99</v>
      </c>
      <c r="B6" s="21" t="s">
        <v>100</v>
      </c>
      <c r="C6" s="5" t="s">
        <v>101</v>
      </c>
      <c r="D6" s="22" t="s">
        <v>102</v>
      </c>
    </row>
    <row r="7" spans="1:4" x14ac:dyDescent="0.35">
      <c r="A7" s="5" t="s">
        <v>103</v>
      </c>
      <c r="B7" s="21" t="s">
        <v>104</v>
      </c>
      <c r="C7" s="5" t="s">
        <v>105</v>
      </c>
      <c r="D7" s="22" t="s">
        <v>106</v>
      </c>
    </row>
    <row r="8" spans="1:4" x14ac:dyDescent="0.35">
      <c r="A8" s="5" t="s">
        <v>107</v>
      </c>
      <c r="B8" s="21" t="s">
        <v>108</v>
      </c>
      <c r="C8" s="5" t="s">
        <v>109</v>
      </c>
      <c r="D8" s="22" t="s">
        <v>110</v>
      </c>
    </row>
    <row r="9" spans="1:4" x14ac:dyDescent="0.35">
      <c r="A9" s="5" t="s">
        <v>111</v>
      </c>
      <c r="B9" s="21" t="s">
        <v>112</v>
      </c>
      <c r="C9" s="5" t="s">
        <v>113</v>
      </c>
      <c r="D9" s="22" t="s">
        <v>114</v>
      </c>
    </row>
    <row r="10" spans="1:4" x14ac:dyDescent="0.35">
      <c r="A10" s="5" t="s">
        <v>115</v>
      </c>
      <c r="B10" s="21" t="s">
        <v>116</v>
      </c>
      <c r="C10" s="5" t="s">
        <v>117</v>
      </c>
      <c r="D10" s="22" t="s">
        <v>118</v>
      </c>
    </row>
    <row r="11" spans="1:4" x14ac:dyDescent="0.35">
      <c r="A11" s="5" t="s">
        <v>119</v>
      </c>
      <c r="B11" s="21" t="s">
        <v>120</v>
      </c>
      <c r="C11" s="5" t="s">
        <v>121</v>
      </c>
      <c r="D11" s="22" t="s">
        <v>122</v>
      </c>
    </row>
    <row r="12" spans="1:4" x14ac:dyDescent="0.35">
      <c r="A12" s="5" t="s">
        <v>123</v>
      </c>
      <c r="B12" s="21" t="s">
        <v>124</v>
      </c>
      <c r="C12" s="5" t="s">
        <v>125</v>
      </c>
      <c r="D12" s="22" t="s">
        <v>126</v>
      </c>
    </row>
    <row r="15" spans="1:4" x14ac:dyDescent="0.35">
      <c r="A15" s="3" t="s">
        <v>127</v>
      </c>
    </row>
    <row r="16" spans="1:4" x14ac:dyDescent="0.35">
      <c r="A16" s="24" t="s">
        <v>128</v>
      </c>
      <c r="B16" s="27" t="s">
        <v>129</v>
      </c>
      <c r="C16" s="26"/>
      <c r="D16" s="26"/>
    </row>
    <row r="17" spans="1:4" x14ac:dyDescent="0.35">
      <c r="A17" s="5" t="s">
        <v>130</v>
      </c>
      <c r="B17" s="28" t="s">
        <v>131</v>
      </c>
      <c r="C17" s="29"/>
      <c r="D17" s="29"/>
    </row>
    <row r="18" spans="1:4" x14ac:dyDescent="0.35">
      <c r="A18" s="5" t="s">
        <v>20</v>
      </c>
      <c r="B18" s="28" t="s">
        <v>132</v>
      </c>
      <c r="C18" s="29"/>
      <c r="D18" s="29"/>
    </row>
    <row r="19" spans="1:4" x14ac:dyDescent="0.35">
      <c r="A19" s="5" t="s">
        <v>133</v>
      </c>
      <c r="B19" s="28" t="s">
        <v>134</v>
      </c>
      <c r="C19" s="29"/>
      <c r="D19" s="29"/>
    </row>
    <row r="20" spans="1:4" x14ac:dyDescent="0.35">
      <c r="A20" s="5" t="s">
        <v>135</v>
      </c>
      <c r="B20" s="28" t="s">
        <v>136</v>
      </c>
      <c r="C20" s="29"/>
      <c r="D20" s="29"/>
    </row>
    <row r="21" spans="1:4" x14ac:dyDescent="0.35">
      <c r="A21" s="5" t="s">
        <v>137</v>
      </c>
      <c r="B21" s="28" t="s">
        <v>138</v>
      </c>
      <c r="C21" s="29"/>
      <c r="D21" s="29"/>
    </row>
    <row r="22" spans="1:4" x14ac:dyDescent="0.35">
      <c r="A22" s="5" t="s">
        <v>139</v>
      </c>
      <c r="B22" s="28" t="s">
        <v>140</v>
      </c>
      <c r="C22" s="29"/>
      <c r="D22" s="29"/>
    </row>
  </sheetData>
  <mergeCells count="7">
    <mergeCell ref="B16:D16"/>
    <mergeCell ref="B20:D20"/>
    <mergeCell ref="B19:D19"/>
    <mergeCell ref="B22:D22"/>
    <mergeCell ref="B17:D17"/>
    <mergeCell ref="B18:D18"/>
    <mergeCell ref="B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 Point Converter</vt:lpstr>
      <vt:lpstr>Batch Converter</vt:lpstr>
      <vt:lpstr>Hayatabad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 consultant</cp:lastModifiedBy>
  <dcterms:created xsi:type="dcterms:W3CDTF">2026-07-21T08:20:07Z</dcterms:created>
  <dcterms:modified xsi:type="dcterms:W3CDTF">2026-07-21T09:58:06Z</dcterms:modified>
</cp:coreProperties>
</file>