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3437520A-ACE6-40D9-B8E9-D25D69BB82C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Sheet1!$A$1:$BJ$692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484" i="1" l="1"/>
  <c r="BA484" i="1" s="1"/>
  <c r="AZ692" i="1"/>
  <c r="AY692" i="1"/>
  <c r="BA692" i="1" s="1"/>
  <c r="BA690" i="1"/>
  <c r="AZ690" i="1"/>
  <c r="AY690" i="1"/>
  <c r="AZ688" i="1"/>
  <c r="AY688" i="1"/>
  <c r="BA688" i="1" s="1"/>
  <c r="AZ686" i="1"/>
  <c r="AY686" i="1"/>
  <c r="BA686" i="1" s="1"/>
  <c r="AZ684" i="1"/>
  <c r="AY684" i="1"/>
  <c r="BA684" i="1" s="1"/>
  <c r="BA682" i="1"/>
  <c r="AZ682" i="1"/>
  <c r="AY682" i="1"/>
  <c r="AZ680" i="1"/>
  <c r="BA680" i="1" s="1"/>
  <c r="AY680" i="1"/>
  <c r="AZ676" i="1"/>
  <c r="AY676" i="1"/>
  <c r="BA676" i="1" s="1"/>
  <c r="AZ674" i="1"/>
  <c r="AY674" i="1"/>
  <c r="BA674" i="1" s="1"/>
  <c r="BA672" i="1"/>
  <c r="AZ672" i="1"/>
  <c r="AY672" i="1"/>
  <c r="AZ670" i="1"/>
  <c r="BA670" i="1" s="1"/>
  <c r="AY670" i="1"/>
  <c r="AZ668" i="1"/>
  <c r="AY668" i="1"/>
  <c r="BA668" i="1" s="1"/>
  <c r="AZ666" i="1"/>
  <c r="AY666" i="1"/>
  <c r="BA666" i="1" s="1"/>
  <c r="BA664" i="1"/>
  <c r="AZ664" i="1"/>
  <c r="AY664" i="1"/>
  <c r="AZ662" i="1"/>
  <c r="BA662" i="1" s="1"/>
  <c r="AY662" i="1"/>
  <c r="AZ660" i="1"/>
  <c r="AY660" i="1"/>
  <c r="BA660" i="1" s="1"/>
  <c r="AZ658" i="1"/>
  <c r="AY658" i="1"/>
  <c r="BA658" i="1" s="1"/>
  <c r="BA656" i="1"/>
  <c r="AZ656" i="1"/>
  <c r="AY656" i="1"/>
  <c r="AZ654" i="1"/>
  <c r="BA654" i="1" s="1"/>
  <c r="AY654" i="1"/>
  <c r="AZ652" i="1"/>
  <c r="AY652" i="1"/>
  <c r="BA652" i="1" s="1"/>
  <c r="AZ650" i="1"/>
  <c r="AY650" i="1"/>
  <c r="BA650" i="1" s="1"/>
  <c r="BA648" i="1"/>
  <c r="AZ648" i="1"/>
  <c r="AY648" i="1"/>
  <c r="AZ646" i="1"/>
  <c r="BA646" i="1" s="1"/>
  <c r="AY646" i="1"/>
  <c r="AZ644" i="1"/>
  <c r="AY644" i="1"/>
  <c r="BA644" i="1" s="1"/>
  <c r="AZ642" i="1"/>
  <c r="AY642" i="1"/>
  <c r="BA642" i="1" s="1"/>
  <c r="BA640" i="1"/>
  <c r="AZ640" i="1"/>
  <c r="AY640" i="1"/>
  <c r="AZ638" i="1"/>
  <c r="BA638" i="1" s="1"/>
  <c r="AY638" i="1"/>
  <c r="AZ636" i="1"/>
  <c r="AY636" i="1"/>
  <c r="BA636" i="1" s="1"/>
  <c r="AZ634" i="1"/>
  <c r="AY634" i="1"/>
  <c r="BA634" i="1" s="1"/>
  <c r="BA632" i="1"/>
  <c r="AZ632" i="1"/>
  <c r="AY632" i="1"/>
  <c r="AZ630" i="1"/>
  <c r="BA630" i="1" s="1"/>
  <c r="AY630" i="1"/>
  <c r="AZ628" i="1"/>
  <c r="AY628" i="1"/>
  <c r="BA628" i="1" s="1"/>
  <c r="AZ626" i="1"/>
  <c r="AY626" i="1"/>
  <c r="BA626" i="1" s="1"/>
  <c r="BA624" i="1"/>
  <c r="AZ624" i="1"/>
  <c r="AY624" i="1"/>
  <c r="AZ622" i="1"/>
  <c r="BA622" i="1" s="1"/>
  <c r="AY622" i="1"/>
  <c r="AZ620" i="1"/>
  <c r="AY620" i="1"/>
  <c r="BA620" i="1" s="1"/>
  <c r="AZ618" i="1"/>
  <c r="AY618" i="1"/>
  <c r="BA618" i="1" s="1"/>
  <c r="BA616" i="1"/>
  <c r="AZ616" i="1"/>
  <c r="AY616" i="1"/>
  <c r="AZ614" i="1"/>
  <c r="BA614" i="1" s="1"/>
  <c r="AY614" i="1"/>
  <c r="AZ600" i="1"/>
  <c r="AY600" i="1"/>
  <c r="BA600" i="1" s="1"/>
  <c r="AZ598" i="1"/>
  <c r="AY598" i="1"/>
  <c r="BA598" i="1" s="1"/>
  <c r="BA592" i="1"/>
  <c r="AZ592" i="1"/>
  <c r="AY592" i="1"/>
  <c r="AZ590" i="1"/>
  <c r="BA590" i="1" s="1"/>
  <c r="AY590" i="1"/>
  <c r="AZ588" i="1"/>
  <c r="AY588" i="1"/>
  <c r="BA588" i="1" s="1"/>
  <c r="AZ586" i="1"/>
  <c r="AY586" i="1"/>
  <c r="BA586" i="1" s="1"/>
  <c r="BA584" i="1"/>
  <c r="AZ584" i="1"/>
  <c r="AY584" i="1"/>
  <c r="AZ582" i="1"/>
  <c r="BA582" i="1" s="1"/>
  <c r="AY582" i="1"/>
  <c r="AZ580" i="1"/>
  <c r="AY580" i="1"/>
  <c r="BA580" i="1" s="1"/>
  <c r="AZ578" i="1"/>
  <c r="AY578" i="1"/>
  <c r="BA578" i="1" s="1"/>
  <c r="BA576" i="1"/>
  <c r="AZ576" i="1"/>
  <c r="AY576" i="1"/>
  <c r="AZ574" i="1"/>
  <c r="BA574" i="1" s="1"/>
  <c r="AY574" i="1"/>
  <c r="AZ572" i="1"/>
  <c r="AY572" i="1"/>
  <c r="BA572" i="1" s="1"/>
  <c r="AZ570" i="1"/>
  <c r="AY570" i="1"/>
  <c r="BA570" i="1" s="1"/>
  <c r="BA568" i="1"/>
  <c r="AZ568" i="1"/>
  <c r="AY568" i="1"/>
  <c r="AZ566" i="1"/>
  <c r="BA566" i="1" s="1"/>
  <c r="AY566" i="1"/>
  <c r="AZ564" i="1"/>
  <c r="AY564" i="1"/>
  <c r="BA564" i="1" s="1"/>
  <c r="AZ562" i="1"/>
  <c r="AY562" i="1"/>
  <c r="BA562" i="1" s="1"/>
  <c r="BA560" i="1"/>
  <c r="AZ560" i="1"/>
  <c r="AY560" i="1"/>
  <c r="AZ558" i="1"/>
  <c r="BA558" i="1" s="1"/>
  <c r="AY558" i="1"/>
  <c r="AZ556" i="1"/>
  <c r="AY556" i="1"/>
  <c r="BA556" i="1" s="1"/>
  <c r="AZ554" i="1"/>
  <c r="AY554" i="1"/>
  <c r="BA554" i="1" s="1"/>
  <c r="BA552" i="1"/>
  <c r="AZ552" i="1"/>
  <c r="AY552" i="1"/>
  <c r="AZ550" i="1"/>
  <c r="BA550" i="1" s="1"/>
  <c r="AY550" i="1"/>
  <c r="AZ548" i="1"/>
  <c r="AY548" i="1"/>
  <c r="BA548" i="1" s="1"/>
  <c r="AZ546" i="1"/>
  <c r="AY546" i="1"/>
  <c r="BA546" i="1" s="1"/>
  <c r="BA544" i="1"/>
  <c r="AZ544" i="1"/>
  <c r="AY544" i="1"/>
  <c r="AZ542" i="1"/>
  <c r="BA542" i="1" s="1"/>
  <c r="AY542" i="1"/>
  <c r="AZ536" i="1"/>
  <c r="AY536" i="1"/>
  <c r="BA536" i="1" s="1"/>
  <c r="AZ534" i="1"/>
  <c r="AY534" i="1"/>
  <c r="BA534" i="1" s="1"/>
  <c r="BA532" i="1"/>
  <c r="AZ532" i="1"/>
  <c r="AY532" i="1"/>
  <c r="AZ530" i="1"/>
  <c r="BA530" i="1" s="1"/>
  <c r="AY530" i="1"/>
  <c r="AZ528" i="1"/>
  <c r="AY528" i="1"/>
  <c r="BA528" i="1" s="1"/>
  <c r="AZ526" i="1"/>
  <c r="AY526" i="1"/>
  <c r="BA526" i="1" s="1"/>
  <c r="BA524" i="1"/>
  <c r="AZ524" i="1"/>
  <c r="AY524" i="1"/>
  <c r="AZ522" i="1"/>
  <c r="BA522" i="1" s="1"/>
  <c r="AY522" i="1"/>
  <c r="AZ520" i="1"/>
  <c r="AY520" i="1"/>
  <c r="BA520" i="1" s="1"/>
  <c r="AZ518" i="1"/>
  <c r="AY518" i="1"/>
  <c r="BA518" i="1" s="1"/>
  <c r="BA516" i="1"/>
  <c r="AZ516" i="1"/>
  <c r="AY516" i="1"/>
  <c r="AZ514" i="1"/>
  <c r="BA514" i="1" s="1"/>
  <c r="AY514" i="1"/>
  <c r="AZ512" i="1"/>
  <c r="AY512" i="1"/>
  <c r="BA512" i="1" s="1"/>
  <c r="AZ510" i="1"/>
  <c r="AY510" i="1"/>
  <c r="BA510" i="1" s="1"/>
  <c r="BA508" i="1"/>
  <c r="AZ508" i="1"/>
  <c r="AY508" i="1"/>
  <c r="AZ506" i="1"/>
  <c r="BA506" i="1" s="1"/>
  <c r="AY506" i="1"/>
  <c r="AZ504" i="1"/>
  <c r="AY504" i="1"/>
  <c r="BA504" i="1" s="1"/>
  <c r="AZ500" i="1"/>
  <c r="AY500" i="1"/>
  <c r="BA500" i="1" s="1"/>
  <c r="BA498" i="1"/>
  <c r="AZ498" i="1"/>
  <c r="AY498" i="1"/>
  <c r="AZ496" i="1"/>
  <c r="BA496" i="1" s="1"/>
  <c r="AY496" i="1"/>
  <c r="AZ494" i="1"/>
  <c r="AY494" i="1"/>
  <c r="BA494" i="1" s="1"/>
  <c r="AZ492" i="1"/>
  <c r="AY492" i="1"/>
  <c r="BA492" i="1" s="1"/>
  <c r="BA490" i="1"/>
  <c r="AZ490" i="1"/>
  <c r="AY490" i="1"/>
  <c r="AZ486" i="1"/>
  <c r="BA486" i="1" s="1"/>
  <c r="AY486" i="1"/>
  <c r="AZ484" i="1"/>
  <c r="AZ482" i="1"/>
  <c r="AY482" i="1"/>
  <c r="BA482" i="1" s="1"/>
  <c r="BA480" i="1"/>
  <c r="AZ480" i="1"/>
  <c r="AY480" i="1"/>
  <c r="AZ474" i="1"/>
  <c r="BA474" i="1" s="1"/>
  <c r="AY474" i="1"/>
  <c r="AZ472" i="1"/>
  <c r="AY472" i="1"/>
  <c r="BA472" i="1" s="1"/>
  <c r="AZ470" i="1"/>
  <c r="AY470" i="1"/>
  <c r="BA470" i="1" s="1"/>
  <c r="BA468" i="1"/>
  <c r="AZ468" i="1"/>
  <c r="AY468" i="1"/>
  <c r="AZ466" i="1"/>
  <c r="BA466" i="1" s="1"/>
  <c r="AY466" i="1"/>
  <c r="AZ464" i="1"/>
  <c r="AY464" i="1"/>
  <c r="BA464" i="1" s="1"/>
  <c r="AZ460" i="1"/>
  <c r="AY460" i="1"/>
  <c r="BA460" i="1" s="1"/>
  <c r="BA456" i="1"/>
  <c r="AZ456" i="1"/>
  <c r="AY456" i="1"/>
  <c r="AZ454" i="1"/>
  <c r="BA454" i="1" s="1"/>
  <c r="AY454" i="1"/>
  <c r="AZ452" i="1"/>
  <c r="AY452" i="1"/>
  <c r="BA452" i="1" s="1"/>
  <c r="AZ450" i="1"/>
  <c r="AY450" i="1"/>
  <c r="BA450" i="1" s="1"/>
  <c r="BA448" i="1"/>
  <c r="AZ448" i="1"/>
  <c r="AY448" i="1"/>
  <c r="AZ446" i="1"/>
  <c r="BA446" i="1" s="1"/>
  <c r="AY446" i="1"/>
  <c r="AZ444" i="1"/>
  <c r="AY444" i="1"/>
  <c r="BA444" i="1" s="1"/>
  <c r="AZ442" i="1"/>
  <c r="AY442" i="1"/>
  <c r="BA442" i="1" s="1"/>
  <c r="BA440" i="1"/>
  <c r="AZ440" i="1"/>
  <c r="AY440" i="1"/>
  <c r="AZ438" i="1"/>
  <c r="BA438" i="1" s="1"/>
  <c r="AY438" i="1"/>
  <c r="AZ436" i="1"/>
  <c r="AY436" i="1"/>
  <c r="BA436" i="1" s="1"/>
  <c r="AZ434" i="1"/>
  <c r="AY434" i="1"/>
  <c r="BA434" i="1" s="1"/>
  <c r="BA432" i="1"/>
  <c r="AZ432" i="1"/>
  <c r="AY432" i="1"/>
  <c r="AZ430" i="1"/>
  <c r="BA430" i="1" s="1"/>
  <c r="AY430" i="1"/>
  <c r="AZ428" i="1"/>
  <c r="AY428" i="1"/>
  <c r="BA428" i="1" s="1"/>
  <c r="AZ426" i="1"/>
  <c r="AY426" i="1"/>
  <c r="BA426" i="1" s="1"/>
  <c r="BA424" i="1"/>
  <c r="AZ424" i="1"/>
  <c r="AY424" i="1"/>
  <c r="AZ422" i="1"/>
  <c r="BA422" i="1" s="1"/>
  <c r="AY422" i="1"/>
  <c r="AZ420" i="1"/>
  <c r="AY420" i="1"/>
  <c r="BA420" i="1" s="1"/>
  <c r="AZ418" i="1"/>
  <c r="AY418" i="1"/>
  <c r="BA418" i="1" s="1"/>
  <c r="BA416" i="1"/>
  <c r="AZ416" i="1"/>
  <c r="AY416" i="1"/>
  <c r="BA414" i="1"/>
  <c r="AZ414" i="1"/>
  <c r="AY414" i="1"/>
  <c r="L9" i="1" l="1"/>
  <c r="L10" i="1" s="1"/>
  <c r="L11" i="1"/>
  <c r="L12" i="1" s="1"/>
  <c r="L13" i="1" s="1"/>
  <c r="L14" i="1" s="1"/>
  <c r="L15" i="1" s="1"/>
  <c r="L16" i="1" s="1"/>
  <c r="L17" i="1" s="1"/>
  <c r="L18" i="1"/>
  <c r="L19" i="1" s="1"/>
  <c r="L20" i="1" s="1"/>
  <c r="L21" i="1" s="1"/>
  <c r="L22" i="1" s="1"/>
  <c r="L23" i="1" s="1"/>
  <c r="L24" i="1"/>
  <c r="L25" i="1" s="1"/>
  <c r="L26" i="1" s="1"/>
  <c r="L27" i="1" s="1"/>
  <c r="L28" i="1"/>
  <c r="L29" i="1" s="1"/>
  <c r="L30" i="1" s="1"/>
  <c r="L31" i="1" s="1"/>
  <c r="L32" i="1" s="1"/>
  <c r="L33" i="1" s="1"/>
  <c r="L34" i="1" s="1"/>
  <c r="L35" i="1" s="1"/>
  <c r="L36" i="1"/>
  <c r="L37" i="1" s="1"/>
  <c r="L38" i="1" s="1"/>
  <c r="L39" i="1" s="1"/>
  <c r="L40" i="1" s="1"/>
  <c r="L41" i="1" s="1"/>
  <c r="L42" i="1" s="1"/>
  <c r="L43" i="1"/>
  <c r="L44" i="1" s="1"/>
  <c r="L45" i="1" s="1"/>
  <c r="L46" i="1" s="1"/>
  <c r="L47" i="1" s="1"/>
  <c r="L48" i="1" s="1"/>
  <c r="L49" i="1"/>
  <c r="L50" i="1" s="1"/>
  <c r="L51" i="1" s="1"/>
  <c r="L52" i="1" s="1"/>
  <c r="L53" i="1" s="1"/>
  <c r="L54" i="1" s="1"/>
  <c r="L55" i="1" s="1"/>
  <c r="L56" i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/>
  <c r="L69" i="1" s="1"/>
  <c r="L70" i="1" s="1"/>
  <c r="L71" i="1"/>
  <c r="L72" i="1" s="1"/>
  <c r="L73" i="1" s="1"/>
  <c r="L74" i="1" s="1"/>
  <c r="L75" i="1" s="1"/>
  <c r="L76" i="1" s="1"/>
  <c r="L77" i="1" s="1"/>
  <c r="L78" i="1" s="1"/>
  <c r="L79" i="1"/>
  <c r="L80" i="1" s="1"/>
  <c r="L81" i="1" s="1"/>
  <c r="L82" i="1" s="1"/>
  <c r="L83" i="1" s="1"/>
  <c r="L84" i="1"/>
  <c r="L85" i="1" s="1"/>
  <c r="L86" i="1"/>
  <c r="L87" i="1" s="1"/>
  <c r="L88" i="1"/>
  <c r="L89" i="1" s="1"/>
  <c r="L90" i="1"/>
  <c r="L91" i="1" s="1"/>
  <c r="L92" i="1"/>
  <c r="L93" i="1" s="1"/>
  <c r="L94" i="1"/>
  <c r="L95" i="1" s="1"/>
  <c r="L96" i="1"/>
  <c r="L97" i="1" s="1"/>
  <c r="L98" i="1" s="1"/>
  <c r="L99" i="1"/>
  <c r="L100" i="1" s="1"/>
  <c r="L101" i="1"/>
  <c r="L102" i="1" s="1"/>
  <c r="L103" i="1"/>
  <c r="L104" i="1" s="1"/>
  <c r="L105" i="1" s="1"/>
  <c r="L106" i="1"/>
  <c r="L107" i="1" s="1"/>
  <c r="L108" i="1"/>
  <c r="L109" i="1" s="1"/>
  <c r="L110" i="1"/>
  <c r="L111" i="1" s="1"/>
  <c r="L112" i="1"/>
  <c r="L113" i="1" s="1"/>
  <c r="L114" i="1"/>
  <c r="L115" i="1" s="1"/>
  <c r="L116" i="1"/>
  <c r="L117" i="1" s="1"/>
  <c r="L118" i="1"/>
  <c r="L119" i="1" s="1"/>
  <c r="L120" i="1" s="1"/>
  <c r="L121" i="1" s="1"/>
  <c r="L122" i="1" s="1"/>
  <c r="L123" i="1"/>
  <c r="L124" i="1" s="1"/>
  <c r="L125" i="1"/>
  <c r="L126" i="1" s="1"/>
  <c r="L127" i="1"/>
  <c r="L128" i="1" s="1"/>
  <c r="L129" i="1" s="1"/>
  <c r="L130" i="1"/>
  <c r="L131" i="1" s="1"/>
  <c r="L132" i="1"/>
  <c r="L133" i="1" s="1"/>
  <c r="L134" i="1" s="1"/>
  <c r="L135" i="1" s="1"/>
  <c r="L136" i="1"/>
  <c r="L137" i="1" s="1"/>
  <c r="L138" i="1"/>
  <c r="L139" i="1" s="1"/>
  <c r="L140" i="1"/>
  <c r="L141" i="1" s="1"/>
  <c r="L142" i="1"/>
  <c r="L143" i="1" s="1"/>
  <c r="L144" i="1"/>
  <c r="L145" i="1" s="1"/>
  <c r="L146" i="1"/>
  <c r="L147" i="1" s="1"/>
  <c r="L148" i="1" s="1"/>
  <c r="L149" i="1" s="1"/>
  <c r="L150" i="1"/>
  <c r="L151" i="1" s="1"/>
  <c r="L152" i="1" s="1"/>
  <c r="L153" i="1" s="1"/>
  <c r="L154" i="1"/>
  <c r="L155" i="1" s="1"/>
  <c r="L156" i="1"/>
  <c r="L157" i="1" s="1"/>
  <c r="L158" i="1"/>
  <c r="L159" i="1" s="1"/>
  <c r="L160" i="1" s="1"/>
  <c r="L161" i="1" s="1"/>
  <c r="L162" i="1" s="1"/>
  <c r="L163" i="1" s="1"/>
  <c r="L164" i="1"/>
  <c r="L165" i="1" s="1"/>
  <c r="L166" i="1"/>
  <c r="L167" i="1" s="1"/>
  <c r="L168" i="1"/>
  <c r="L169" i="1" s="1"/>
  <c r="L170" i="1"/>
  <c r="L171" i="1" s="1"/>
  <c r="L172" i="1"/>
  <c r="L173" i="1" s="1"/>
  <c r="L174" i="1" s="1"/>
  <c r="L175" i="1"/>
  <c r="L176" i="1" s="1"/>
  <c r="L177" i="1"/>
  <c r="L178" i="1" s="1"/>
  <c r="L179" i="1"/>
  <c r="L180" i="1" s="1"/>
  <c r="L181" i="1" s="1"/>
  <c r="L182" i="1" s="1"/>
  <c r="L183" i="1" s="1"/>
  <c r="L184" i="1" s="1"/>
  <c r="L185" i="1" s="1"/>
  <c r="L186" i="1"/>
  <c r="L187" i="1" s="1"/>
  <c r="L188" i="1" s="1"/>
  <c r="L189" i="1" s="1"/>
  <c r="L190" i="1" s="1"/>
  <c r="L191" i="1"/>
  <c r="L192" i="1" s="1"/>
  <c r="L193" i="1"/>
  <c r="L194" i="1" s="1"/>
  <c r="L195" i="1"/>
  <c r="L196" i="1" s="1"/>
  <c r="L197" i="1" s="1"/>
  <c r="L198" i="1" s="1"/>
  <c r="L199" i="1"/>
  <c r="L200" i="1" s="1"/>
  <c r="L201" i="1"/>
  <c r="L202" i="1" s="1"/>
  <c r="L203" i="1"/>
  <c r="L204" i="1" s="1"/>
  <c r="L205" i="1"/>
  <c r="L206" i="1" s="1"/>
  <c r="L207" i="1"/>
  <c r="L208" i="1" s="1"/>
  <c r="L209" i="1" s="1"/>
  <c r="L210" i="1" s="1"/>
  <c r="L211" i="1"/>
  <c r="L212" i="1" s="1"/>
  <c r="L213" i="1"/>
  <c r="L214" i="1" s="1"/>
  <c r="L215" i="1"/>
  <c r="L216" i="1" s="1"/>
  <c r="L217" i="1"/>
  <c r="L218" i="1" s="1"/>
  <c r="L219" i="1"/>
  <c r="L220" i="1" s="1"/>
  <c r="L221" i="1"/>
  <c r="L222" i="1" s="1"/>
  <c r="L223" i="1" s="1"/>
  <c r="L224" i="1" s="1"/>
  <c r="L225" i="1" s="1"/>
  <c r="L226" i="1"/>
  <c r="L227" i="1" s="1"/>
  <c r="L228" i="1"/>
  <c r="L229" i="1" s="1"/>
  <c r="L230" i="1"/>
  <c r="L231" i="1" s="1"/>
  <c r="L232" i="1"/>
  <c r="L233" i="1" s="1"/>
  <c r="L234" i="1"/>
  <c r="L235" i="1"/>
  <c r="L236" i="1"/>
  <c r="L237" i="1" s="1"/>
  <c r="L238" i="1" s="1"/>
  <c r="L239" i="1" s="1"/>
  <c r="L240" i="1"/>
  <c r="L241" i="1" s="1"/>
  <c r="L242" i="1"/>
  <c r="L243" i="1" s="1"/>
  <c r="L244" i="1"/>
  <c r="L245" i="1"/>
  <c r="L246" i="1" s="1"/>
  <c r="L247" i="1"/>
  <c r="L248" i="1" s="1"/>
  <c r="L249" i="1" s="1"/>
  <c r="L250" i="1"/>
  <c r="L251" i="1" s="1"/>
  <c r="L252" i="1"/>
  <c r="L253" i="1" s="1"/>
  <c r="L254" i="1"/>
  <c r="L255" i="1" s="1"/>
  <c r="L256" i="1"/>
  <c r="L257" i="1" s="1"/>
  <c r="L258" i="1"/>
  <c r="L259" i="1" s="1"/>
  <c r="L260" i="1"/>
  <c r="L261" i="1" s="1"/>
  <c r="L262" i="1"/>
  <c r="L263" i="1" s="1"/>
  <c r="L264" i="1" s="1"/>
  <c r="L265" i="1"/>
  <c r="L266" i="1" s="1"/>
  <c r="L267" i="1"/>
  <c r="L268" i="1" s="1"/>
  <c r="L269" i="1"/>
  <c r="L270" i="1" s="1"/>
  <c r="L271" i="1"/>
  <c r="L272" i="1" s="1"/>
  <c r="L273" i="1" s="1"/>
  <c r="L274" i="1" s="1"/>
  <c r="L275" i="1"/>
  <c r="L276" i="1" s="1"/>
  <c r="L277" i="1"/>
  <c r="L278" i="1" s="1"/>
  <c r="L279" i="1"/>
  <c r="L280" i="1" s="1"/>
  <c r="L281" i="1" s="1"/>
  <c r="L282" i="1"/>
  <c r="L283" i="1" s="1"/>
  <c r="L284" i="1"/>
  <c r="L285" i="1" s="1"/>
  <c r="L286" i="1"/>
  <c r="L287" i="1" s="1"/>
  <c r="L288" i="1"/>
  <c r="L289" i="1" s="1"/>
  <c r="L290" i="1" s="1"/>
  <c r="L291" i="1"/>
  <c r="L292" i="1" s="1"/>
  <c r="L293" i="1"/>
  <c r="L294" i="1" s="1"/>
  <c r="L295" i="1"/>
  <c r="L296" i="1" s="1"/>
  <c r="L297" i="1" s="1"/>
  <c r="L298" i="1" s="1"/>
  <c r="L299" i="1"/>
  <c r="L300" i="1" s="1"/>
  <c r="L301" i="1"/>
  <c r="L302" i="1" s="1"/>
  <c r="L303" i="1"/>
  <c r="L304" i="1" s="1"/>
  <c r="L305" i="1" s="1"/>
  <c r="L306" i="1" s="1"/>
  <c r="L307" i="1"/>
  <c r="L308" i="1" s="1"/>
  <c r="L309" i="1"/>
  <c r="L310" i="1" s="1"/>
  <c r="L311" i="1"/>
  <c r="L312" i="1" s="1"/>
  <c r="L313" i="1" s="1"/>
  <c r="L314" i="1"/>
  <c r="L315" i="1" s="1"/>
  <c r="L316" i="1"/>
  <c r="L317" i="1" s="1"/>
  <c r="L318" i="1"/>
  <c r="L319" i="1" s="1"/>
  <c r="L320" i="1"/>
  <c r="L321" i="1" s="1"/>
  <c r="L322" i="1"/>
  <c r="L323" i="1" s="1"/>
  <c r="L324" i="1"/>
  <c r="L325" i="1" s="1"/>
  <c r="L326" i="1" s="1"/>
  <c r="L327" i="1" s="1"/>
  <c r="L328" i="1" s="1"/>
  <c r="L329" i="1" s="1"/>
  <c r="L330" i="1"/>
  <c r="L331" i="1" s="1"/>
  <c r="L332" i="1"/>
  <c r="L333" i="1" s="1"/>
  <c r="L334" i="1"/>
  <c r="L335" i="1" s="1"/>
  <c r="L336" i="1" s="1"/>
  <c r="L337" i="1"/>
  <c r="L338" i="1" s="1"/>
  <c r="L339" i="1"/>
  <c r="L340" i="1" s="1"/>
  <c r="L341" i="1"/>
  <c r="L342" i="1" s="1"/>
  <c r="L343" i="1" s="1"/>
  <c r="L344" i="1" s="1"/>
  <c r="L345" i="1" s="1"/>
  <c r="L346" i="1"/>
  <c r="L347" i="1" s="1"/>
  <c r="L348" i="1"/>
  <c r="L349" i="1" s="1"/>
  <c r="L350" i="1"/>
  <c r="L351" i="1" s="1"/>
  <c r="L352" i="1" s="1"/>
  <c r="L353" i="1"/>
  <c r="L354" i="1" s="1"/>
  <c r="L355" i="1"/>
  <c r="L356" i="1" s="1"/>
  <c r="L357" i="1"/>
  <c r="L358" i="1" s="1"/>
  <c r="L359" i="1"/>
  <c r="L360" i="1" s="1"/>
  <c r="L361" i="1"/>
  <c r="L362" i="1" s="1"/>
  <c r="L363" i="1"/>
  <c r="L364" i="1" s="1"/>
  <c r="L365" i="1"/>
  <c r="L366" i="1" s="1"/>
  <c r="L367" i="1"/>
  <c r="L368" i="1" s="1"/>
  <c r="L369" i="1"/>
  <c r="L370" i="1" s="1"/>
  <c r="L371" i="1" s="1"/>
  <c r="L372" i="1"/>
  <c r="L373" i="1" s="1"/>
  <c r="L374" i="1"/>
  <c r="L375" i="1"/>
  <c r="L376" i="1"/>
  <c r="L377" i="1" s="1"/>
  <c r="L378" i="1"/>
  <c r="L379" i="1" s="1"/>
  <c r="L380" i="1"/>
  <c r="L381" i="1" s="1"/>
  <c r="L382" i="1"/>
  <c r="L383" i="1" s="1"/>
  <c r="L384" i="1"/>
  <c r="L385" i="1" s="1"/>
  <c r="L386" i="1"/>
  <c r="L387" i="1" s="1"/>
  <c r="L388" i="1"/>
  <c r="L389" i="1" s="1"/>
  <c r="L390" i="1"/>
  <c r="L391" i="1" s="1"/>
  <c r="L392" i="1"/>
  <c r="L393" i="1" s="1"/>
  <c r="L394" i="1"/>
  <c r="L395" i="1" s="1"/>
  <c r="L396" i="1"/>
  <c r="L397" i="1" s="1"/>
  <c r="L398" i="1" s="1"/>
  <c r="L399" i="1" s="1"/>
  <c r="L400" i="1" s="1"/>
  <c r="L401" i="1"/>
  <c r="L402" i="1" s="1"/>
  <c r="L403" i="1"/>
  <c r="L404" i="1" s="1"/>
  <c r="L405" i="1"/>
  <c r="L406" i="1" s="1"/>
  <c r="L407" i="1" s="1"/>
  <c r="L408" i="1"/>
  <c r="L409" i="1" s="1"/>
  <c r="L410" i="1"/>
  <c r="L411" i="1" s="1"/>
  <c r="L412" i="1"/>
  <c r="L413" i="1" s="1"/>
  <c r="L414" i="1"/>
  <c r="L415" i="1" s="1"/>
  <c r="L416" i="1"/>
  <c r="L417" i="1" s="1"/>
  <c r="L418" i="1"/>
  <c r="L419" i="1" s="1"/>
  <c r="L420" i="1"/>
  <c r="L421" i="1" s="1"/>
  <c r="L422" i="1"/>
  <c r="L423" i="1" s="1"/>
  <c r="L424" i="1"/>
  <c r="L425" i="1" s="1"/>
  <c r="L426" i="1"/>
  <c r="L427" i="1" s="1"/>
  <c r="L428" i="1"/>
  <c r="L429" i="1" s="1"/>
  <c r="L430" i="1"/>
  <c r="L431" i="1" s="1"/>
  <c r="L432" i="1"/>
  <c r="L433" i="1"/>
  <c r="L434" i="1"/>
  <c r="L435" i="1" s="1"/>
  <c r="L436" i="1"/>
  <c r="L437" i="1" s="1"/>
  <c r="L438" i="1"/>
  <c r="L439" i="1" s="1"/>
  <c r="L440" i="1"/>
  <c r="L441" i="1" s="1"/>
  <c r="L442" i="1"/>
  <c r="L443" i="1" s="1"/>
  <c r="L444" i="1"/>
  <c r="L445" i="1" s="1"/>
  <c r="L446" i="1"/>
  <c r="L447" i="1" s="1"/>
  <c r="L448" i="1"/>
  <c r="L449" i="1" s="1"/>
  <c r="L450" i="1"/>
  <c r="L451" i="1" s="1"/>
  <c r="L452" i="1"/>
  <c r="L453" i="1" s="1"/>
  <c r="L454" i="1"/>
  <c r="L455" i="1" s="1"/>
  <c r="L456" i="1"/>
  <c r="L457" i="1" s="1"/>
  <c r="L458" i="1"/>
  <c r="L459" i="1" s="1"/>
  <c r="L460" i="1"/>
  <c r="L461" i="1" s="1"/>
  <c r="L462" i="1"/>
  <c r="L463" i="1" s="1"/>
  <c r="L464" i="1"/>
  <c r="L465" i="1" s="1"/>
  <c r="L466" i="1"/>
  <c r="L467" i="1" s="1"/>
  <c r="L468" i="1"/>
  <c r="L469" i="1" s="1"/>
  <c r="L470" i="1"/>
  <c r="L471" i="1" s="1"/>
  <c r="L472" i="1"/>
  <c r="L473" i="1" s="1"/>
  <c r="L474" i="1"/>
  <c r="L475" i="1" s="1"/>
  <c r="L476" i="1"/>
  <c r="L477" i="1" s="1"/>
  <c r="L478" i="1"/>
  <c r="L479" i="1" s="1"/>
  <c r="L480" i="1"/>
  <c r="L481" i="1"/>
  <c r="L482" i="1"/>
  <c r="L483" i="1" s="1"/>
  <c r="L484" i="1"/>
  <c r="L485" i="1" s="1"/>
  <c r="L486" i="1"/>
  <c r="L487" i="1" s="1"/>
  <c r="L488" i="1"/>
  <c r="L489" i="1" s="1"/>
  <c r="L490" i="1"/>
  <c r="L491" i="1" s="1"/>
  <c r="L492" i="1"/>
  <c r="L493" i="1" s="1"/>
  <c r="L494" i="1"/>
  <c r="L495" i="1" s="1"/>
  <c r="L496" i="1"/>
  <c r="L497" i="1" s="1"/>
  <c r="L498" i="1"/>
  <c r="L499" i="1"/>
  <c r="L500" i="1"/>
  <c r="L501" i="1" s="1"/>
  <c r="L502" i="1"/>
  <c r="L503" i="1" s="1"/>
  <c r="L504" i="1"/>
  <c r="L505" i="1" s="1"/>
  <c r="L506" i="1"/>
  <c r="L507" i="1" s="1"/>
  <c r="L508" i="1"/>
  <c r="L509" i="1" s="1"/>
  <c r="L510" i="1"/>
  <c r="L511" i="1" s="1"/>
  <c r="L512" i="1"/>
  <c r="L513" i="1" s="1"/>
  <c r="L514" i="1"/>
  <c r="L515" i="1" s="1"/>
  <c r="L516" i="1"/>
  <c r="L517" i="1" s="1"/>
  <c r="L518" i="1"/>
  <c r="L519" i="1" s="1"/>
  <c r="L520" i="1"/>
  <c r="L521" i="1" s="1"/>
  <c r="L522" i="1"/>
  <c r="L523" i="1" s="1"/>
  <c r="L524" i="1"/>
  <c r="L525" i="1" s="1"/>
  <c r="L526" i="1"/>
  <c r="L527" i="1" s="1"/>
  <c r="L528" i="1"/>
  <c r="L529" i="1" s="1"/>
  <c r="L530" i="1"/>
  <c r="L531" i="1"/>
  <c r="L532" i="1"/>
  <c r="L533" i="1" s="1"/>
  <c r="L534" i="1"/>
  <c r="L535" i="1" s="1"/>
  <c r="L536" i="1"/>
  <c r="L537" i="1" s="1"/>
  <c r="L538" i="1"/>
  <c r="L539" i="1" s="1"/>
  <c r="L540" i="1"/>
  <c r="L541" i="1" s="1"/>
  <c r="L542" i="1"/>
  <c r="L543" i="1" s="1"/>
  <c r="L544" i="1"/>
  <c r="L545" i="1" s="1"/>
  <c r="L546" i="1"/>
  <c r="L547" i="1" s="1"/>
  <c r="L548" i="1"/>
  <c r="L549" i="1" s="1"/>
  <c r="L550" i="1"/>
  <c r="L551" i="1" s="1"/>
  <c r="L552" i="1"/>
  <c r="L553" i="1" s="1"/>
  <c r="L554" i="1"/>
  <c r="L555" i="1" s="1"/>
  <c r="L556" i="1"/>
  <c r="L557" i="1" s="1"/>
  <c r="L558" i="1"/>
  <c r="L559" i="1" s="1"/>
  <c r="L560" i="1"/>
  <c r="L561" i="1" s="1"/>
  <c r="L562" i="1"/>
  <c r="L563" i="1" s="1"/>
  <c r="L564" i="1"/>
  <c r="L565" i="1" s="1"/>
  <c r="L566" i="1"/>
  <c r="L567" i="1" s="1"/>
  <c r="L568" i="1"/>
  <c r="L569" i="1"/>
  <c r="L570" i="1"/>
  <c r="L571" i="1" s="1"/>
  <c r="L572" i="1"/>
  <c r="L573" i="1" s="1"/>
  <c r="L574" i="1"/>
  <c r="L575" i="1" s="1"/>
  <c r="L576" i="1"/>
  <c r="L577" i="1" s="1"/>
  <c r="L578" i="1"/>
  <c r="L579" i="1" s="1"/>
  <c r="L580" i="1"/>
  <c r="L581" i="1" s="1"/>
  <c r="L582" i="1"/>
  <c r="L583" i="1" s="1"/>
  <c r="L584" i="1"/>
  <c r="L585" i="1" s="1"/>
  <c r="L586" i="1"/>
  <c r="L587" i="1" s="1"/>
  <c r="L588" i="1"/>
  <c r="L589" i="1" s="1"/>
  <c r="L590" i="1"/>
  <c r="L591" i="1" s="1"/>
  <c r="L592" i="1"/>
  <c r="L593" i="1" s="1"/>
  <c r="L594" i="1"/>
  <c r="L595" i="1" s="1"/>
  <c r="L596" i="1"/>
  <c r="L597" i="1"/>
  <c r="L598" i="1"/>
  <c r="L599" i="1" s="1"/>
  <c r="L600" i="1"/>
  <c r="L601" i="1" s="1"/>
  <c r="L602" i="1"/>
  <c r="L603" i="1" s="1"/>
  <c r="L604" i="1"/>
  <c r="L605" i="1" s="1"/>
  <c r="L606" i="1"/>
  <c r="L607" i="1" s="1"/>
  <c r="L608" i="1"/>
  <c r="L609" i="1" s="1"/>
  <c r="L610" i="1"/>
  <c r="L611" i="1" s="1"/>
  <c r="L612" i="1"/>
  <c r="L613" i="1" s="1"/>
  <c r="L614" i="1"/>
  <c r="L615" i="1" s="1"/>
  <c r="L616" i="1"/>
  <c r="L617" i="1" s="1"/>
  <c r="L618" i="1"/>
  <c r="L619" i="1" s="1"/>
  <c r="L620" i="1"/>
  <c r="L621" i="1" s="1"/>
  <c r="L622" i="1"/>
  <c r="L623" i="1" s="1"/>
  <c r="L624" i="1"/>
  <c r="L625" i="1" s="1"/>
  <c r="L626" i="1"/>
  <c r="L627" i="1" s="1"/>
  <c r="L628" i="1"/>
  <c r="L629" i="1" s="1"/>
  <c r="L630" i="1"/>
  <c r="L631" i="1" s="1"/>
  <c r="L632" i="1"/>
  <c r="L633" i="1" s="1"/>
  <c r="L634" i="1"/>
  <c r="L635" i="1" s="1"/>
  <c r="L636" i="1"/>
  <c r="L637" i="1" s="1"/>
  <c r="L638" i="1"/>
  <c r="L639" i="1" s="1"/>
  <c r="L640" i="1"/>
  <c r="L641" i="1" s="1"/>
  <c r="L642" i="1"/>
  <c r="L643" i="1" s="1"/>
  <c r="L644" i="1"/>
  <c r="L645" i="1" s="1"/>
  <c r="L646" i="1"/>
  <c r="L647" i="1" s="1"/>
  <c r="L648" i="1"/>
  <c r="L649" i="1" s="1"/>
  <c r="L650" i="1"/>
  <c r="L651" i="1" s="1"/>
  <c r="L652" i="1"/>
  <c r="L653" i="1" s="1"/>
  <c r="L654" i="1"/>
  <c r="L655" i="1" s="1"/>
  <c r="L656" i="1"/>
  <c r="L657" i="1" s="1"/>
  <c r="L658" i="1"/>
  <c r="L659" i="1" s="1"/>
  <c r="L660" i="1"/>
  <c r="L661" i="1"/>
  <c r="L662" i="1"/>
  <c r="L663" i="1" s="1"/>
  <c r="L664" i="1"/>
  <c r="L665" i="1" s="1"/>
  <c r="L666" i="1"/>
  <c r="L667" i="1" s="1"/>
  <c r="L668" i="1"/>
  <c r="L669" i="1" s="1"/>
  <c r="L670" i="1"/>
  <c r="L671" i="1" s="1"/>
  <c r="L672" i="1"/>
  <c r="L673" i="1" s="1"/>
  <c r="L674" i="1"/>
  <c r="L675" i="1" s="1"/>
  <c r="L676" i="1"/>
  <c r="L677" i="1" s="1"/>
  <c r="L678" i="1"/>
  <c r="L679" i="1" s="1"/>
  <c r="L680" i="1"/>
  <c r="L681" i="1" s="1"/>
  <c r="L682" i="1"/>
  <c r="L683" i="1" s="1"/>
  <c r="L684" i="1"/>
  <c r="L685" i="1" s="1"/>
  <c r="L686" i="1"/>
  <c r="L687" i="1" s="1"/>
  <c r="L688" i="1"/>
  <c r="L689" i="1"/>
  <c r="L690" i="1"/>
  <c r="L691" i="1" s="1"/>
  <c r="L692" i="1"/>
  <c r="L3" i="1"/>
  <c r="L4" i="1" s="1"/>
  <c r="L5" i="1" s="1"/>
  <c r="L6" i="1" s="1"/>
  <c r="L7" i="1" s="1"/>
  <c r="L8" i="1" s="1"/>
  <c r="L2" i="1"/>
  <c r="M24" i="1"/>
  <c r="M23" i="1" s="1"/>
  <c r="M22" i="1" s="1"/>
  <c r="M21" i="1" s="1"/>
  <c r="M20" i="1" s="1"/>
  <c r="M19" i="1" s="1"/>
  <c r="M28" i="1"/>
  <c r="M27" i="1" s="1"/>
  <c r="M26" i="1" s="1"/>
  <c r="M25" i="1" s="1"/>
  <c r="M36" i="1"/>
  <c r="M35" i="1" s="1"/>
  <c r="M34" i="1" s="1"/>
  <c r="M33" i="1" s="1"/>
  <c r="M32" i="1" s="1"/>
  <c r="M31" i="1" s="1"/>
  <c r="M30" i="1" s="1"/>
  <c r="M29" i="1" s="1"/>
  <c r="M43" i="1"/>
  <c r="M42" i="1" s="1"/>
  <c r="M41" i="1" s="1"/>
  <c r="M40" i="1" s="1"/>
  <c r="M39" i="1" s="1"/>
  <c r="M38" i="1" s="1"/>
  <c r="M37" i="1" s="1"/>
  <c r="M49" i="1"/>
  <c r="M48" i="1" s="1"/>
  <c r="M47" i="1" s="1"/>
  <c r="M46" i="1" s="1"/>
  <c r="M45" i="1" s="1"/>
  <c r="M44" i="1" s="1"/>
  <c r="M56" i="1"/>
  <c r="M55" i="1" s="1"/>
  <c r="M54" i="1" s="1"/>
  <c r="M53" i="1" s="1"/>
  <c r="M52" i="1" s="1"/>
  <c r="M51" i="1" s="1"/>
  <c r="M50" i="1" s="1"/>
  <c r="M68" i="1"/>
  <c r="M67" i="1" s="1"/>
  <c r="M66" i="1" s="1"/>
  <c r="M65" i="1" s="1"/>
  <c r="M64" i="1" s="1"/>
  <c r="M63" i="1" s="1"/>
  <c r="M62" i="1" s="1"/>
  <c r="M61" i="1" s="1"/>
  <c r="M60" i="1" s="1"/>
  <c r="M59" i="1" s="1"/>
  <c r="M58" i="1" s="1"/>
  <c r="M57" i="1" s="1"/>
  <c r="M71" i="1"/>
  <c r="M70" i="1" s="1"/>
  <c r="M69" i="1" s="1"/>
  <c r="M79" i="1"/>
  <c r="M78" i="1" s="1"/>
  <c r="M77" i="1" s="1"/>
  <c r="M76" i="1" s="1"/>
  <c r="M75" i="1" s="1"/>
  <c r="M74" i="1" s="1"/>
  <c r="M73" i="1" s="1"/>
  <c r="M72" i="1" s="1"/>
  <c r="M84" i="1"/>
  <c r="M83" i="1" s="1"/>
  <c r="M82" i="1" s="1"/>
  <c r="M81" i="1" s="1"/>
  <c r="M80" i="1" s="1"/>
  <c r="M86" i="1"/>
  <c r="M85" i="1" s="1"/>
  <c r="M88" i="1"/>
  <c r="M87" i="1" s="1"/>
  <c r="M90" i="1"/>
  <c r="M89" i="1" s="1"/>
  <c r="M92" i="1"/>
  <c r="M91" i="1" s="1"/>
  <c r="M94" i="1"/>
  <c r="M93" i="1" s="1"/>
  <c r="M96" i="1"/>
  <c r="M95" i="1" s="1"/>
  <c r="M99" i="1"/>
  <c r="M98" i="1" s="1"/>
  <c r="M97" i="1" s="1"/>
  <c r="M101" i="1"/>
  <c r="M100" i="1" s="1"/>
  <c r="M103" i="1"/>
  <c r="M102" i="1" s="1"/>
  <c r="M106" i="1"/>
  <c r="M105" i="1" s="1"/>
  <c r="M104" i="1" s="1"/>
  <c r="M108" i="1"/>
  <c r="M107" i="1" s="1"/>
  <c r="M110" i="1"/>
  <c r="M109" i="1" s="1"/>
  <c r="M112" i="1"/>
  <c r="M111" i="1" s="1"/>
  <c r="M114" i="1"/>
  <c r="M113" i="1" s="1"/>
  <c r="M116" i="1"/>
  <c r="M115" i="1" s="1"/>
  <c r="M118" i="1"/>
  <c r="M117" i="1" s="1"/>
  <c r="M123" i="1"/>
  <c r="M122" i="1" s="1"/>
  <c r="M121" i="1" s="1"/>
  <c r="M120" i="1" s="1"/>
  <c r="M119" i="1" s="1"/>
  <c r="M125" i="1"/>
  <c r="M124" i="1" s="1"/>
  <c r="M127" i="1"/>
  <c r="M126" i="1" s="1"/>
  <c r="M130" i="1"/>
  <c r="M129" i="1" s="1"/>
  <c r="M128" i="1" s="1"/>
  <c r="M132" i="1"/>
  <c r="M131" i="1" s="1"/>
  <c r="M136" i="1"/>
  <c r="M135" i="1" s="1"/>
  <c r="M134" i="1" s="1"/>
  <c r="M133" i="1" s="1"/>
  <c r="M138" i="1"/>
  <c r="M137" i="1" s="1"/>
  <c r="M140" i="1"/>
  <c r="M139" i="1" s="1"/>
  <c r="M142" i="1"/>
  <c r="M141" i="1" s="1"/>
  <c r="M144" i="1"/>
  <c r="M143" i="1" s="1"/>
  <c r="M146" i="1"/>
  <c r="M145" i="1" s="1"/>
  <c r="M150" i="1"/>
  <c r="M149" i="1" s="1"/>
  <c r="M148" i="1" s="1"/>
  <c r="M147" i="1" s="1"/>
  <c r="M154" i="1"/>
  <c r="M153" i="1" s="1"/>
  <c r="M152" i="1" s="1"/>
  <c r="M151" i="1" s="1"/>
  <c r="M156" i="1"/>
  <c r="M155" i="1" s="1"/>
  <c r="M158" i="1"/>
  <c r="M157" i="1" s="1"/>
  <c r="M164" i="1"/>
  <c r="M163" i="1" s="1"/>
  <c r="M162" i="1" s="1"/>
  <c r="M161" i="1" s="1"/>
  <c r="M160" i="1" s="1"/>
  <c r="M159" i="1" s="1"/>
  <c r="M166" i="1"/>
  <c r="M165" i="1" s="1"/>
  <c r="M168" i="1"/>
  <c r="M167" i="1" s="1"/>
  <c r="M170" i="1"/>
  <c r="M169" i="1" s="1"/>
  <c r="M172" i="1"/>
  <c r="M171" i="1" s="1"/>
  <c r="M175" i="1"/>
  <c r="M174" i="1" s="1"/>
  <c r="M173" i="1" s="1"/>
  <c r="M177" i="1"/>
  <c r="M176" i="1" s="1"/>
  <c r="M179" i="1"/>
  <c r="M178" i="1" s="1"/>
  <c r="M186" i="1"/>
  <c r="M185" i="1" s="1"/>
  <c r="M184" i="1" s="1"/>
  <c r="M183" i="1" s="1"/>
  <c r="M182" i="1" s="1"/>
  <c r="M181" i="1" s="1"/>
  <c r="M180" i="1" s="1"/>
  <c r="M191" i="1"/>
  <c r="M190" i="1" s="1"/>
  <c r="M189" i="1" s="1"/>
  <c r="M188" i="1" s="1"/>
  <c r="M187" i="1" s="1"/>
  <c r="M193" i="1"/>
  <c r="M192" i="1" s="1"/>
  <c r="M195" i="1"/>
  <c r="M194" i="1" s="1"/>
  <c r="M199" i="1"/>
  <c r="M198" i="1" s="1"/>
  <c r="M197" i="1" s="1"/>
  <c r="M196" i="1" s="1"/>
  <c r="M201" i="1"/>
  <c r="M200" i="1" s="1"/>
  <c r="M203" i="1"/>
  <c r="M202" i="1" s="1"/>
  <c r="M205" i="1"/>
  <c r="M204" i="1" s="1"/>
  <c r="M207" i="1"/>
  <c r="M206" i="1" s="1"/>
  <c r="M211" i="1"/>
  <c r="M210" i="1" s="1"/>
  <c r="M209" i="1" s="1"/>
  <c r="M208" i="1" s="1"/>
  <c r="M213" i="1"/>
  <c r="M212" i="1" s="1"/>
  <c r="M215" i="1"/>
  <c r="M214" i="1" s="1"/>
  <c r="M217" i="1"/>
  <c r="M216" i="1" s="1"/>
  <c r="M219" i="1"/>
  <c r="M218" i="1" s="1"/>
  <c r="M221" i="1"/>
  <c r="M220" i="1" s="1"/>
  <c r="M226" i="1"/>
  <c r="M225" i="1" s="1"/>
  <c r="M224" i="1" s="1"/>
  <c r="M223" i="1" s="1"/>
  <c r="M222" i="1" s="1"/>
  <c r="M228" i="1"/>
  <c r="M227" i="1" s="1"/>
  <c r="M230" i="1"/>
  <c r="M229" i="1" s="1"/>
  <c r="M232" i="1"/>
  <c r="M231" i="1" s="1"/>
  <c r="M234" i="1"/>
  <c r="M233" i="1" s="1"/>
  <c r="M236" i="1"/>
  <c r="M235" i="1" s="1"/>
  <c r="M240" i="1"/>
  <c r="M239" i="1" s="1"/>
  <c r="M238" i="1" s="1"/>
  <c r="M237" i="1" s="1"/>
  <c r="M242" i="1"/>
  <c r="M241" i="1" s="1"/>
  <c r="M244" i="1"/>
  <c r="M243" i="1" s="1"/>
  <c r="M247" i="1"/>
  <c r="M246" i="1" s="1"/>
  <c r="M245" i="1" s="1"/>
  <c r="M250" i="1"/>
  <c r="M249" i="1" s="1"/>
  <c r="M248" i="1" s="1"/>
  <c r="M252" i="1"/>
  <c r="M251" i="1" s="1"/>
  <c r="M254" i="1"/>
  <c r="M253" i="1" s="1"/>
  <c r="M256" i="1"/>
  <c r="M255" i="1" s="1"/>
  <c r="M258" i="1"/>
  <c r="M257" i="1" s="1"/>
  <c r="M260" i="1"/>
  <c r="M259" i="1" s="1"/>
  <c r="M262" i="1"/>
  <c r="M261" i="1" s="1"/>
  <c r="M265" i="1"/>
  <c r="M264" i="1" s="1"/>
  <c r="M263" i="1" s="1"/>
  <c r="M267" i="1"/>
  <c r="M266" i="1" s="1"/>
  <c r="M269" i="1"/>
  <c r="M268" i="1" s="1"/>
  <c r="M271" i="1"/>
  <c r="M270" i="1" s="1"/>
  <c r="M275" i="1"/>
  <c r="M274" i="1" s="1"/>
  <c r="M273" i="1" s="1"/>
  <c r="M272" i="1" s="1"/>
  <c r="M277" i="1"/>
  <c r="M276" i="1" s="1"/>
  <c r="M279" i="1"/>
  <c r="M278" i="1" s="1"/>
  <c r="M282" i="1"/>
  <c r="M281" i="1" s="1"/>
  <c r="M280" i="1" s="1"/>
  <c r="M284" i="1"/>
  <c r="M283" i="1" s="1"/>
  <c r="M286" i="1"/>
  <c r="M285" i="1" s="1"/>
  <c r="M288" i="1"/>
  <c r="M287" i="1" s="1"/>
  <c r="M291" i="1"/>
  <c r="M290" i="1" s="1"/>
  <c r="M289" i="1" s="1"/>
  <c r="M293" i="1"/>
  <c r="M292" i="1" s="1"/>
  <c r="M295" i="1"/>
  <c r="M294" i="1" s="1"/>
  <c r="M299" i="1"/>
  <c r="M298" i="1" s="1"/>
  <c r="M297" i="1" s="1"/>
  <c r="M296" i="1" s="1"/>
  <c r="M301" i="1"/>
  <c r="M300" i="1" s="1"/>
  <c r="M303" i="1"/>
  <c r="M302" i="1" s="1"/>
  <c r="M307" i="1"/>
  <c r="M306" i="1" s="1"/>
  <c r="M305" i="1" s="1"/>
  <c r="M304" i="1" s="1"/>
  <c r="M309" i="1"/>
  <c r="M308" i="1" s="1"/>
  <c r="M311" i="1"/>
  <c r="M310" i="1" s="1"/>
  <c r="M314" i="1"/>
  <c r="M313" i="1" s="1"/>
  <c r="M312" i="1" s="1"/>
  <c r="M316" i="1"/>
  <c r="M315" i="1" s="1"/>
  <c r="M318" i="1"/>
  <c r="M317" i="1" s="1"/>
  <c r="M320" i="1"/>
  <c r="M319" i="1" s="1"/>
  <c r="M322" i="1"/>
  <c r="M321" i="1" s="1"/>
  <c r="M324" i="1"/>
  <c r="M323" i="1" s="1"/>
  <c r="M330" i="1"/>
  <c r="M329" i="1" s="1"/>
  <c r="M328" i="1" s="1"/>
  <c r="M327" i="1" s="1"/>
  <c r="M326" i="1" s="1"/>
  <c r="M325" i="1" s="1"/>
  <c r="M332" i="1"/>
  <c r="M331" i="1" s="1"/>
  <c r="M334" i="1"/>
  <c r="M333" i="1" s="1"/>
  <c r="M337" i="1"/>
  <c r="M336" i="1" s="1"/>
  <c r="M335" i="1" s="1"/>
  <c r="M339" i="1"/>
  <c r="M338" i="1" s="1"/>
  <c r="M341" i="1"/>
  <c r="M340" i="1" s="1"/>
  <c r="M346" i="1"/>
  <c r="M345" i="1" s="1"/>
  <c r="M344" i="1" s="1"/>
  <c r="M343" i="1" s="1"/>
  <c r="M342" i="1" s="1"/>
  <c r="M348" i="1"/>
  <c r="M347" i="1" s="1"/>
  <c r="M350" i="1"/>
  <c r="M349" i="1" s="1"/>
  <c r="M353" i="1"/>
  <c r="M352" i="1" s="1"/>
  <c r="M351" i="1" s="1"/>
  <c r="M355" i="1"/>
  <c r="M354" i="1" s="1"/>
  <c r="M357" i="1"/>
  <c r="M356" i="1" s="1"/>
  <c r="M358" i="1"/>
  <c r="M359" i="1"/>
  <c r="M361" i="1"/>
  <c r="M360" i="1" s="1"/>
  <c r="M363" i="1"/>
  <c r="M362" i="1" s="1"/>
  <c r="M364" i="1"/>
  <c r="M365" i="1"/>
  <c r="M367" i="1"/>
  <c r="M366" i="1" s="1"/>
  <c r="M369" i="1"/>
  <c r="M368" i="1" s="1"/>
  <c r="M372" i="1"/>
  <c r="M371" i="1" s="1"/>
  <c r="M370" i="1" s="1"/>
  <c r="M374" i="1"/>
  <c r="M373" i="1" s="1"/>
  <c r="M376" i="1"/>
  <c r="M375" i="1" s="1"/>
  <c r="M378" i="1"/>
  <c r="M377" i="1" s="1"/>
  <c r="M380" i="1"/>
  <c r="M379" i="1" s="1"/>
  <c r="M382" i="1"/>
  <c r="M381" i="1" s="1"/>
  <c r="M384" i="1"/>
  <c r="M383" i="1" s="1"/>
  <c r="M386" i="1"/>
  <c r="M385" i="1" s="1"/>
  <c r="M388" i="1"/>
  <c r="M387" i="1" s="1"/>
  <c r="M390" i="1"/>
  <c r="M389" i="1" s="1"/>
  <c r="M392" i="1"/>
  <c r="M391" i="1" s="1"/>
  <c r="M394" i="1"/>
  <c r="M393" i="1" s="1"/>
  <c r="M396" i="1"/>
  <c r="M395" i="1" s="1"/>
  <c r="M401" i="1"/>
  <c r="M400" i="1" s="1"/>
  <c r="M399" i="1" s="1"/>
  <c r="M398" i="1" s="1"/>
  <c r="M397" i="1" s="1"/>
  <c r="M403" i="1"/>
  <c r="M402" i="1" s="1"/>
  <c r="M405" i="1"/>
  <c r="M404" i="1" s="1"/>
  <c r="M408" i="1"/>
  <c r="M407" i="1" s="1"/>
  <c r="M406" i="1" s="1"/>
  <c r="M410" i="1"/>
  <c r="M409" i="1" s="1"/>
  <c r="M412" i="1"/>
  <c r="M411" i="1" s="1"/>
  <c r="M414" i="1"/>
  <c r="M413" i="1" s="1"/>
  <c r="M416" i="1"/>
  <c r="M415" i="1" s="1"/>
  <c r="M418" i="1"/>
  <c r="M417" i="1" s="1"/>
  <c r="M420" i="1"/>
  <c r="M419" i="1" s="1"/>
  <c r="M422" i="1"/>
  <c r="M421" i="1" s="1"/>
  <c r="M424" i="1"/>
  <c r="M423" i="1" s="1"/>
  <c r="M426" i="1"/>
  <c r="M425" i="1" s="1"/>
  <c r="M428" i="1"/>
  <c r="M427" i="1" s="1"/>
  <c r="M430" i="1"/>
  <c r="M429" i="1" s="1"/>
  <c r="M432" i="1"/>
  <c r="M431" i="1" s="1"/>
  <c r="M434" i="1"/>
  <c r="M433" i="1" s="1"/>
  <c r="M436" i="1"/>
  <c r="M435" i="1" s="1"/>
  <c r="M438" i="1"/>
  <c r="M437" i="1" s="1"/>
  <c r="M440" i="1"/>
  <c r="M439" i="1" s="1"/>
  <c r="M442" i="1"/>
  <c r="M441" i="1" s="1"/>
  <c r="M444" i="1"/>
  <c r="M443" i="1" s="1"/>
  <c r="M446" i="1"/>
  <c r="M445" i="1" s="1"/>
  <c r="M448" i="1"/>
  <c r="M447" i="1" s="1"/>
  <c r="M450" i="1"/>
  <c r="M449" i="1" s="1"/>
  <c r="M452" i="1"/>
  <c r="M451" i="1" s="1"/>
  <c r="M454" i="1"/>
  <c r="M453" i="1" s="1"/>
  <c r="M456" i="1"/>
  <c r="M455" i="1" s="1"/>
  <c r="M458" i="1"/>
  <c r="M457" i="1" s="1"/>
  <c r="M460" i="1"/>
  <c r="M459" i="1" s="1"/>
  <c r="M462" i="1"/>
  <c r="M461" i="1" s="1"/>
  <c r="M464" i="1"/>
  <c r="M463" i="1" s="1"/>
  <c r="M466" i="1"/>
  <c r="M465" i="1" s="1"/>
  <c r="M468" i="1"/>
  <c r="M467" i="1" s="1"/>
  <c r="M470" i="1"/>
  <c r="M469" i="1" s="1"/>
  <c r="M472" i="1"/>
  <c r="M471" i="1" s="1"/>
  <c r="M474" i="1"/>
  <c r="M473" i="1" s="1"/>
  <c r="M476" i="1"/>
  <c r="M475" i="1" s="1"/>
  <c r="M478" i="1"/>
  <c r="M477" i="1" s="1"/>
  <c r="M480" i="1"/>
  <c r="M479" i="1" s="1"/>
  <c r="M482" i="1"/>
  <c r="M481" i="1" s="1"/>
  <c r="M484" i="1"/>
  <c r="M483" i="1" s="1"/>
  <c r="M486" i="1"/>
  <c r="M485" i="1" s="1"/>
  <c r="M488" i="1"/>
  <c r="M487" i="1" s="1"/>
  <c r="M490" i="1"/>
  <c r="M489" i="1" s="1"/>
  <c r="M492" i="1"/>
  <c r="M491" i="1" s="1"/>
  <c r="M494" i="1"/>
  <c r="M493" i="1" s="1"/>
  <c r="M496" i="1"/>
  <c r="M495" i="1" s="1"/>
  <c r="M498" i="1"/>
  <c r="M497" i="1" s="1"/>
  <c r="M500" i="1"/>
  <c r="M499" i="1" s="1"/>
  <c r="M502" i="1"/>
  <c r="M501" i="1" s="1"/>
  <c r="M504" i="1"/>
  <c r="M503" i="1" s="1"/>
  <c r="M506" i="1"/>
  <c r="M505" i="1" s="1"/>
  <c r="M508" i="1"/>
  <c r="M507" i="1" s="1"/>
  <c r="M510" i="1"/>
  <c r="M509" i="1" s="1"/>
  <c r="M512" i="1"/>
  <c r="M511" i="1" s="1"/>
  <c r="M514" i="1"/>
  <c r="M513" i="1" s="1"/>
  <c r="M516" i="1"/>
  <c r="M515" i="1" s="1"/>
  <c r="M518" i="1"/>
  <c r="M517" i="1" s="1"/>
  <c r="M520" i="1"/>
  <c r="M519" i="1" s="1"/>
  <c r="M522" i="1"/>
  <c r="M521" i="1" s="1"/>
  <c r="M524" i="1"/>
  <c r="M523" i="1" s="1"/>
  <c r="M526" i="1"/>
  <c r="M525" i="1" s="1"/>
  <c r="M528" i="1"/>
  <c r="M527" i="1" s="1"/>
  <c r="M530" i="1"/>
  <c r="M529" i="1" s="1"/>
  <c r="M532" i="1"/>
  <c r="M531" i="1" s="1"/>
  <c r="M534" i="1"/>
  <c r="M533" i="1" s="1"/>
  <c r="M536" i="1"/>
  <c r="M535" i="1" s="1"/>
  <c r="M538" i="1"/>
  <c r="M537" i="1" s="1"/>
  <c r="M540" i="1"/>
  <c r="M539" i="1" s="1"/>
  <c r="M542" i="1"/>
  <c r="M541" i="1" s="1"/>
  <c r="M544" i="1"/>
  <c r="M543" i="1" s="1"/>
  <c r="M546" i="1"/>
  <c r="M545" i="1" s="1"/>
  <c r="M548" i="1"/>
  <c r="M547" i="1" s="1"/>
  <c r="M550" i="1"/>
  <c r="M549" i="1" s="1"/>
  <c r="M552" i="1"/>
  <c r="M551" i="1" s="1"/>
  <c r="M554" i="1"/>
  <c r="M553" i="1" s="1"/>
  <c r="M556" i="1"/>
  <c r="M555" i="1" s="1"/>
  <c r="M558" i="1"/>
  <c r="M557" i="1" s="1"/>
  <c r="M560" i="1"/>
  <c r="M559" i="1" s="1"/>
  <c r="M562" i="1"/>
  <c r="M561" i="1" s="1"/>
  <c r="M564" i="1"/>
  <c r="M563" i="1" s="1"/>
  <c r="M566" i="1"/>
  <c r="M565" i="1" s="1"/>
  <c r="M568" i="1"/>
  <c r="M567" i="1" s="1"/>
  <c r="M570" i="1"/>
  <c r="M569" i="1" s="1"/>
  <c r="M572" i="1"/>
  <c r="M571" i="1" s="1"/>
  <c r="M574" i="1"/>
  <c r="M573" i="1" s="1"/>
  <c r="M576" i="1"/>
  <c r="M575" i="1" s="1"/>
  <c r="M578" i="1"/>
  <c r="M577" i="1" s="1"/>
  <c r="M580" i="1"/>
  <c r="M579" i="1" s="1"/>
  <c r="M582" i="1"/>
  <c r="M581" i="1" s="1"/>
  <c r="M584" i="1"/>
  <c r="M583" i="1" s="1"/>
  <c r="M586" i="1"/>
  <c r="M585" i="1" s="1"/>
  <c r="M588" i="1"/>
  <c r="M587" i="1" s="1"/>
  <c r="M590" i="1"/>
  <c r="M589" i="1" s="1"/>
  <c r="M592" i="1"/>
  <c r="M591" i="1" s="1"/>
  <c r="M594" i="1"/>
  <c r="M593" i="1" s="1"/>
  <c r="M596" i="1"/>
  <c r="M595" i="1" s="1"/>
  <c r="M598" i="1"/>
  <c r="M597" i="1" s="1"/>
  <c r="M600" i="1"/>
  <c r="M599" i="1" s="1"/>
  <c r="M602" i="1"/>
  <c r="M601" i="1" s="1"/>
  <c r="M604" i="1"/>
  <c r="M603" i="1" s="1"/>
  <c r="M606" i="1"/>
  <c r="M605" i="1" s="1"/>
  <c r="M608" i="1"/>
  <c r="M607" i="1" s="1"/>
  <c r="M610" i="1"/>
  <c r="M609" i="1" s="1"/>
  <c r="M612" i="1"/>
  <c r="M611" i="1" s="1"/>
  <c r="M614" i="1"/>
  <c r="M613" i="1" s="1"/>
  <c r="M616" i="1"/>
  <c r="M615" i="1" s="1"/>
  <c r="M618" i="1"/>
  <c r="M617" i="1" s="1"/>
  <c r="M620" i="1"/>
  <c r="M619" i="1" s="1"/>
  <c r="M622" i="1"/>
  <c r="M621" i="1" s="1"/>
  <c r="M624" i="1"/>
  <c r="M623" i="1" s="1"/>
  <c r="M626" i="1"/>
  <c r="M625" i="1" s="1"/>
  <c r="M628" i="1"/>
  <c r="M627" i="1" s="1"/>
  <c r="M630" i="1"/>
  <c r="M629" i="1" s="1"/>
  <c r="M632" i="1"/>
  <c r="M631" i="1" s="1"/>
  <c r="M634" i="1"/>
  <c r="M633" i="1" s="1"/>
  <c r="M636" i="1"/>
  <c r="M635" i="1" s="1"/>
  <c r="M638" i="1"/>
  <c r="M637" i="1" s="1"/>
  <c r="M640" i="1"/>
  <c r="M639" i="1" s="1"/>
  <c r="M642" i="1"/>
  <c r="M641" i="1" s="1"/>
  <c r="M644" i="1"/>
  <c r="M643" i="1" s="1"/>
  <c r="M646" i="1"/>
  <c r="M645" i="1" s="1"/>
  <c r="M648" i="1"/>
  <c r="M647" i="1" s="1"/>
  <c r="M650" i="1"/>
  <c r="M649" i="1" s="1"/>
  <c r="M652" i="1"/>
  <c r="M651" i="1" s="1"/>
  <c r="M654" i="1"/>
  <c r="M653" i="1" s="1"/>
  <c r="M656" i="1"/>
  <c r="M655" i="1" s="1"/>
  <c r="M658" i="1"/>
  <c r="M657" i="1" s="1"/>
  <c r="M660" i="1"/>
  <c r="M659" i="1" s="1"/>
  <c r="M662" i="1"/>
  <c r="M661" i="1" s="1"/>
  <c r="M664" i="1"/>
  <c r="M663" i="1" s="1"/>
  <c r="M666" i="1"/>
  <c r="M665" i="1" s="1"/>
  <c r="M668" i="1"/>
  <c r="M667" i="1" s="1"/>
  <c r="M670" i="1"/>
  <c r="M669" i="1" s="1"/>
  <c r="M672" i="1"/>
  <c r="M671" i="1" s="1"/>
  <c r="M674" i="1"/>
  <c r="M673" i="1" s="1"/>
  <c r="M676" i="1"/>
  <c r="M675" i="1" s="1"/>
  <c r="M678" i="1"/>
  <c r="M677" i="1" s="1"/>
  <c r="M680" i="1"/>
  <c r="M679" i="1" s="1"/>
  <c r="M682" i="1"/>
  <c r="M681" i="1" s="1"/>
  <c r="M684" i="1"/>
  <c r="M683" i="1" s="1"/>
  <c r="M686" i="1"/>
  <c r="M685" i="1" s="1"/>
  <c r="M688" i="1"/>
  <c r="M687" i="1" s="1"/>
  <c r="M690" i="1"/>
  <c r="M689" i="1" s="1"/>
  <c r="M692" i="1"/>
  <c r="M691" i="1" s="1"/>
  <c r="M3" i="1"/>
  <c r="M2" i="1" s="1"/>
  <c r="M9" i="1"/>
  <c r="M8" i="1" s="1"/>
  <c r="M7" i="1" s="1"/>
  <c r="M6" i="1" s="1"/>
  <c r="M5" i="1" s="1"/>
  <c r="M4" i="1" s="1"/>
  <c r="M11" i="1"/>
  <c r="M10" i="1" s="1"/>
  <c r="M18" i="1"/>
  <c r="M17" i="1" s="1"/>
  <c r="M16" i="1" s="1"/>
  <c r="M15" i="1" s="1"/>
  <c r="M14" i="1" s="1"/>
  <c r="M13" i="1" s="1"/>
  <c r="M12" i="1" s="1"/>
</calcChain>
</file>

<file path=xl/sharedStrings.xml><?xml version="1.0" encoding="utf-8"?>
<sst xmlns="http://schemas.openxmlformats.org/spreadsheetml/2006/main" count="24949" uniqueCount="924">
  <si>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</si>
  <si>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</si>
  <si>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</si>
  <si>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</si>
  <si>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</si>
  <si>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</si>
  <si>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</si>
  <si>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</si>
  <si>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</si>
  <si>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S_E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</si>
  <si>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</si>
  <si>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</si>
  <si>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</si>
  <si>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</si>
  <si>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</si>
  <si>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</si>
  <si>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</si>
  <si>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</si>
  <si>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</si>
  <si>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</si>
  <si>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</si>
  <si>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</si>
  <si>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</si>
  <si>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</si>
  <si>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</si>
  <si>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</si>
  <si>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</si>
  <si>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</si>
  <si>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</si>
  <si>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</si>
  <si>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</si>
  <si>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</si>
  <si>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</si>
  <si>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</si>
  <si>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</si>
  <si>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</si>
  <si>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</si>
  <si>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</si>
  <si>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</si>
  <si>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</si>
  <si>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</si>
  <si>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</si>
  <si>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</si>
  <si>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</si>
  <si>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</si>
  <si>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</si>
  <si>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</si>
  <si>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</si>
  <si>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</si>
  <si>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</si>
  <si>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</si>
  <si>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</si>
  <si>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</si>
  <si>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</si>
  <si>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</si>
  <si>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ID11111</t>
  </si>
  <si>
    <t>ID111111</t>
  </si>
  <si>
    <t>PESCO</t>
  </si>
  <si>
    <t>05141417150920022</t>
  </si>
  <si>
    <t>0514</t>
  </si>
  <si>
    <t>UniversityTown</t>
  </si>
  <si>
    <t>051414</t>
  </si>
  <si>
    <t>Abdara</t>
  </si>
  <si>
    <t>S</t>
  </si>
  <si>
    <t>11kV</t>
  </si>
  <si>
    <t>17150920001</t>
  </si>
  <si>
    <t/>
  </si>
  <si>
    <t>Panal</t>
  </si>
  <si>
    <t>0</t>
  </si>
  <si>
    <t>E</t>
  </si>
  <si>
    <t>17150920002</t>
  </si>
  <si>
    <t>R-Y-B</t>
  </si>
  <si>
    <t>Primary Distribution</t>
  </si>
  <si>
    <t>36</t>
  </si>
  <si>
    <t>TUBLER</t>
  </si>
  <si>
    <t>500MCM</t>
  </si>
  <si>
    <t>Primary Pole</t>
  </si>
  <si>
    <t>SDE</t>
  </si>
  <si>
    <t>05141417150920007</t>
  </si>
  <si>
    <t>17150920003</t>
  </si>
  <si>
    <t>17150920004</t>
  </si>
  <si>
    <t>17150920005</t>
  </si>
  <si>
    <t>17150920006</t>
  </si>
  <si>
    <t>45</t>
  </si>
  <si>
    <t xml:space="preserve">Steel Structure </t>
  </si>
  <si>
    <t>17150920007</t>
  </si>
  <si>
    <t>OSPRAY</t>
  </si>
  <si>
    <t>DDE</t>
  </si>
  <si>
    <t>05141417150920008</t>
  </si>
  <si>
    <t>17150920008</t>
  </si>
  <si>
    <t>58</t>
  </si>
  <si>
    <t>05141417150920014</t>
  </si>
  <si>
    <t>17150920009</t>
  </si>
  <si>
    <t>17150920010</t>
  </si>
  <si>
    <t>17150920011</t>
  </si>
  <si>
    <t>17150920012</t>
  </si>
  <si>
    <t>17150920013</t>
  </si>
  <si>
    <t>17150920014</t>
  </si>
  <si>
    <t>05141417150920019</t>
  </si>
  <si>
    <t>17150920015</t>
  </si>
  <si>
    <t>17150920016</t>
  </si>
  <si>
    <t>17150920017</t>
  </si>
  <si>
    <t>17150920018</t>
  </si>
  <si>
    <t>17150920019</t>
  </si>
  <si>
    <t>17150920020</t>
  </si>
  <si>
    <t>17150920021</t>
  </si>
  <si>
    <t>17150920022</t>
  </si>
  <si>
    <t>05141417150920029</t>
  </si>
  <si>
    <t>17150920023</t>
  </si>
  <si>
    <t>17150920024</t>
  </si>
  <si>
    <t>17150920025</t>
  </si>
  <si>
    <t>17150920026</t>
  </si>
  <si>
    <t>17150920027</t>
  </si>
  <si>
    <t>17150920028</t>
  </si>
  <si>
    <t>17150920029</t>
  </si>
  <si>
    <t>05141417150920035</t>
  </si>
  <si>
    <t>17150920030</t>
  </si>
  <si>
    <t>17150920031</t>
  </si>
  <si>
    <t>17150920032</t>
  </si>
  <si>
    <t>17150920033</t>
  </si>
  <si>
    <t>17150920034</t>
  </si>
  <si>
    <t>17150920035</t>
  </si>
  <si>
    <t>05141417150920040</t>
  </si>
  <si>
    <t>17150920036</t>
  </si>
  <si>
    <t>17150920037</t>
  </si>
  <si>
    <t>17150920038</t>
  </si>
  <si>
    <t>PCO</t>
  </si>
  <si>
    <t>17150920039</t>
  </si>
  <si>
    <t>17150920040</t>
  </si>
  <si>
    <t>05141417150920046</t>
  </si>
  <si>
    <t>17150920041</t>
  </si>
  <si>
    <t>17150920042</t>
  </si>
  <si>
    <t>17150920043</t>
  </si>
  <si>
    <t>17150920044</t>
  </si>
  <si>
    <t>17150920045</t>
  </si>
  <si>
    <t>17150920046</t>
  </si>
  <si>
    <t>05141417150920057</t>
  </si>
  <si>
    <t>17150920047</t>
  </si>
  <si>
    <t>17150920048</t>
  </si>
  <si>
    <t>17150920049</t>
  </si>
  <si>
    <t>17150920050</t>
  </si>
  <si>
    <t>17150920051</t>
  </si>
  <si>
    <t>17150920052</t>
  </si>
  <si>
    <t>17150920053</t>
  </si>
  <si>
    <t>PCS</t>
  </si>
  <si>
    <t>17150920054</t>
  </si>
  <si>
    <t>17150920055</t>
  </si>
  <si>
    <t>17150920056</t>
  </si>
  <si>
    <t>17150920057</t>
  </si>
  <si>
    <t>05141417150920059</t>
  </si>
  <si>
    <t>17150920058</t>
  </si>
  <si>
    <t>17150920059</t>
  </si>
  <si>
    <t>05141417150920066</t>
  </si>
  <si>
    <t>17150920060</t>
  </si>
  <si>
    <t>17150920061</t>
  </si>
  <si>
    <t>17150920062</t>
  </si>
  <si>
    <t>17150920063</t>
  </si>
  <si>
    <t>17150920064</t>
  </si>
  <si>
    <t>17150920065</t>
  </si>
  <si>
    <t>17150920066</t>
  </si>
  <si>
    <t>05141417160920097</t>
  </si>
  <si>
    <t>17160920078</t>
  </si>
  <si>
    <t>17160920079</t>
  </si>
  <si>
    <t>17160920080</t>
  </si>
  <si>
    <t>17160920097</t>
  </si>
  <si>
    <t>RABBIT</t>
  </si>
  <si>
    <t>05141417160920098</t>
  </si>
  <si>
    <t>17160920098</t>
  </si>
  <si>
    <t>jumper</t>
  </si>
  <si>
    <t>Transformer</t>
  </si>
  <si>
    <t>T-17160920098</t>
  </si>
  <si>
    <t>50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</si>
  <si>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</si>
  <si>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</si>
  <si>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</si>
  <si>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</si>
  <si>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</si>
  <si>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</si>
  <si>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05141417160920099</t>
  </si>
  <si>
    <t>0.4kV</t>
  </si>
  <si>
    <t>Secondary Distribution</t>
  </si>
  <si>
    <t>Secondary Pole</t>
  </si>
  <si>
    <t>17160920099</t>
  </si>
  <si>
    <t>R-Y-B-N</t>
  </si>
  <si>
    <t>PVC 37/0.083</t>
  </si>
  <si>
    <t>05141417160920100</t>
  </si>
  <si>
    <t>17160920100</t>
  </si>
  <si>
    <t>GOPHER</t>
  </si>
  <si>
    <t>05141417160920101</t>
  </si>
  <si>
    <t>17160920101</t>
  </si>
  <si>
    <t>T-17160920101</t>
  </si>
  <si>
    <t>100</t>
  </si>
  <si>
    <t>Z:\GIS_Pakistan\Survey\Pictures\PESCO\UNIVERSUTY\ABDARA\T-17160920101.jpg</t>
  </si>
  <si>
    <t>05141417160920102</t>
  </si>
  <si>
    <t>17160920102</t>
  </si>
  <si>
    <t>ANT</t>
  </si>
  <si>
    <t>05141417160920103</t>
  </si>
  <si>
    <t>17160920103</t>
  </si>
  <si>
    <t>05141417160920105</t>
  </si>
  <si>
    <t>17160920104</t>
  </si>
  <si>
    <t>17160920105</t>
  </si>
  <si>
    <t>05141417160920106</t>
  </si>
  <si>
    <t>17160920106</t>
  </si>
  <si>
    <t>T-17160920106</t>
  </si>
  <si>
    <t>HAMMAD</t>
  </si>
  <si>
    <t>single pole</t>
  </si>
  <si>
    <t>MASDRASA MOLANA AMJID HAKANI</t>
  </si>
  <si>
    <t>Z:\GIS_Pakistan\Survey\Pictures\PESCO\UNIVERSUTY\ABDARA\T-17160920106.jpg</t>
  </si>
  <si>
    <t>05141417160920107</t>
  </si>
  <si>
    <t>17160920107</t>
  </si>
  <si>
    <t>05141417160920109</t>
  </si>
  <si>
    <t>17160920108</t>
  </si>
  <si>
    <t>17160920109</t>
  </si>
  <si>
    <t>05141417160920110</t>
  </si>
  <si>
    <t>17160920110</t>
  </si>
  <si>
    <t>T-17160920110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</si>
  <si>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</si>
  <si>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</si>
  <si>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</si>
  <si>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</si>
  <si>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</si>
  <si>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05141417160920111</t>
  </si>
  <si>
    <t>17160920111</t>
  </si>
  <si>
    <t>PVC 7/0.052</t>
  </si>
  <si>
    <t>05141417160920112</t>
  </si>
  <si>
    <t>17160920112</t>
  </si>
  <si>
    <t>05141417160920113</t>
  </si>
  <si>
    <t>17160920113</t>
  </si>
  <si>
    <t>05141417160920114</t>
  </si>
  <si>
    <t>17160920114</t>
  </si>
  <si>
    <t>T-17160920114</t>
  </si>
  <si>
    <t>ELEMETEC</t>
  </si>
  <si>
    <t>PAWAKA MOH; SHER MOHAMMAD</t>
  </si>
  <si>
    <t>Z:\GIS_Pakistan\Survey\Pictures\PESCO\UNIVERSUTY\ABDARA\T-17160920114.jpg</t>
  </si>
  <si>
    <t>05141417160920115</t>
  </si>
  <si>
    <t>17160920115</t>
  </si>
  <si>
    <t>05141417160920119</t>
  </si>
  <si>
    <t>17160920116</t>
  </si>
  <si>
    <t>17160920117</t>
  </si>
  <si>
    <t>17160920118</t>
  </si>
  <si>
    <t>17160920119</t>
  </si>
  <si>
    <t>05141417160920120</t>
  </si>
  <si>
    <t>17160920120</t>
  </si>
  <si>
    <t>T-17160920120</t>
  </si>
  <si>
    <t>TUBEWELL</t>
  </si>
  <si>
    <t>Z:\GIS_Pakistan\Survey\Pictures\PESCO\UNIVERSUTY\ABDARA\T-17160920120.jpg</t>
  </si>
  <si>
    <t>05141417160920121</t>
  </si>
  <si>
    <t>17160920121</t>
  </si>
  <si>
    <t>PVC 19/0.083</t>
  </si>
  <si>
    <t>05141417160920124</t>
  </si>
  <si>
    <t>17160920123</t>
  </si>
  <si>
    <t>17160920124</t>
  </si>
  <si>
    <t>05141417160920125</t>
  </si>
  <si>
    <t>17160920125</t>
  </si>
  <si>
    <t>Steel Structure</t>
  </si>
  <si>
    <t>Z:\GIS_Pakistan\Survey\Pictures\PESCO\UNIVERSUTY\ABDARA\T-17160920125.jpg</t>
  </si>
  <si>
    <t>05141417160920129</t>
  </si>
  <si>
    <t>17160920127</t>
  </si>
  <si>
    <t>17160920128</t>
  </si>
  <si>
    <t>17160920129</t>
  </si>
  <si>
    <t>05141417160920130</t>
  </si>
  <si>
    <t>17160920130</t>
  </si>
  <si>
    <t>T-17160920130</t>
  </si>
  <si>
    <t>MOH AZIZ ABAD PAWAKA</t>
  </si>
  <si>
    <t>Z:\GIS_Pakistan\Survey\Pictures\PESCO\UNIVERSUTY\ABDARA\T-17160920130.jpg</t>
  </si>
  <si>
    <t>05141417160920131</t>
  </si>
  <si>
    <t>17160920131</t>
  </si>
  <si>
    <t>05141417170920132</t>
  </si>
  <si>
    <t>17170920132</t>
  </si>
  <si>
    <t>DOG</t>
  </si>
  <si>
    <t>05141417170920133</t>
  </si>
  <si>
    <t>17170920133</t>
  </si>
  <si>
    <t>T-17170920133</t>
  </si>
  <si>
    <t>TTL</t>
  </si>
  <si>
    <t xml:space="preserve">TUBE WELL </t>
  </si>
  <si>
    <t>PAWAKA</t>
  </si>
  <si>
    <t>Z:\GIS_Pakistan\Survey\Pictures\PESCO\UNIVERSUTY\ABDARA\T-17170920133.jpg</t>
  </si>
  <si>
    <t>05141417170920134</t>
  </si>
  <si>
    <t>17170920134</t>
  </si>
  <si>
    <t>05141417170920137</t>
  </si>
  <si>
    <t>17170920135</t>
  </si>
  <si>
    <t>17170920136</t>
  </si>
  <si>
    <t>17170920137</t>
  </si>
  <si>
    <t>05141417170920140</t>
  </si>
  <si>
    <t>17170920138</t>
  </si>
  <si>
    <t>17170920139</t>
  </si>
  <si>
    <t>17170920140</t>
  </si>
  <si>
    <t>05141417170920141</t>
  </si>
  <si>
    <t>17170920141</t>
  </si>
  <si>
    <t>T-17170920141</t>
  </si>
  <si>
    <t>ALAMGEER KHAN KOROONA</t>
  </si>
  <si>
    <t>Z:\GIS_Pakistan\Survey\Pictures\PESCO\UNIVERSUTY\ABDARA\T-17170920141.jpg</t>
  </si>
  <si>
    <t>05141417170920142</t>
  </si>
  <si>
    <t>17170920142</t>
  </si>
  <si>
    <t>05141417170920147</t>
  </si>
  <si>
    <t>17170920143</t>
  </si>
  <si>
    <t>17170920144</t>
  </si>
  <si>
    <t>17170920145</t>
  </si>
  <si>
    <t>17170920146</t>
  </si>
  <si>
    <t>17170920147</t>
  </si>
  <si>
    <t>05141417170920148</t>
  </si>
  <si>
    <t>17170920148</t>
  </si>
  <si>
    <t>T-17170920148</t>
  </si>
  <si>
    <t>ARIF XEN KOROONA</t>
  </si>
  <si>
    <t>Z:\GIS_Pakistan\Survey\Pictures\PESCO\UNIVERSUTY\ABDARA\T-17170920148.jpg</t>
  </si>
  <si>
    <t>05141417170920149</t>
  </si>
  <si>
    <t>17170920149</t>
  </si>
  <si>
    <t>05141417170920150</t>
  </si>
  <si>
    <t>17170920150</t>
  </si>
  <si>
    <t>05141417170920151</t>
  </si>
  <si>
    <t>17170920151</t>
  </si>
  <si>
    <t>05141417170920153</t>
  </si>
  <si>
    <t>17170920152</t>
  </si>
  <si>
    <t>17170920153</t>
  </si>
  <si>
    <t>30</t>
  </si>
  <si>
    <t>05141417170920154</t>
  </si>
  <si>
    <t>17170920154</t>
  </si>
  <si>
    <t>T-17170920154</t>
  </si>
  <si>
    <t>PAD</t>
  </si>
  <si>
    <t>WALI ABAD MOHMAND ABAD</t>
  </si>
  <si>
    <t>Z:\GIS_Pakistan\Survey\Pictures\PESCO\UNIVERSUTY\ABDARA\T-17170920154.jpg</t>
  </si>
  <si>
    <t>05141417170920155</t>
  </si>
  <si>
    <t>17170920155</t>
  </si>
  <si>
    <t>05141417170920161</t>
  </si>
  <si>
    <t>17170920156</t>
  </si>
  <si>
    <t>17170920157</t>
  </si>
  <si>
    <t>17170920158</t>
  </si>
  <si>
    <t>17170920159</t>
  </si>
  <si>
    <t>17170920160</t>
  </si>
  <si>
    <t>17170920161</t>
  </si>
  <si>
    <t>05141417170920165</t>
  </si>
  <si>
    <t>17170920162</t>
  </si>
  <si>
    <t>17170920163</t>
  </si>
  <si>
    <t>17170920164</t>
  </si>
  <si>
    <t>17170920165</t>
  </si>
  <si>
    <t>05141417170920166</t>
  </si>
  <si>
    <t>17170920166</t>
  </si>
  <si>
    <t>T-17170920166</t>
  </si>
  <si>
    <t>TPOWER</t>
  </si>
  <si>
    <t>MADINA COLOUNY AFRIDI GARHI</t>
  </si>
  <si>
    <t>Z:\GIS_Pakistan\Survey\Pictures\PESCO\UNIVERSUTY\ABDARA\T-17170920166.jpg</t>
  </si>
  <si>
    <t>05141417170920167</t>
  </si>
  <si>
    <t>17170920167</t>
  </si>
  <si>
    <t>05141417170920170</t>
  </si>
  <si>
    <t>17170920168</t>
  </si>
  <si>
    <t>17170920169</t>
  </si>
  <si>
    <t>17170920170</t>
  </si>
  <si>
    <t>05141417170920171</t>
  </si>
  <si>
    <t>17170920171</t>
  </si>
  <si>
    <t>T-17170920171</t>
  </si>
  <si>
    <t>AB AMPRE</t>
  </si>
  <si>
    <t>MADINA COLOUNY</t>
  </si>
  <si>
    <t>Z:\GIS_Pakistan\Survey\Pictures\PESCO\UNIVERSUTY\ABDARA\T-17170920171.jpg</t>
  </si>
  <si>
    <t>05141417170920172</t>
  </si>
  <si>
    <t>17170920172</t>
  </si>
  <si>
    <t>Ant</t>
  </si>
  <si>
    <t>05141417170920173</t>
  </si>
  <si>
    <t>17170920173</t>
  </si>
  <si>
    <t>05141417170920174</t>
  </si>
  <si>
    <t>17170920174</t>
  </si>
  <si>
    <t>05141417170920177</t>
  </si>
  <si>
    <t>17170920175</t>
  </si>
  <si>
    <t>17170920176</t>
  </si>
  <si>
    <t>17170920177</t>
  </si>
  <si>
    <t>05141417170920178</t>
  </si>
  <si>
    <t>17170920178</t>
  </si>
  <si>
    <t>T-17170920178</t>
  </si>
  <si>
    <t>Z:\GIS_Pakistan\Survey\Pictures\PESCO\UNIVERSUTY\ABDARA\T-17170920178.jpg</t>
  </si>
  <si>
    <t>05141417170920179</t>
  </si>
  <si>
    <t>17170920179</t>
  </si>
  <si>
    <t>05141417170920180</t>
  </si>
  <si>
    <t>17170920180</t>
  </si>
  <si>
    <t>05141417170920181</t>
  </si>
  <si>
    <t>17170920181</t>
  </si>
  <si>
    <t>T-17170920181</t>
  </si>
  <si>
    <t>JF INDUSTRIES</t>
  </si>
  <si>
    <t>GARHI SARIF ULLAH</t>
  </si>
  <si>
    <t>Z:\GIS_Pakistan\Survey\Pictures\PESCO\UNIVERSUTY\ABDARA\T-17170920181.jpg</t>
  </si>
  <si>
    <t>05141417170920182</t>
  </si>
  <si>
    <t>17170920182</t>
  </si>
  <si>
    <t>05141417170920186</t>
  </si>
  <si>
    <t>17170920183</t>
  </si>
  <si>
    <t>17170920184</t>
  </si>
  <si>
    <t>17170920185</t>
  </si>
  <si>
    <t>17170920186</t>
  </si>
  <si>
    <t>05141417170920187</t>
  </si>
  <si>
    <t>17170920187</t>
  </si>
  <si>
    <t>T-17170920187</t>
  </si>
  <si>
    <t>ABDARA BAALA</t>
  </si>
  <si>
    <t>Z:\GIS_Pakistan\Survey\Pictures\PESCO\UNIVERSUTY\ABDARA\T-17170920187.jpg</t>
  </si>
  <si>
    <t>05141417170920188</t>
  </si>
  <si>
    <t>17170920188</t>
  </si>
  <si>
    <t>WASP</t>
  </si>
  <si>
    <t>05141417170920189</t>
  </si>
  <si>
    <t>17170920189</t>
  </si>
  <si>
    <t>05141417170920190</t>
  </si>
  <si>
    <t>17170920190</t>
  </si>
  <si>
    <t>T-17170920190</t>
  </si>
  <si>
    <t>CLIMAX</t>
  </si>
  <si>
    <t>Z:\GIS_Pakistan\Survey\Pictures\PESCO\UNIVERSUTY\ABDARA\T-17170920190.jpg</t>
  </si>
  <si>
    <t>05141417170920191</t>
  </si>
  <si>
    <t>17170920191</t>
  </si>
  <si>
    <t>05141417240920194</t>
  </si>
  <si>
    <t>17240920192</t>
  </si>
  <si>
    <t>17240920193</t>
  </si>
  <si>
    <t>17240920194</t>
  </si>
  <si>
    <t>05141417240920195</t>
  </si>
  <si>
    <t>17240920195</t>
  </si>
  <si>
    <t>T-17240920195</t>
  </si>
  <si>
    <t>25</t>
  </si>
  <si>
    <t>WALI ABAD</t>
  </si>
  <si>
    <t>Z:\GIS_Pakistan\Survey\Pictures\PESCO\UNIVERSUTY\ABDARA\T-17240920195.jpg</t>
  </si>
  <si>
    <t>05141417240920196</t>
  </si>
  <si>
    <t>17240920196</t>
  </si>
  <si>
    <t>05141417240920198</t>
  </si>
  <si>
    <t>17240920197</t>
  </si>
  <si>
    <t>17240920198</t>
  </si>
  <si>
    <t>05141417240920200</t>
  </si>
  <si>
    <t>17240920199</t>
  </si>
  <si>
    <t>17240920200</t>
  </si>
  <si>
    <t>05141417240920201</t>
  </si>
  <si>
    <t>17240920201</t>
  </si>
  <si>
    <t>T-17240920201</t>
  </si>
  <si>
    <t>Z:\GIS_Pakistan\Survey\Pictures\PESCO\UNIVERSUTY\ABDARA\T-17240920201.jpg</t>
  </si>
  <si>
    <t>05141417240920202</t>
  </si>
  <si>
    <t>17240920202</t>
  </si>
  <si>
    <t>05141417240920203</t>
  </si>
  <si>
    <t>17240920203</t>
  </si>
  <si>
    <t>05141417240920204</t>
  </si>
  <si>
    <t>17240920204</t>
  </si>
  <si>
    <t>05141417240920205</t>
  </si>
  <si>
    <t>17240920205</t>
  </si>
  <si>
    <t>T-17240920205</t>
  </si>
  <si>
    <t>Z:\GIS_Pakistan\Survey\Pictures\PESCO\UNIVERSUTY\ABDARA\T-17240920205.jpg</t>
  </si>
  <si>
    <t>05141417240920206</t>
  </si>
  <si>
    <t>17240920206</t>
  </si>
  <si>
    <t>05141417240920208</t>
  </si>
  <si>
    <t>17240920207</t>
  </si>
  <si>
    <t>17240920208</t>
  </si>
  <si>
    <t>05141417240920209</t>
  </si>
  <si>
    <t>17240920209</t>
  </si>
  <si>
    <t>05141417240920210</t>
  </si>
  <si>
    <t>17240920210</t>
  </si>
  <si>
    <t>T-17240920210</t>
  </si>
  <si>
    <t>Z:\GIS_Pakistan\Survey\Pictures\PESCO\UNIVERSUTY\ABDARA\T-17240920210.jpg</t>
  </si>
  <si>
    <t>05141417240920211</t>
  </si>
  <si>
    <t>17240920211</t>
  </si>
  <si>
    <t>05141417240920214</t>
  </si>
  <si>
    <t>17240920212</t>
  </si>
  <si>
    <t>17240920213</t>
  </si>
  <si>
    <t>17240920214</t>
  </si>
  <si>
    <t>05141417240920215</t>
  </si>
  <si>
    <t>17240920215</t>
  </si>
  <si>
    <t>T-17240920215</t>
  </si>
  <si>
    <t>200</t>
  </si>
  <si>
    <t>Z:\GIS_Pakistan\Survey\Pictures\PESCO\UNIVERSUTY\ABDARA\T-17240920215.jpg</t>
  </si>
  <si>
    <t>05141417240920216</t>
  </si>
  <si>
    <t>17240920216</t>
  </si>
  <si>
    <t>05141417240920218</t>
  </si>
  <si>
    <t>17240920217</t>
  </si>
  <si>
    <t>17240920218</t>
  </si>
  <si>
    <t>05141417240920219</t>
  </si>
  <si>
    <t>17240920219</t>
  </si>
  <si>
    <t>T-17240920219</t>
  </si>
  <si>
    <t>WALI ABAD MADRASSA</t>
  </si>
  <si>
    <t>Z:\GIS_Pakistan\Survey\Pictures\PESCO\UNIVERSUTY\ABDARA\T-17240920219.jpg</t>
  </si>
  <si>
    <t>05141417240920220</t>
  </si>
  <si>
    <t>17240920220</t>
  </si>
  <si>
    <t>05141417240920221</t>
  </si>
  <si>
    <t>17240920221</t>
  </si>
  <si>
    <t>05141417240920223</t>
  </si>
  <si>
    <t>17240920222</t>
  </si>
  <si>
    <t>17240920223</t>
  </si>
  <si>
    <t>05141417240920224</t>
  </si>
  <si>
    <t>17240920224</t>
  </si>
  <si>
    <t>T-17240920224</t>
  </si>
  <si>
    <t>HAZRAT ABAD</t>
  </si>
  <si>
    <t>Z:\GIS_Pakistan\Survey\Pictures\PESCO\UNIVERSUTY\ABDARA\T-17240920224.jpg</t>
  </si>
  <si>
    <t>05141417240920225</t>
  </si>
  <si>
    <t>17240920225</t>
  </si>
  <si>
    <t>05141417240920228</t>
  </si>
  <si>
    <t>17240920226</t>
  </si>
  <si>
    <t>17240920227</t>
  </si>
  <si>
    <t>17240920228</t>
  </si>
  <si>
    <t>05141417240920229</t>
  </si>
  <si>
    <t>17240920229</t>
  </si>
  <si>
    <t>T-17240920229</t>
  </si>
  <si>
    <t>Z:\GIS_Pakistan\Survey\Pictures\PESCO\UNIVERSUTY\ABDARA\T-17240920229.jpg</t>
  </si>
  <si>
    <t>05141417240920230</t>
  </si>
  <si>
    <t>17240920230</t>
  </si>
  <si>
    <t>05141417240920233</t>
  </si>
  <si>
    <t>17240920231</t>
  </si>
  <si>
    <t>17240920232</t>
  </si>
  <si>
    <t>17240920233</t>
  </si>
  <si>
    <t>05141417240920234</t>
  </si>
  <si>
    <t>17240920234</t>
  </si>
  <si>
    <t>T-17240920234</t>
  </si>
  <si>
    <t>Z:\GIS_Pakistan\Survey\Pictures\PESCO\UNIVERSUTY\ABDARA\T-17240920234.jpg</t>
  </si>
  <si>
    <t>05141417240920235</t>
  </si>
  <si>
    <t>17240920235</t>
  </si>
  <si>
    <t>05141417240920237</t>
  </si>
  <si>
    <t>17240920236</t>
  </si>
  <si>
    <t>17240920237</t>
  </si>
  <si>
    <t>05141417240920238</t>
  </si>
  <si>
    <t>17240920238</t>
  </si>
  <si>
    <t>T-17240920238</t>
  </si>
  <si>
    <t>Z:\GIS_Pakistan\Survey\Pictures\PESCO\UNIVERSUTY\ABDARA\T-17240920238.jpg</t>
  </si>
  <si>
    <t>05141417240920239</t>
  </si>
  <si>
    <t>17240920239</t>
  </si>
  <si>
    <t>05141417280920308</t>
  </si>
  <si>
    <t>17160920081</t>
  </si>
  <si>
    <t>17280920308</t>
  </si>
  <si>
    <t>05141417280920309</t>
  </si>
  <si>
    <t>17280920309</t>
  </si>
  <si>
    <t>T-17280920309</t>
  </si>
  <si>
    <t>Z:\GIS_Pakistan\Survey\Pictures\PESCO\UNIVERSUTY\ABDARA\T-17280920309.jpg</t>
  </si>
  <si>
    <t>05141417280920310</t>
  </si>
  <si>
    <t>17280920310</t>
  </si>
  <si>
    <t>05141417280920315</t>
  </si>
  <si>
    <t>17280920311</t>
  </si>
  <si>
    <t>17280920312</t>
  </si>
  <si>
    <t>17280920313</t>
  </si>
  <si>
    <t>17280920314</t>
  </si>
  <si>
    <t>17280920315</t>
  </si>
  <si>
    <t>05141417280920316</t>
  </si>
  <si>
    <t>17280920316</t>
  </si>
  <si>
    <t>T-17280920316</t>
  </si>
  <si>
    <t>Z:\GIS_Pakistan\Survey\Pictures\PESCO\UNIVERSUTY\ABDARA\T-17280920316.jpg</t>
  </si>
  <si>
    <t>05141417280920317</t>
  </si>
  <si>
    <t>17280920317</t>
  </si>
  <si>
    <t>05141417280920319</t>
  </si>
  <si>
    <t>17280920318</t>
  </si>
  <si>
    <t>17280920319</t>
  </si>
  <si>
    <t>05141417280920320</t>
  </si>
  <si>
    <t>17280920320</t>
  </si>
  <si>
    <t>T-17280920320</t>
  </si>
  <si>
    <t>Z:\GIS_Pakistan\Survey\Pictures\PESCO\UNIVERSUTY\ABDARA\T-17280920320.jpg</t>
  </si>
  <si>
    <t>05141417280920321</t>
  </si>
  <si>
    <t>17280920321</t>
  </si>
  <si>
    <t>05141417280920325</t>
  </si>
  <si>
    <t>17280920322</t>
  </si>
  <si>
    <t>17280920323</t>
  </si>
  <si>
    <t>17280920324</t>
  </si>
  <si>
    <t>17280920325</t>
  </si>
  <si>
    <t>05141417280920326</t>
  </si>
  <si>
    <t>17280920326</t>
  </si>
  <si>
    <t>T-17280920326</t>
  </si>
  <si>
    <t>Z:\GIS_Pakistan\Survey\Pictures\PESCO\UNIVERSUTY\ABDARA\T-17280920326.jpg</t>
  </si>
  <si>
    <t>05141417280920327</t>
  </si>
  <si>
    <t>17280920327</t>
  </si>
  <si>
    <t>05141417280920329</t>
  </si>
  <si>
    <t>17280920328</t>
  </si>
  <si>
    <t>17280920329</t>
  </si>
  <si>
    <t>05141417280920330</t>
  </si>
  <si>
    <t>17280920330</t>
  </si>
  <si>
    <t>T-17280920330</t>
  </si>
  <si>
    <t>Z:\GIS_Pakistan\Survey\Pictures\PESCO\UNIVERSUTY\ABDARA\T-17280920330.jpg</t>
  </si>
  <si>
    <t>05141417280920331</t>
  </si>
  <si>
    <t>17280920331</t>
  </si>
  <si>
    <t>05141417280920332</t>
  </si>
  <si>
    <t>17280920332</t>
  </si>
  <si>
    <t>05141417280920333</t>
  </si>
  <si>
    <t>17280920333</t>
  </si>
  <si>
    <t>T-17280920333</t>
  </si>
  <si>
    <t>Z:\GIS_Pakistan\Survey\Pictures\PESCO\UNIVERSUTY\ABDARA\T-17280920333.jpg</t>
  </si>
  <si>
    <t>05141417280920334</t>
  </si>
  <si>
    <t>17280920334</t>
  </si>
  <si>
    <t>05141417280920335</t>
  </si>
  <si>
    <t>17280920335</t>
  </si>
  <si>
    <t>05141417280920336</t>
  </si>
  <si>
    <t>17280920336</t>
  </si>
  <si>
    <t>T-17280920336</t>
  </si>
  <si>
    <t>Z:\GIS_Pakistan\Survey\Pictures\PESCO\UNIVERSUTY\ABDARA\T-17280920336.jpg</t>
  </si>
  <si>
    <t>05141417280920337</t>
  </si>
  <si>
    <t>17280920337</t>
  </si>
  <si>
    <t>05141417280920339</t>
  </si>
  <si>
    <t>17280920338</t>
  </si>
  <si>
    <t>17280920339</t>
  </si>
  <si>
    <t>05141417280920340</t>
  </si>
  <si>
    <t>17280920340</t>
  </si>
  <si>
    <t>T-17280920340</t>
  </si>
  <si>
    <t>INDIGO</t>
  </si>
  <si>
    <t>Z:\GIS_Pakistan\Survey\Pictures\PESCO\UNIVERSUTY\ABDARA\T-17280920340.jpg</t>
  </si>
  <si>
    <t>05141417280920341</t>
  </si>
  <si>
    <t>17280920341</t>
  </si>
  <si>
    <t>05141417280920342</t>
  </si>
  <si>
    <t>17280920342</t>
  </si>
  <si>
    <t>05141417280920343</t>
  </si>
  <si>
    <t>17280920343</t>
  </si>
  <si>
    <t>05141417280920344</t>
  </si>
  <si>
    <t>17280920344</t>
  </si>
  <si>
    <t>T-17280920344</t>
  </si>
  <si>
    <t>Z:\GIS_Pakistan\Survey\Pictures\PESCO\UNIVERSUTY\ABDARA\T-17280920344.jpg</t>
  </si>
  <si>
    <t>05141417280920345</t>
  </si>
  <si>
    <t>17280920345</t>
  </si>
  <si>
    <t>05141417280920346</t>
  </si>
  <si>
    <t>17280920346</t>
  </si>
  <si>
    <t>05141417280920347</t>
  </si>
  <si>
    <t>17280920347</t>
  </si>
  <si>
    <t>T-17280920347</t>
  </si>
  <si>
    <t>RAHMAN COLOUNY</t>
  </si>
  <si>
    <t>Z:\GIS_Pakistan\Survey\Pictures\PESCO\UNIVERSUTY\ABDARA\T-17280920347.jpg</t>
  </si>
  <si>
    <t>05141417280920348</t>
  </si>
  <si>
    <t>17280920348</t>
  </si>
  <si>
    <t>05141417280920349</t>
  </si>
  <si>
    <t>17280920349</t>
  </si>
  <si>
    <t>05141417280920350</t>
  </si>
  <si>
    <t>17280920350</t>
  </si>
  <si>
    <t>T-17280920350</t>
  </si>
  <si>
    <t>NAZIM</t>
  </si>
  <si>
    <t>AALAMGHER KOROONA</t>
  </si>
  <si>
    <t>Z:\GIS_Pakistan\Survey\Pictures\PESCO\UNIVERSUTY\ABDARA\T-17280920350.jpg</t>
  </si>
  <si>
    <t>05141417280920351</t>
  </si>
  <si>
    <t>17280920351</t>
  </si>
  <si>
    <t>PVC 19/0.052</t>
  </si>
  <si>
    <t>05141417280920355</t>
  </si>
  <si>
    <t>17280920352</t>
  </si>
  <si>
    <t>17280920353</t>
  </si>
  <si>
    <t>17280920354</t>
  </si>
  <si>
    <t>17280920355</t>
  </si>
  <si>
    <t>05141417280920356</t>
  </si>
  <si>
    <t>17280920356</t>
  </si>
  <si>
    <t>T-17280920356</t>
  </si>
  <si>
    <t>Z:\GIS_Pakistan\Survey\Pictures\PESCO\UNIVERSUTY\ABDARA\T-17280920356.jpg</t>
  </si>
  <si>
    <t>05141417280920357</t>
  </si>
  <si>
    <t>17280920357</t>
  </si>
  <si>
    <t>05141417280920359</t>
  </si>
  <si>
    <t>17280920358</t>
  </si>
  <si>
    <t>17280920359</t>
  </si>
  <si>
    <t>05141417280920360</t>
  </si>
  <si>
    <t>17280920360</t>
  </si>
  <si>
    <t>T-17280920360</t>
  </si>
  <si>
    <t xml:space="preserve">MOBILE TOWER </t>
  </si>
  <si>
    <t>Z:\GIS_Pakistan\Survey\Pictures\PESCO\UNIVERSUTY\ABDARA\T-17280920360.jpg</t>
  </si>
  <si>
    <t>05141417280920361</t>
  </si>
  <si>
    <t>17280920361</t>
  </si>
  <si>
    <t>0514142300120010</t>
  </si>
  <si>
    <t>2300120010</t>
  </si>
  <si>
    <t>PC Ordinary</t>
  </si>
  <si>
    <t>0514142300120011</t>
  </si>
  <si>
    <t>2300120011</t>
  </si>
  <si>
    <t>0514142300120012</t>
  </si>
  <si>
    <t>2300120012</t>
  </si>
  <si>
    <t>0514142300120013</t>
  </si>
  <si>
    <t>2300120013</t>
  </si>
  <si>
    <t>0514142300120014</t>
  </si>
  <si>
    <t>2300120014</t>
  </si>
  <si>
    <t>0514142300120015</t>
  </si>
  <si>
    <t>2300120015</t>
  </si>
  <si>
    <t>0514142300120016</t>
  </si>
  <si>
    <t>2300120016</t>
  </si>
  <si>
    <t>0514142300120018</t>
  </si>
  <si>
    <t>2300120017</t>
  </si>
  <si>
    <t>2300120018</t>
  </si>
  <si>
    <t>ABC</t>
  </si>
  <si>
    <t>0514142130220020</t>
  </si>
  <si>
    <t>2130220020</t>
  </si>
  <si>
    <t>0514142130220021</t>
  </si>
  <si>
    <t>2130220021</t>
  </si>
  <si>
    <t>0514142130220023</t>
  </si>
  <si>
    <t>2130220023</t>
  </si>
  <si>
    <t>0514142130220024</t>
  </si>
  <si>
    <t>2130220024</t>
  </si>
  <si>
    <t>0514142130220026</t>
  </si>
  <si>
    <t>2130220026</t>
  </si>
  <si>
    <t>0514142130220027</t>
  </si>
  <si>
    <t>2130220027</t>
  </si>
  <si>
    <t>0514142130220028</t>
  </si>
  <si>
    <t>2130220028</t>
  </si>
  <si>
    <t>0514142130220029</t>
  </si>
  <si>
    <t>2130220029</t>
  </si>
  <si>
    <t>0514142130220031</t>
  </si>
  <si>
    <t>17160920126</t>
  </si>
  <si>
    <t>T-17160920124</t>
  </si>
  <si>
    <t>2130220031</t>
  </si>
  <si>
    <t>0514142130220032</t>
  </si>
  <si>
    <t>2130220032</t>
  </si>
  <si>
    <t>0514142130220033</t>
  </si>
  <si>
    <t>2130220033</t>
  </si>
  <si>
    <t>0514142130220035</t>
  </si>
  <si>
    <t>2130220035</t>
  </si>
  <si>
    <t>R-N</t>
  </si>
  <si>
    <t>0514142130220036</t>
  </si>
  <si>
    <t>2130220036</t>
  </si>
  <si>
    <t>Y-N</t>
  </si>
  <si>
    <t>0514142130220038</t>
  </si>
  <si>
    <t>2130220038</t>
  </si>
  <si>
    <t>0514142130220039</t>
  </si>
  <si>
    <t>2130220039</t>
  </si>
  <si>
    <t>0514142130220040</t>
  </si>
  <si>
    <t>2130220040</t>
  </si>
  <si>
    <t>DH  01</t>
  </si>
  <si>
    <t>0514142130220042</t>
  </si>
  <si>
    <t>2130220042</t>
  </si>
  <si>
    <t>0514142130220044</t>
  </si>
  <si>
    <t>2130220044</t>
  </si>
  <si>
    <t>R-B-N</t>
  </si>
  <si>
    <t>0514142130220045</t>
  </si>
  <si>
    <t>2130220045</t>
  </si>
  <si>
    <t>0514142130220047</t>
  </si>
  <si>
    <t>2130220047</t>
  </si>
  <si>
    <t>0514142130220048</t>
  </si>
  <si>
    <t>2130220048</t>
  </si>
  <si>
    <t>0514142130220049</t>
  </si>
  <si>
    <t>2130220049</t>
  </si>
  <si>
    <t>0514142130220050</t>
  </si>
  <si>
    <t>2130220050</t>
  </si>
  <si>
    <t>Y-B-N</t>
  </si>
  <si>
    <t>0514142130220051</t>
  </si>
  <si>
    <t>2130220051</t>
  </si>
  <si>
    <t>0514142130220052</t>
  </si>
  <si>
    <t>2130220052</t>
  </si>
  <si>
    <t>0514142130220053</t>
  </si>
  <si>
    <t>2130220053</t>
  </si>
  <si>
    <t>0514142130220054</t>
  </si>
  <si>
    <t>2130220054</t>
  </si>
  <si>
    <t>B-N</t>
  </si>
  <si>
    <t>0514142130220055</t>
  </si>
  <si>
    <t>2130220055</t>
  </si>
  <si>
    <t>0514142130220056</t>
  </si>
  <si>
    <t>2130220056</t>
  </si>
  <si>
    <t>0514142130220057</t>
  </si>
  <si>
    <t>2130220057</t>
  </si>
  <si>
    <t>0514142130220059</t>
  </si>
  <si>
    <t>2130220059</t>
  </si>
  <si>
    <t>0514142130220060</t>
  </si>
  <si>
    <t>2130220060</t>
  </si>
  <si>
    <t>0514142130220061</t>
  </si>
  <si>
    <t>2130220061</t>
  </si>
  <si>
    <t>0514142130220062</t>
  </si>
  <si>
    <t>2130220062</t>
  </si>
  <si>
    <t>0514142130220063</t>
  </si>
  <si>
    <t>2130220063</t>
  </si>
  <si>
    <t>R-Y-N</t>
  </si>
  <si>
    <t>0514142180220066</t>
  </si>
  <si>
    <t>2180220066</t>
  </si>
  <si>
    <t>0514142180220067</t>
  </si>
  <si>
    <t>2180220067</t>
  </si>
  <si>
    <t>0514142180220068</t>
  </si>
  <si>
    <t>2180220068</t>
  </si>
  <si>
    <t>0514142180220069</t>
  </si>
  <si>
    <t>2180220069</t>
  </si>
  <si>
    <t>0514142180220072</t>
  </si>
  <si>
    <t>2180220072</t>
  </si>
  <si>
    <t>0514142180220073</t>
  </si>
  <si>
    <t>2180220073</t>
  </si>
  <si>
    <t>0514142180220074</t>
  </si>
  <si>
    <t>2180220074</t>
  </si>
  <si>
    <t>0514142180220076</t>
  </si>
  <si>
    <t>2180220076</t>
  </si>
  <si>
    <t>0514142180220077</t>
  </si>
  <si>
    <t>2180220077</t>
  </si>
  <si>
    <t>0514142170822662</t>
  </si>
  <si>
    <t>2170822662</t>
  </si>
  <si>
    <t>0514142170822663</t>
  </si>
  <si>
    <t>2170822663</t>
  </si>
  <si>
    <t>0514142170822664</t>
  </si>
  <si>
    <t>2170822664</t>
  </si>
  <si>
    <t>0514142170822665</t>
  </si>
  <si>
    <t>2170822665</t>
  </si>
  <si>
    <t>0514142170822666</t>
  </si>
  <si>
    <t>2170822666</t>
  </si>
  <si>
    <t>1</t>
  </si>
  <si>
    <t>0514142170822667</t>
  </si>
  <si>
    <t>2170822667</t>
  </si>
  <si>
    <t>0514142170822669</t>
  </si>
  <si>
    <t>2170822669</t>
  </si>
  <si>
    <t>0514142170822670</t>
  </si>
  <si>
    <t>2170822670</t>
  </si>
  <si>
    <t>0514142180220079</t>
  </si>
  <si>
    <t>2180220079</t>
  </si>
  <si>
    <t>0514142180220080</t>
  </si>
  <si>
    <t>2180220080</t>
  </si>
  <si>
    <t>0514142180220081</t>
  </si>
  <si>
    <t>2180220081</t>
  </si>
  <si>
    <t>0514142180220083</t>
  </si>
  <si>
    <t>2180220083</t>
  </si>
  <si>
    <t>0514142180220084</t>
  </si>
  <si>
    <t>2180220084</t>
  </si>
  <si>
    <t>0514142180220085</t>
  </si>
  <si>
    <t>2180220085</t>
  </si>
  <si>
    <t>0514142180220087</t>
  </si>
  <si>
    <t>2180220087</t>
  </si>
  <si>
    <t>0514142180220089</t>
  </si>
  <si>
    <t>2180220089</t>
  </si>
  <si>
    <t>0514142180220090</t>
  </si>
  <si>
    <t>2180220090</t>
  </si>
  <si>
    <t>0514142180220091</t>
  </si>
  <si>
    <t>2180220091</t>
  </si>
  <si>
    <t>0514142180220092</t>
  </si>
  <si>
    <t>2180220092</t>
  </si>
  <si>
    <t>0514142180220095</t>
  </si>
  <si>
    <t>2180220095</t>
  </si>
  <si>
    <t>0514142180220096</t>
  </si>
  <si>
    <t>2180220096</t>
  </si>
  <si>
    <t>0514142180220097</t>
  </si>
  <si>
    <t>2180220097</t>
  </si>
  <si>
    <t>0514142180220099</t>
  </si>
  <si>
    <t>2180220099</t>
  </si>
  <si>
    <t>0514142180220100</t>
  </si>
  <si>
    <t>2180220100</t>
  </si>
  <si>
    <t>0514142180220102</t>
  </si>
  <si>
    <t>2180220102</t>
  </si>
  <si>
    <t>0514142180220103</t>
  </si>
  <si>
    <t>2180220103</t>
  </si>
  <si>
    <t>0514142180220104</t>
  </si>
  <si>
    <t>2180220104</t>
  </si>
  <si>
    <t>0514142180220105</t>
  </si>
  <si>
    <t>2180220105</t>
  </si>
  <si>
    <t>0514142180220106</t>
  </si>
  <si>
    <t>2180220106</t>
  </si>
  <si>
    <t>0514142180220107</t>
  </si>
  <si>
    <t>2180220107</t>
  </si>
  <si>
    <t>0514142180220109</t>
  </si>
  <si>
    <t>2180220109</t>
  </si>
  <si>
    <t>0514142180220110</t>
  </si>
  <si>
    <t>2180220110</t>
  </si>
  <si>
    <t>0514142180220111</t>
  </si>
  <si>
    <t>2180220111</t>
  </si>
  <si>
    <t>0514142180220113</t>
  </si>
  <si>
    <t>2180220113</t>
  </si>
  <si>
    <t>0514142170822650</t>
  </si>
  <si>
    <t>2170822650</t>
  </si>
  <si>
    <t>0514142180220115</t>
  </si>
  <si>
    <t>2180220115</t>
  </si>
  <si>
    <t>0514141020720034</t>
  </si>
  <si>
    <t>1020720034</t>
  </si>
  <si>
    <t>0514142160822609</t>
  </si>
  <si>
    <t>2160822609</t>
  </si>
  <si>
    <t>Flying Shehkal</t>
  </si>
  <si>
    <t>0514142160822610</t>
  </si>
  <si>
    <t>2160822610</t>
  </si>
  <si>
    <t>0514142160822611</t>
  </si>
  <si>
    <t>2160822611</t>
  </si>
  <si>
    <t>0514142160822612</t>
  </si>
  <si>
    <t>2160822612</t>
  </si>
  <si>
    <t>0514142160822613</t>
  </si>
  <si>
    <t>2160822613</t>
  </si>
  <si>
    <t>0514141020720035</t>
  </si>
  <si>
    <t>1020720035</t>
  </si>
  <si>
    <t>Tubler Steel</t>
  </si>
  <si>
    <t>0514141020720037</t>
  </si>
  <si>
    <t>1020720037</t>
  </si>
  <si>
    <t>0514141020720038</t>
  </si>
  <si>
    <t>1020720038</t>
  </si>
  <si>
    <t>0514141020720039</t>
  </si>
  <si>
    <t>1020720039</t>
  </si>
  <si>
    <t>0514141020720040</t>
  </si>
  <si>
    <t>1020720040</t>
  </si>
  <si>
    <t>0514141020720041</t>
  </si>
  <si>
    <t>1020720041</t>
  </si>
  <si>
    <t>0514141020720043</t>
  </si>
  <si>
    <t>1020720043</t>
  </si>
  <si>
    <t>0514141020720044</t>
  </si>
  <si>
    <t>1020720044</t>
  </si>
  <si>
    <t>0514142250220163</t>
  </si>
  <si>
    <t>2250220163</t>
  </si>
  <si>
    <t>0514142250220164</t>
  </si>
  <si>
    <t>2250220164</t>
  </si>
  <si>
    <t>0514142250220165</t>
  </si>
  <si>
    <t>2250220165</t>
  </si>
  <si>
    <t>0514142250220166</t>
  </si>
  <si>
    <t>2250220166</t>
  </si>
  <si>
    <t>0514142250220167</t>
  </si>
  <si>
    <t>2250220167</t>
  </si>
  <si>
    <t>0514142250220168</t>
  </si>
  <si>
    <t>2250220168</t>
  </si>
  <si>
    <t>0514142250220169</t>
  </si>
  <si>
    <t>2250220169</t>
  </si>
  <si>
    <t>0514142250220170</t>
  </si>
  <si>
    <t>2250220170</t>
  </si>
  <si>
    <t>0514142250220171</t>
  </si>
  <si>
    <t>2250220171</t>
  </si>
  <si>
    <t>0514142250220172</t>
  </si>
  <si>
    <t>2250220172</t>
  </si>
  <si>
    <t>0514142250220173</t>
  </si>
  <si>
    <t>2250220173</t>
  </si>
  <si>
    <t>0514142250220174</t>
  </si>
  <si>
    <t>2250220174</t>
  </si>
  <si>
    <t>0514142250220175</t>
  </si>
  <si>
    <t>2250220175</t>
  </si>
  <si>
    <t>0514142250220176</t>
  </si>
  <si>
    <t>2250220176</t>
  </si>
  <si>
    <t>0514142250220178</t>
  </si>
  <si>
    <t>2250220178</t>
  </si>
  <si>
    <t>0514142250220179</t>
  </si>
  <si>
    <t>2250220179</t>
  </si>
  <si>
    <t>0514142250220181</t>
  </si>
  <si>
    <t>2250220181</t>
  </si>
  <si>
    <t>0514142250220182</t>
  </si>
  <si>
    <t>2250220182</t>
  </si>
  <si>
    <t>0514142250220184</t>
  </si>
  <si>
    <t>2250220184</t>
  </si>
  <si>
    <t>PC SPUN</t>
  </si>
  <si>
    <t>0514142250220185</t>
  </si>
  <si>
    <t>2250220185</t>
  </si>
  <si>
    <t>0514142250220186</t>
  </si>
  <si>
    <t>2250220186</t>
  </si>
  <si>
    <t>0514142250220188</t>
  </si>
  <si>
    <t>2250220188</t>
  </si>
  <si>
    <t>0514142250220189</t>
  </si>
  <si>
    <t>2250220189</t>
  </si>
  <si>
    <t>0514142250220190</t>
  </si>
  <si>
    <t>2250220190</t>
  </si>
  <si>
    <t>0514142250220192</t>
  </si>
  <si>
    <t>2250220192</t>
  </si>
  <si>
    <t>0514142250220193</t>
  </si>
  <si>
    <t>2250220193</t>
  </si>
  <si>
    <t>0514142250220194</t>
  </si>
  <si>
    <t>2250220194</t>
  </si>
  <si>
    <t>0514142250220195</t>
  </si>
  <si>
    <t>2250220195</t>
  </si>
  <si>
    <t>0514142250220196</t>
  </si>
  <si>
    <t>2250220196</t>
  </si>
  <si>
    <t>from</t>
  </si>
  <si>
    <t>to</t>
  </si>
  <si>
    <t>p1c</t>
  </si>
  <si>
    <t>p2c</t>
  </si>
  <si>
    <t>p3c</t>
  </si>
  <si>
    <t>NULL</t>
  </si>
  <si>
    <t>id</t>
  </si>
  <si>
    <t>s_e</t>
  </si>
  <si>
    <t>x_CumulativeSum</t>
  </si>
  <si>
    <t>sqrt((x2-x1)^2 + (y2-y1)^2)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</si>
</sst>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C99"/>
      </patternFill>
    </fill>
    <fill>
      <patternFill patternType="solid">
        <fgColor theme="7" tint="0.59999389629810485"/>
        <bgColor indexed="65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2" fillId="0" borderId="0"/>
    <xf numFmtId="0" fontId="4" fillId="3" borderId="3" applyNumberFormat="0" applyAlignment="0" applyProtection="0"/>
    <xf numFmtId="0" fontId="3" fillId="4" borderId="0" applyNumberFormat="0" applyBorder="0" applyAlignment="0" applyProtection="0"/>
  </cellStyleXfs>
  <cellXfs count="10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3" fillId="4" borderId="1" xfId="3" applyBorder="1" applyAlignment="1">
      <alignment horizontal="center"/>
    </xf>
    <xf numFmtId="0" fontId="3" fillId="4" borderId="2" xfId="3" applyBorder="1" applyAlignment="1">
      <alignment horizontal="right" wrapText="1"/>
    </xf>
    <xf numFmtId="0" fontId="4" fillId="3" borderId="3" xfId="2" applyAlignment="1">
      <alignment horizontal="right" wrapText="1"/>
    </xf>
    <xf numFmtId="0" fontId="5" fillId="0" borderId="0" xfId="0" applyFont="1"/>
  </cellXfs>
  <cellStyles count="4">
    <cellStyle name="40% - Accent4" xfId="3" builtinId="43"/>
    <cellStyle name="Input" xfId="2" builtinId="20"/>
    <cellStyle name="Normal" xfId="0" builtinId="0"/>
    <cellStyle name="Normal_Sheet1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J692"/>
  <sheetViews>
    <sheetView zoomScale="90" zoomScaleNormal="90" workbookViewId="0">
      <pane xSplit="4" ySplit="1" topLeftCell="AQ484" activePane="bottomRight" state="frozen"/>
      <selection pane="topRight" activeCell="E1" sqref="E1"/>
      <selection pane="bottomLeft" activeCell="A2" sqref="A2"/>
      <selection pane="bottomRight" activeCell="AY484" sqref="AY484"/>
    </sheetView>
  </sheetViews>
  <sheetFormatPr defaultColWidth="20.7265625" defaultRowHeight="14.5" x14ac:dyDescent="0.35"/>
  <cols>
    <col min="1" max="1" width="7" bestFit="1" customWidth="1"/>
    <col min="2" max="2" width="4" bestFit="1" customWidth="1"/>
    <col min="3" max="3" width="6.7265625" bestFit="1" customWidth="1"/>
    <col min="5" max="5" width="9.7265625" bestFit="1" customWidth="1"/>
    <col min="6" max="6" width="16.1796875" bestFit="1" customWidth="1"/>
    <col min="7" max="7" width="15" bestFit="1" customWidth="1"/>
    <col min="8" max="8" width="12.81640625" bestFit="1" customWidth="1"/>
    <col min="9" max="9" width="7.26953125" bestFit="1" customWidth="1"/>
    <col min="10" max="10" width="4" bestFit="1" customWidth="1"/>
    <col min="11" max="13" width="12" bestFit="1" customWidth="1"/>
    <col min="14" max="14" width="12.54296875" bestFit="1" customWidth="1"/>
    <col min="15" max="15" width="13.453125" bestFit="1" customWidth="1"/>
    <col min="16" max="16" width="11.26953125" bestFit="1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40" width="0" hidden="1" customWidth="1"/>
    <col min="41" max="41" width="11.6328125" bestFit="1" customWidth="1"/>
    <col min="42" max="42" width="9.08984375" customWidth="1"/>
    <col min="43" max="43" width="10.08984375" customWidth="1"/>
    <col min="44" max="44" width="11.6328125" bestFit="1" customWidth="1"/>
    <col min="45" max="45" width="11.54296875" bestFit="1" customWidth="1"/>
    <col min="46" max="46" width="11.08984375" bestFit="1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36328125" customWidth="1"/>
    <col min="52" max="52" width="9" customWidth="1"/>
    <col min="53" max="53" width="10.36328125" customWidth="1"/>
  </cols>
  <sheetData>
    <row r="1" spans="1:6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6" t="s">
        <v>914</v>
      </c>
      <c r="M1" s="6" t="s">
        <v>915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916</v>
      </c>
      <c r="AZ1" s="1" t="s">
        <v>917</v>
      </c>
      <c r="BA1" s="1" t="s">
        <v>918</v>
      </c>
      <c r="BB1" s="1" t="s">
        <v>48</v>
      </c>
      <c r="BC1" s="1" t="s">
        <v>49</v>
      </c>
      <c r="BD1" s="1" t="s">
        <v>50</v>
      </c>
      <c r="BE1" s="1" t="s">
        <v>51</v>
      </c>
      <c r="BF1" s="1" t="s">
        <v>52</v>
      </c>
      <c r="BG1" s="1" t="s">
        <v>53</v>
      </c>
      <c r="BH1" s="1" t="s">
        <v>54</v>
      </c>
      <c r="BI1" s="1" t="s">
        <v>55</v>
      </c>
      <c r="BJ1" s="1" t="s">
        <v>56</v>
      </c>
    </row>
    <row r="2" spans="1:62" hidden="1" x14ac:dyDescent="0.35">
      <c r="A2" s="2">
        <v>103370</v>
      </c>
      <c r="B2" s="2">
        <v>0</v>
      </c>
      <c r="C2" s="3" t="s">
        <v>57</v>
      </c>
      <c r="D2" s="3" t="s">
        <v>58</v>
      </c>
      <c r="E2" s="4"/>
      <c r="F2" s="3" t="s">
        <v>59</v>
      </c>
      <c r="G2" s="3" t="s">
        <v>60</v>
      </c>
      <c r="H2" s="3" t="s">
        <v>61</v>
      </c>
      <c r="I2" s="3" t="s">
        <v>62</v>
      </c>
      <c r="J2" s="3" t="s">
        <v>63</v>
      </c>
      <c r="K2" s="2">
        <v>17150920001</v>
      </c>
      <c r="L2" s="7">
        <f>IF(J2="S",K2)</f>
        <v>17150920001</v>
      </c>
      <c r="M2" s="7">
        <f>IF(J2="E",K2,M3)</f>
        <v>17150920002</v>
      </c>
      <c r="N2" s="3" t="s">
        <v>64</v>
      </c>
      <c r="O2" s="5" t="s">
        <v>65</v>
      </c>
      <c r="P2" s="3" t="s">
        <v>66</v>
      </c>
      <c r="Q2" s="3" t="s">
        <v>66</v>
      </c>
      <c r="R2" s="2">
        <v>0</v>
      </c>
      <c r="S2" s="3" t="s">
        <v>66</v>
      </c>
      <c r="T2" s="3" t="s">
        <v>67</v>
      </c>
      <c r="U2" s="3" t="s">
        <v>66</v>
      </c>
      <c r="V2" s="3" t="s">
        <v>66</v>
      </c>
      <c r="W2" s="3" t="s">
        <v>66</v>
      </c>
      <c r="X2" s="3" t="s">
        <v>66</v>
      </c>
      <c r="Y2" s="3" t="s">
        <v>8</v>
      </c>
      <c r="Z2" s="3" t="s">
        <v>66</v>
      </c>
      <c r="AA2" s="3" t="s">
        <v>8</v>
      </c>
      <c r="AB2" s="3" t="s">
        <v>66</v>
      </c>
      <c r="AC2" s="2">
        <v>0</v>
      </c>
      <c r="AD2" s="3" t="s">
        <v>68</v>
      </c>
      <c r="AE2" s="3" t="s">
        <v>66</v>
      </c>
      <c r="AF2" s="3" t="s">
        <v>66</v>
      </c>
      <c r="AG2" s="3" t="s">
        <v>66</v>
      </c>
      <c r="AH2" s="3" t="s">
        <v>66</v>
      </c>
      <c r="AI2" s="3" t="s">
        <v>66</v>
      </c>
      <c r="AJ2" s="3" t="s">
        <v>66</v>
      </c>
      <c r="AK2" s="3" t="s">
        <v>66</v>
      </c>
      <c r="AL2" s="3" t="s">
        <v>66</v>
      </c>
      <c r="AM2" s="3" t="s">
        <v>66</v>
      </c>
      <c r="AN2" s="3" t="s">
        <v>66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/>
      <c r="AZ2" s="2"/>
      <c r="BA2" s="2"/>
      <c r="BB2" s="3" t="s">
        <v>66</v>
      </c>
      <c r="BC2" s="3" t="s">
        <v>66</v>
      </c>
      <c r="BD2" s="2">
        <v>728504.00000000105</v>
      </c>
      <c r="BE2" s="2">
        <v>3763941</v>
      </c>
      <c r="BF2" s="4"/>
      <c r="BG2" s="4"/>
      <c r="BH2" s="4"/>
      <c r="BI2" s="2">
        <v>0</v>
      </c>
      <c r="BJ2" s="2">
        <v>0</v>
      </c>
    </row>
    <row r="3" spans="1:62" hidden="1" x14ac:dyDescent="0.35">
      <c r="A3" s="2">
        <v>103371</v>
      </c>
      <c r="B3" s="2">
        <v>1</v>
      </c>
      <c r="C3" s="3" t="s">
        <v>57</v>
      </c>
      <c r="D3" s="3" t="s">
        <v>58</v>
      </c>
      <c r="E3" s="4"/>
      <c r="F3" s="3" t="s">
        <v>59</v>
      </c>
      <c r="G3" s="3" t="s">
        <v>60</v>
      </c>
      <c r="H3" s="3" t="s">
        <v>61</v>
      </c>
      <c r="I3" s="3" t="s">
        <v>62</v>
      </c>
      <c r="J3" s="3" t="s">
        <v>69</v>
      </c>
      <c r="K3" s="2">
        <v>17150920002</v>
      </c>
      <c r="L3" s="7">
        <f>IF(J3="E",K3,L2)</f>
        <v>17150920002</v>
      </c>
      <c r="M3" s="7">
        <f t="shared" ref="M3:M18" si="0">IF(J3="E",K3,M4)</f>
        <v>17150920002</v>
      </c>
      <c r="N3" s="3" t="s">
        <v>64</v>
      </c>
      <c r="O3" s="5" t="s">
        <v>70</v>
      </c>
      <c r="P3" s="3" t="s">
        <v>71</v>
      </c>
      <c r="Q3" s="3" t="s">
        <v>72</v>
      </c>
      <c r="R3" s="2">
        <v>4</v>
      </c>
      <c r="S3" s="3" t="s">
        <v>73</v>
      </c>
      <c r="T3" s="3" t="s">
        <v>74</v>
      </c>
      <c r="U3" s="3" t="s">
        <v>75</v>
      </c>
      <c r="V3" s="3" t="s">
        <v>75</v>
      </c>
      <c r="W3" s="3" t="s">
        <v>75</v>
      </c>
      <c r="X3" s="3" t="s">
        <v>66</v>
      </c>
      <c r="Y3" s="3" t="s">
        <v>66</v>
      </c>
      <c r="Z3" s="3" t="s">
        <v>66</v>
      </c>
      <c r="AA3" s="3" t="s">
        <v>76</v>
      </c>
      <c r="AB3" s="3" t="s">
        <v>66</v>
      </c>
      <c r="AC3" s="2">
        <v>0</v>
      </c>
      <c r="AD3" s="3" t="s">
        <v>68</v>
      </c>
      <c r="AE3" s="3" t="s">
        <v>66</v>
      </c>
      <c r="AF3" s="3" t="s">
        <v>66</v>
      </c>
      <c r="AG3" s="3" t="s">
        <v>66</v>
      </c>
      <c r="AH3" s="3" t="s">
        <v>66</v>
      </c>
      <c r="AI3" s="3" t="s">
        <v>66</v>
      </c>
      <c r="AJ3" s="3" t="s">
        <v>66</v>
      </c>
      <c r="AK3" s="3" t="s">
        <v>66</v>
      </c>
      <c r="AL3" s="3" t="s">
        <v>66</v>
      </c>
      <c r="AM3" s="3" t="s">
        <v>66</v>
      </c>
      <c r="AN3" s="3" t="s">
        <v>77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/>
      <c r="AZ3" s="2"/>
      <c r="BA3" s="2"/>
      <c r="BB3" s="3" t="s">
        <v>66</v>
      </c>
      <c r="BC3" s="3" t="s">
        <v>66</v>
      </c>
      <c r="BD3" s="2">
        <v>728517.00000000105</v>
      </c>
      <c r="BE3" s="2">
        <v>3763934</v>
      </c>
      <c r="BF3" s="4"/>
      <c r="BG3" s="4"/>
      <c r="BH3" s="4"/>
      <c r="BI3" s="2">
        <v>0</v>
      </c>
      <c r="BJ3" s="2">
        <v>0</v>
      </c>
    </row>
    <row r="4" spans="1:62" hidden="1" x14ac:dyDescent="0.35">
      <c r="A4" s="2">
        <v>103372</v>
      </c>
      <c r="B4" s="2">
        <v>2</v>
      </c>
      <c r="C4" s="3" t="s">
        <v>57</v>
      </c>
      <c r="D4" s="3" t="s">
        <v>78</v>
      </c>
      <c r="E4" s="4"/>
      <c r="F4" s="3" t="s">
        <v>59</v>
      </c>
      <c r="G4" s="3" t="s">
        <v>60</v>
      </c>
      <c r="H4" s="3" t="s">
        <v>61</v>
      </c>
      <c r="I4" s="3" t="s">
        <v>62</v>
      </c>
      <c r="J4" s="3" t="s">
        <v>63</v>
      </c>
      <c r="K4" s="2">
        <v>17150920002</v>
      </c>
      <c r="L4" s="7">
        <f t="shared" ref="L4:L67" si="1">IF(J4="E",K4,L3)</f>
        <v>17150920002</v>
      </c>
      <c r="M4" s="7">
        <f t="shared" si="0"/>
        <v>17150920007</v>
      </c>
      <c r="N4" s="3" t="s">
        <v>64</v>
      </c>
      <c r="O4" s="5" t="s">
        <v>70</v>
      </c>
      <c r="P4" s="3" t="s">
        <v>66</v>
      </c>
      <c r="Q4" s="3" t="s">
        <v>72</v>
      </c>
      <c r="R4" s="2">
        <v>4</v>
      </c>
      <c r="S4" s="3" t="s">
        <v>73</v>
      </c>
      <c r="T4" s="3" t="s">
        <v>74</v>
      </c>
      <c r="U4" s="3" t="s">
        <v>66</v>
      </c>
      <c r="V4" s="3" t="s">
        <v>66</v>
      </c>
      <c r="W4" s="3" t="s">
        <v>66</v>
      </c>
      <c r="X4" s="3" t="s">
        <v>66</v>
      </c>
      <c r="Y4" s="3" t="s">
        <v>66</v>
      </c>
      <c r="Z4" s="3" t="s">
        <v>66</v>
      </c>
      <c r="AA4" s="3" t="s">
        <v>76</v>
      </c>
      <c r="AB4" s="3" t="s">
        <v>66</v>
      </c>
      <c r="AC4" s="2">
        <v>0</v>
      </c>
      <c r="AD4" s="3" t="s">
        <v>68</v>
      </c>
      <c r="AE4" s="3" t="s">
        <v>66</v>
      </c>
      <c r="AF4" s="3" t="s">
        <v>66</v>
      </c>
      <c r="AG4" s="3" t="s">
        <v>66</v>
      </c>
      <c r="AH4" s="3" t="s">
        <v>66</v>
      </c>
      <c r="AI4" s="3" t="s">
        <v>66</v>
      </c>
      <c r="AJ4" s="3" t="s">
        <v>66</v>
      </c>
      <c r="AK4" s="3" t="s">
        <v>66</v>
      </c>
      <c r="AL4" s="3" t="s">
        <v>66</v>
      </c>
      <c r="AM4" s="3" t="s">
        <v>66</v>
      </c>
      <c r="AN4" s="3" t="s">
        <v>66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/>
      <c r="AZ4" s="2"/>
      <c r="BA4" s="2"/>
      <c r="BB4" s="3" t="s">
        <v>66</v>
      </c>
      <c r="BC4" s="3" t="s">
        <v>66</v>
      </c>
      <c r="BD4" s="2">
        <v>728517.00000000105</v>
      </c>
      <c r="BE4" s="2">
        <v>3763934</v>
      </c>
      <c r="BF4" s="4"/>
      <c r="BG4" s="4"/>
      <c r="BH4" s="4"/>
      <c r="BI4" s="2">
        <v>0</v>
      </c>
      <c r="BJ4" s="2">
        <v>0</v>
      </c>
    </row>
    <row r="5" spans="1:62" hidden="1" x14ac:dyDescent="0.35">
      <c r="A5" s="2">
        <v>103373</v>
      </c>
      <c r="B5" s="2">
        <v>3</v>
      </c>
      <c r="C5" s="3" t="s">
        <v>57</v>
      </c>
      <c r="D5" s="3" t="s">
        <v>78</v>
      </c>
      <c r="E5" s="2">
        <v>0</v>
      </c>
      <c r="F5" s="3" t="s">
        <v>59</v>
      </c>
      <c r="G5" s="3" t="s">
        <v>60</v>
      </c>
      <c r="H5" s="3" t="s">
        <v>61</v>
      </c>
      <c r="I5" s="3" t="s">
        <v>62</v>
      </c>
      <c r="J5" s="3" t="s">
        <v>66</v>
      </c>
      <c r="K5" s="2">
        <v>17150920003</v>
      </c>
      <c r="L5" s="7">
        <f t="shared" si="1"/>
        <v>17150920002</v>
      </c>
      <c r="M5" s="7">
        <f t="shared" si="0"/>
        <v>17150920007</v>
      </c>
      <c r="N5" s="3" t="s">
        <v>64</v>
      </c>
      <c r="O5" s="5" t="s">
        <v>79</v>
      </c>
      <c r="P5" s="3" t="s">
        <v>66</v>
      </c>
      <c r="Q5" s="3" t="s">
        <v>72</v>
      </c>
      <c r="R5" s="2">
        <v>4</v>
      </c>
      <c r="S5" s="3" t="s">
        <v>73</v>
      </c>
      <c r="T5" s="3" t="s">
        <v>74</v>
      </c>
      <c r="U5" s="3" t="s">
        <v>66</v>
      </c>
      <c r="V5" s="3" t="s">
        <v>66</v>
      </c>
      <c r="W5" s="3" t="s">
        <v>66</v>
      </c>
      <c r="X5" s="3" t="s">
        <v>66</v>
      </c>
      <c r="Y5" s="3" t="s">
        <v>66</v>
      </c>
      <c r="Z5" s="3" t="s">
        <v>66</v>
      </c>
      <c r="AA5" s="3" t="s">
        <v>76</v>
      </c>
      <c r="AB5" s="3" t="s">
        <v>66</v>
      </c>
      <c r="AC5" s="2">
        <v>0</v>
      </c>
      <c r="AD5" s="3" t="s">
        <v>68</v>
      </c>
      <c r="AE5" s="3" t="s">
        <v>66</v>
      </c>
      <c r="AF5" s="3" t="s">
        <v>66</v>
      </c>
      <c r="AG5" s="3" t="s">
        <v>66</v>
      </c>
      <c r="AH5" s="3" t="s">
        <v>66</v>
      </c>
      <c r="AI5" s="3" t="s">
        <v>66</v>
      </c>
      <c r="AJ5" s="3" t="s">
        <v>66</v>
      </c>
      <c r="AK5" s="3" t="s">
        <v>66</v>
      </c>
      <c r="AL5" s="3" t="s">
        <v>66</v>
      </c>
      <c r="AM5" s="3" t="s">
        <v>66</v>
      </c>
      <c r="AN5" s="3" t="s">
        <v>66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/>
      <c r="AZ5" s="2"/>
      <c r="BA5" s="2"/>
      <c r="BB5" s="3" t="s">
        <v>66</v>
      </c>
      <c r="BC5" s="3" t="s">
        <v>66</v>
      </c>
      <c r="BD5" s="2">
        <v>728519.00000000105</v>
      </c>
      <c r="BE5" s="2">
        <v>3763956</v>
      </c>
      <c r="BF5" s="4"/>
      <c r="BG5" s="4"/>
      <c r="BH5" s="4"/>
      <c r="BI5" s="2">
        <v>0</v>
      </c>
      <c r="BJ5" s="2">
        <v>0</v>
      </c>
    </row>
    <row r="6" spans="1:62" hidden="1" x14ac:dyDescent="0.35">
      <c r="A6" s="2">
        <v>103374</v>
      </c>
      <c r="B6" s="2">
        <v>4</v>
      </c>
      <c r="C6" s="3" t="s">
        <v>57</v>
      </c>
      <c r="D6" s="3" t="s">
        <v>78</v>
      </c>
      <c r="E6" s="2">
        <v>1</v>
      </c>
      <c r="F6" s="3" t="s">
        <v>59</v>
      </c>
      <c r="G6" s="3" t="s">
        <v>60</v>
      </c>
      <c r="H6" s="3" t="s">
        <v>61</v>
      </c>
      <c r="I6" s="3" t="s">
        <v>62</v>
      </c>
      <c r="J6" s="3" t="s">
        <v>66</v>
      </c>
      <c r="K6" s="2">
        <v>17150920004</v>
      </c>
      <c r="L6" s="7">
        <f t="shared" si="1"/>
        <v>17150920002</v>
      </c>
      <c r="M6" s="7">
        <f t="shared" si="0"/>
        <v>17150920007</v>
      </c>
      <c r="N6" s="3" t="s">
        <v>64</v>
      </c>
      <c r="O6" s="5" t="s">
        <v>80</v>
      </c>
      <c r="P6" s="3" t="s">
        <v>66</v>
      </c>
      <c r="Q6" s="3" t="s">
        <v>72</v>
      </c>
      <c r="R6" s="2">
        <v>4</v>
      </c>
      <c r="S6" s="3" t="s">
        <v>73</v>
      </c>
      <c r="T6" s="3" t="s">
        <v>74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76</v>
      </c>
      <c r="AB6" s="3" t="s">
        <v>66</v>
      </c>
      <c r="AC6" s="2">
        <v>0</v>
      </c>
      <c r="AD6" s="3" t="s">
        <v>68</v>
      </c>
      <c r="AE6" s="3" t="s">
        <v>66</v>
      </c>
      <c r="AF6" s="3" t="s">
        <v>66</v>
      </c>
      <c r="AG6" s="3" t="s">
        <v>66</v>
      </c>
      <c r="AH6" s="3" t="s">
        <v>66</v>
      </c>
      <c r="AI6" s="3" t="s">
        <v>66</v>
      </c>
      <c r="AJ6" s="3" t="s">
        <v>66</v>
      </c>
      <c r="AK6" s="3" t="s">
        <v>66</v>
      </c>
      <c r="AL6" s="3" t="s">
        <v>66</v>
      </c>
      <c r="AM6" s="3" t="s">
        <v>66</v>
      </c>
      <c r="AN6" s="3" t="s">
        <v>66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/>
      <c r="AZ6" s="2"/>
      <c r="BA6" s="2"/>
      <c r="BB6" s="3" t="s">
        <v>66</v>
      </c>
      <c r="BC6" s="3" t="s">
        <v>66</v>
      </c>
      <c r="BD6" s="2">
        <v>728513</v>
      </c>
      <c r="BE6" s="2">
        <v>3763998</v>
      </c>
      <c r="BF6" s="4"/>
      <c r="BG6" s="4"/>
      <c r="BH6" s="4"/>
      <c r="BI6" s="2">
        <v>0</v>
      </c>
      <c r="BJ6" s="2">
        <v>0</v>
      </c>
    </row>
    <row r="7" spans="1:62" hidden="1" x14ac:dyDescent="0.35">
      <c r="A7" s="2">
        <v>103375</v>
      </c>
      <c r="B7" s="2">
        <v>5</v>
      </c>
      <c r="C7" s="3" t="s">
        <v>57</v>
      </c>
      <c r="D7" s="3" t="s">
        <v>78</v>
      </c>
      <c r="E7" s="2">
        <v>2</v>
      </c>
      <c r="F7" s="3" t="s">
        <v>59</v>
      </c>
      <c r="G7" s="3" t="s">
        <v>60</v>
      </c>
      <c r="H7" s="3" t="s">
        <v>61</v>
      </c>
      <c r="I7" s="3" t="s">
        <v>62</v>
      </c>
      <c r="J7" s="3" t="s">
        <v>66</v>
      </c>
      <c r="K7" s="2">
        <v>17150920005</v>
      </c>
      <c r="L7" s="7">
        <f t="shared" si="1"/>
        <v>17150920002</v>
      </c>
      <c r="M7" s="7">
        <f t="shared" si="0"/>
        <v>17150920007</v>
      </c>
      <c r="N7" s="3" t="s">
        <v>64</v>
      </c>
      <c r="O7" s="5" t="s">
        <v>81</v>
      </c>
      <c r="P7" s="3" t="s">
        <v>66</v>
      </c>
      <c r="Q7" s="3" t="s">
        <v>72</v>
      </c>
      <c r="R7" s="2">
        <v>4</v>
      </c>
      <c r="S7" s="3" t="s">
        <v>73</v>
      </c>
      <c r="T7" s="3" t="s">
        <v>74</v>
      </c>
      <c r="U7" s="3" t="s">
        <v>66</v>
      </c>
      <c r="V7" s="3" t="s">
        <v>66</v>
      </c>
      <c r="W7" s="3" t="s">
        <v>66</v>
      </c>
      <c r="X7" s="3" t="s">
        <v>66</v>
      </c>
      <c r="Y7" s="3" t="s">
        <v>66</v>
      </c>
      <c r="Z7" s="3" t="s">
        <v>66</v>
      </c>
      <c r="AA7" s="3" t="s">
        <v>76</v>
      </c>
      <c r="AB7" s="3" t="s">
        <v>66</v>
      </c>
      <c r="AC7" s="2">
        <v>0</v>
      </c>
      <c r="AD7" s="3" t="s">
        <v>68</v>
      </c>
      <c r="AE7" s="3" t="s">
        <v>66</v>
      </c>
      <c r="AF7" s="3" t="s">
        <v>66</v>
      </c>
      <c r="AG7" s="3" t="s">
        <v>66</v>
      </c>
      <c r="AH7" s="3" t="s">
        <v>66</v>
      </c>
      <c r="AI7" s="3" t="s">
        <v>66</v>
      </c>
      <c r="AJ7" s="3" t="s">
        <v>66</v>
      </c>
      <c r="AK7" s="3" t="s">
        <v>66</v>
      </c>
      <c r="AL7" s="3" t="s">
        <v>66</v>
      </c>
      <c r="AM7" s="3" t="s">
        <v>66</v>
      </c>
      <c r="AN7" s="3" t="s">
        <v>66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/>
      <c r="AZ7" s="2"/>
      <c r="BA7" s="2"/>
      <c r="BB7" s="3" t="s">
        <v>66</v>
      </c>
      <c r="BC7" s="3" t="s">
        <v>66</v>
      </c>
      <c r="BD7" s="2">
        <v>728512</v>
      </c>
      <c r="BE7" s="2">
        <v>3764045</v>
      </c>
      <c r="BF7" s="4"/>
      <c r="BG7" s="4"/>
      <c r="BH7" s="4"/>
      <c r="BI7" s="2">
        <v>0</v>
      </c>
      <c r="BJ7" s="2">
        <v>0</v>
      </c>
    </row>
    <row r="8" spans="1:62" hidden="1" x14ac:dyDescent="0.35">
      <c r="A8" s="2">
        <v>103376</v>
      </c>
      <c r="B8" s="2">
        <v>6</v>
      </c>
      <c r="C8" s="3" t="s">
        <v>57</v>
      </c>
      <c r="D8" s="3" t="s">
        <v>78</v>
      </c>
      <c r="E8" s="2">
        <v>3</v>
      </c>
      <c r="F8" s="3" t="s">
        <v>59</v>
      </c>
      <c r="G8" s="3" t="s">
        <v>60</v>
      </c>
      <c r="H8" s="3" t="s">
        <v>61</v>
      </c>
      <c r="I8" s="3" t="s">
        <v>62</v>
      </c>
      <c r="J8" s="3" t="s">
        <v>66</v>
      </c>
      <c r="K8" s="2">
        <v>17150920006</v>
      </c>
      <c r="L8" s="7">
        <f t="shared" si="1"/>
        <v>17150920002</v>
      </c>
      <c r="M8" s="7">
        <f t="shared" si="0"/>
        <v>17150920007</v>
      </c>
      <c r="N8" s="3" t="s">
        <v>64</v>
      </c>
      <c r="O8" s="5" t="s">
        <v>82</v>
      </c>
      <c r="P8" s="3" t="s">
        <v>66</v>
      </c>
      <c r="Q8" s="3" t="s">
        <v>72</v>
      </c>
      <c r="R8" s="2">
        <v>4</v>
      </c>
      <c r="S8" s="3" t="s">
        <v>83</v>
      </c>
      <c r="T8" s="3" t="s">
        <v>84</v>
      </c>
      <c r="U8" s="3" t="s">
        <v>66</v>
      </c>
      <c r="V8" s="3" t="s">
        <v>66</v>
      </c>
      <c r="W8" s="3" t="s">
        <v>66</v>
      </c>
      <c r="X8" s="3" t="s">
        <v>66</v>
      </c>
      <c r="Y8" s="3" t="s">
        <v>66</v>
      </c>
      <c r="Z8" s="3" t="s">
        <v>66</v>
      </c>
      <c r="AA8" s="3" t="s">
        <v>76</v>
      </c>
      <c r="AB8" s="3" t="s">
        <v>66</v>
      </c>
      <c r="AC8" s="2">
        <v>0</v>
      </c>
      <c r="AD8" s="3" t="s">
        <v>68</v>
      </c>
      <c r="AE8" s="3" t="s">
        <v>66</v>
      </c>
      <c r="AF8" s="3" t="s">
        <v>66</v>
      </c>
      <c r="AG8" s="3" t="s">
        <v>66</v>
      </c>
      <c r="AH8" s="3" t="s">
        <v>66</v>
      </c>
      <c r="AI8" s="3" t="s">
        <v>66</v>
      </c>
      <c r="AJ8" s="3" t="s">
        <v>66</v>
      </c>
      <c r="AK8" s="3" t="s">
        <v>66</v>
      </c>
      <c r="AL8" s="3" t="s">
        <v>66</v>
      </c>
      <c r="AM8" s="3" t="s">
        <v>66</v>
      </c>
      <c r="AN8" s="3" t="s">
        <v>66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/>
      <c r="AZ8" s="2"/>
      <c r="BA8" s="2"/>
      <c r="BB8" s="3" t="s">
        <v>66</v>
      </c>
      <c r="BC8" s="3" t="s">
        <v>66</v>
      </c>
      <c r="BD8" s="2">
        <v>728506.00000000105</v>
      </c>
      <c r="BE8" s="2">
        <v>3764098</v>
      </c>
      <c r="BF8" s="4"/>
      <c r="BG8" s="4"/>
      <c r="BH8" s="4"/>
      <c r="BI8" s="2">
        <v>0</v>
      </c>
      <c r="BJ8" s="2">
        <v>0</v>
      </c>
    </row>
    <row r="9" spans="1:62" hidden="1" x14ac:dyDescent="0.35">
      <c r="A9" s="2">
        <v>103377</v>
      </c>
      <c r="B9" s="2">
        <v>7</v>
      </c>
      <c r="C9" s="3" t="s">
        <v>57</v>
      </c>
      <c r="D9" s="3" t="s">
        <v>78</v>
      </c>
      <c r="E9" s="4"/>
      <c r="F9" s="3" t="s">
        <v>59</v>
      </c>
      <c r="G9" s="3" t="s">
        <v>60</v>
      </c>
      <c r="H9" s="3" t="s">
        <v>61</v>
      </c>
      <c r="I9" s="3" t="s">
        <v>62</v>
      </c>
      <c r="J9" s="3" t="s">
        <v>69</v>
      </c>
      <c r="K9" s="2">
        <v>17150920007</v>
      </c>
      <c r="L9" s="7">
        <f t="shared" si="1"/>
        <v>17150920007</v>
      </c>
      <c r="M9" s="7">
        <f t="shared" si="0"/>
        <v>17150920007</v>
      </c>
      <c r="N9" s="3" t="s">
        <v>64</v>
      </c>
      <c r="O9" s="5" t="s">
        <v>85</v>
      </c>
      <c r="P9" s="3" t="s">
        <v>71</v>
      </c>
      <c r="Q9" s="3" t="s">
        <v>72</v>
      </c>
      <c r="R9" s="2">
        <v>2</v>
      </c>
      <c r="S9" s="3" t="s">
        <v>73</v>
      </c>
      <c r="T9" s="3" t="s">
        <v>84</v>
      </c>
      <c r="U9" s="3" t="s">
        <v>86</v>
      </c>
      <c r="V9" s="3" t="s">
        <v>86</v>
      </c>
      <c r="W9" s="3" t="s">
        <v>86</v>
      </c>
      <c r="X9" s="3" t="s">
        <v>66</v>
      </c>
      <c r="Y9" s="3" t="s">
        <v>66</v>
      </c>
      <c r="Z9" s="3" t="s">
        <v>66</v>
      </c>
      <c r="AA9" s="3" t="s">
        <v>76</v>
      </c>
      <c r="AB9" s="3" t="s">
        <v>66</v>
      </c>
      <c r="AC9" s="2">
        <v>0</v>
      </c>
      <c r="AD9" s="3" t="s">
        <v>68</v>
      </c>
      <c r="AE9" s="3" t="s">
        <v>66</v>
      </c>
      <c r="AF9" s="3" t="s">
        <v>66</v>
      </c>
      <c r="AG9" s="3" t="s">
        <v>66</v>
      </c>
      <c r="AH9" s="3" t="s">
        <v>66</v>
      </c>
      <c r="AI9" s="3" t="s">
        <v>66</v>
      </c>
      <c r="AJ9" s="3" t="s">
        <v>66</v>
      </c>
      <c r="AK9" s="3" t="s">
        <v>66</v>
      </c>
      <c r="AL9" s="3" t="s">
        <v>66</v>
      </c>
      <c r="AM9" s="3" t="s">
        <v>66</v>
      </c>
      <c r="AN9" s="3" t="s">
        <v>87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/>
      <c r="AZ9" s="2"/>
      <c r="BA9" s="2"/>
      <c r="BB9" s="3" t="s">
        <v>66</v>
      </c>
      <c r="BC9" s="3" t="s">
        <v>66</v>
      </c>
      <c r="BD9" s="2">
        <v>728503.00000000198</v>
      </c>
      <c r="BE9" s="2">
        <v>3764149</v>
      </c>
      <c r="BF9" s="4"/>
      <c r="BG9" s="4"/>
      <c r="BH9" s="4"/>
      <c r="BI9" s="2">
        <v>0</v>
      </c>
      <c r="BJ9" s="2">
        <v>0</v>
      </c>
    </row>
    <row r="10" spans="1:62" hidden="1" x14ac:dyDescent="0.35">
      <c r="A10" s="2">
        <v>103378</v>
      </c>
      <c r="B10" s="2">
        <v>8</v>
      </c>
      <c r="C10" s="3" t="s">
        <v>57</v>
      </c>
      <c r="D10" s="3" t="s">
        <v>88</v>
      </c>
      <c r="E10" s="4"/>
      <c r="F10" s="3" t="s">
        <v>59</v>
      </c>
      <c r="G10" s="3" t="s">
        <v>60</v>
      </c>
      <c r="H10" s="3" t="s">
        <v>61</v>
      </c>
      <c r="I10" s="3" t="s">
        <v>62</v>
      </c>
      <c r="J10" s="3" t="s">
        <v>63</v>
      </c>
      <c r="K10" s="2">
        <v>17150920007</v>
      </c>
      <c r="L10" s="7">
        <f t="shared" si="1"/>
        <v>17150920007</v>
      </c>
      <c r="M10" s="7">
        <f t="shared" si="0"/>
        <v>17150920008</v>
      </c>
      <c r="N10" s="3" t="s">
        <v>64</v>
      </c>
      <c r="O10" s="5" t="s">
        <v>85</v>
      </c>
      <c r="P10" s="3" t="s">
        <v>66</v>
      </c>
      <c r="Q10" s="3" t="s">
        <v>72</v>
      </c>
      <c r="R10" s="2">
        <v>2</v>
      </c>
      <c r="S10" s="3" t="s">
        <v>73</v>
      </c>
      <c r="T10" s="3" t="s">
        <v>84</v>
      </c>
      <c r="U10" s="3" t="s">
        <v>66</v>
      </c>
      <c r="V10" s="3" t="s">
        <v>66</v>
      </c>
      <c r="W10" s="3" t="s">
        <v>66</v>
      </c>
      <c r="X10" s="3" t="s">
        <v>66</v>
      </c>
      <c r="Y10" s="3" t="s">
        <v>66</v>
      </c>
      <c r="Z10" s="3" t="s">
        <v>66</v>
      </c>
      <c r="AA10" s="3" t="s">
        <v>76</v>
      </c>
      <c r="AB10" s="3" t="s">
        <v>66</v>
      </c>
      <c r="AC10" s="2">
        <v>0</v>
      </c>
      <c r="AD10" s="3" t="s">
        <v>68</v>
      </c>
      <c r="AE10" s="3" t="s">
        <v>66</v>
      </c>
      <c r="AF10" s="3" t="s">
        <v>66</v>
      </c>
      <c r="AG10" s="3" t="s">
        <v>66</v>
      </c>
      <c r="AH10" s="3" t="s">
        <v>66</v>
      </c>
      <c r="AI10" s="3" t="s">
        <v>66</v>
      </c>
      <c r="AJ10" s="3" t="s">
        <v>66</v>
      </c>
      <c r="AK10" s="3" t="s">
        <v>66</v>
      </c>
      <c r="AL10" s="3" t="s">
        <v>66</v>
      </c>
      <c r="AM10" s="3" t="s">
        <v>66</v>
      </c>
      <c r="AN10" s="3" t="s">
        <v>66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/>
      <c r="AZ10" s="2"/>
      <c r="BA10" s="2"/>
      <c r="BB10" s="3" t="s">
        <v>66</v>
      </c>
      <c r="BC10" s="3" t="s">
        <v>66</v>
      </c>
      <c r="BD10" s="2">
        <v>728503.00000000198</v>
      </c>
      <c r="BE10" s="2">
        <v>3764149</v>
      </c>
      <c r="BF10" s="4"/>
      <c r="BG10" s="4"/>
      <c r="BH10" s="4"/>
      <c r="BI10" s="2">
        <v>0</v>
      </c>
      <c r="BJ10" s="2">
        <v>0</v>
      </c>
    </row>
    <row r="11" spans="1:62" hidden="1" x14ac:dyDescent="0.35">
      <c r="A11" s="2">
        <v>103379</v>
      </c>
      <c r="B11" s="2">
        <v>9</v>
      </c>
      <c r="C11" s="3" t="s">
        <v>57</v>
      </c>
      <c r="D11" s="3" t="s">
        <v>88</v>
      </c>
      <c r="E11" s="4"/>
      <c r="F11" s="3" t="s">
        <v>59</v>
      </c>
      <c r="G11" s="3" t="s">
        <v>60</v>
      </c>
      <c r="H11" s="3" t="s">
        <v>61</v>
      </c>
      <c r="I11" s="3" t="s">
        <v>62</v>
      </c>
      <c r="J11" s="3" t="s">
        <v>69</v>
      </c>
      <c r="K11" s="2">
        <v>17150920008</v>
      </c>
      <c r="L11" s="7">
        <f t="shared" si="1"/>
        <v>17150920008</v>
      </c>
      <c r="M11" s="7">
        <f t="shared" si="0"/>
        <v>17150920008</v>
      </c>
      <c r="N11" s="3" t="s">
        <v>64</v>
      </c>
      <c r="O11" s="5" t="s">
        <v>89</v>
      </c>
      <c r="P11" s="3" t="s">
        <v>71</v>
      </c>
      <c r="Q11" s="3" t="s">
        <v>72</v>
      </c>
      <c r="R11" s="2">
        <v>3</v>
      </c>
      <c r="S11" s="3" t="s">
        <v>90</v>
      </c>
      <c r="T11" s="3" t="s">
        <v>84</v>
      </c>
      <c r="U11" s="3" t="s">
        <v>86</v>
      </c>
      <c r="V11" s="3" t="s">
        <v>86</v>
      </c>
      <c r="W11" s="3" t="s">
        <v>86</v>
      </c>
      <c r="X11" s="3" t="s">
        <v>66</v>
      </c>
      <c r="Y11" s="3" t="s">
        <v>66</v>
      </c>
      <c r="Z11" s="3" t="s">
        <v>66</v>
      </c>
      <c r="AA11" s="3" t="s">
        <v>76</v>
      </c>
      <c r="AB11" s="3" t="s">
        <v>66</v>
      </c>
      <c r="AC11" s="2">
        <v>0</v>
      </c>
      <c r="AD11" s="3" t="s">
        <v>68</v>
      </c>
      <c r="AE11" s="3" t="s">
        <v>66</v>
      </c>
      <c r="AF11" s="3" t="s">
        <v>66</v>
      </c>
      <c r="AG11" s="3" t="s">
        <v>66</v>
      </c>
      <c r="AH11" s="3" t="s">
        <v>66</v>
      </c>
      <c r="AI11" s="3" t="s">
        <v>66</v>
      </c>
      <c r="AJ11" s="3" t="s">
        <v>66</v>
      </c>
      <c r="AK11" s="3" t="s">
        <v>66</v>
      </c>
      <c r="AL11" s="3" t="s">
        <v>66</v>
      </c>
      <c r="AM11" s="3" t="s">
        <v>66</v>
      </c>
      <c r="AN11" s="3" t="s">
        <v>87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/>
      <c r="AZ11" s="2"/>
      <c r="BA11" s="2"/>
      <c r="BB11" s="3" t="s">
        <v>66</v>
      </c>
      <c r="BC11" s="3" t="s">
        <v>66</v>
      </c>
      <c r="BD11" s="2">
        <v>728513</v>
      </c>
      <c r="BE11" s="2">
        <v>3764176</v>
      </c>
      <c r="BF11" s="4"/>
      <c r="BG11" s="4"/>
      <c r="BH11" s="4"/>
      <c r="BI11" s="2">
        <v>0</v>
      </c>
      <c r="BJ11" s="2">
        <v>0</v>
      </c>
    </row>
    <row r="12" spans="1:62" hidden="1" x14ac:dyDescent="0.35">
      <c r="A12" s="2">
        <v>103380</v>
      </c>
      <c r="B12" s="2">
        <v>10</v>
      </c>
      <c r="C12" s="3" t="s">
        <v>57</v>
      </c>
      <c r="D12" s="3" t="s">
        <v>91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17150920008</v>
      </c>
      <c r="L12" s="7">
        <f t="shared" si="1"/>
        <v>17150920008</v>
      </c>
      <c r="M12" s="7">
        <f t="shared" si="0"/>
        <v>17150920014</v>
      </c>
      <c r="N12" s="3" t="s">
        <v>64</v>
      </c>
      <c r="O12" s="5" t="s">
        <v>89</v>
      </c>
      <c r="P12" s="3" t="s">
        <v>66</v>
      </c>
      <c r="Q12" s="3" t="s">
        <v>72</v>
      </c>
      <c r="R12" s="2">
        <v>3</v>
      </c>
      <c r="S12" s="3" t="s">
        <v>90</v>
      </c>
      <c r="T12" s="3" t="s">
        <v>84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66</v>
      </c>
      <c r="Z12" s="3" t="s">
        <v>66</v>
      </c>
      <c r="AA12" s="3" t="s">
        <v>76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3" t="s">
        <v>66</v>
      </c>
      <c r="BC12" s="3" t="s">
        <v>66</v>
      </c>
      <c r="BD12" s="2">
        <v>728513</v>
      </c>
      <c r="BE12" s="2">
        <v>3764176</v>
      </c>
      <c r="BF12" s="4"/>
      <c r="BG12" s="4"/>
      <c r="BH12" s="4"/>
      <c r="BI12" s="2">
        <v>0</v>
      </c>
      <c r="BJ12" s="2">
        <v>0</v>
      </c>
    </row>
    <row r="13" spans="1:62" hidden="1" x14ac:dyDescent="0.35">
      <c r="A13" s="2">
        <v>103381</v>
      </c>
      <c r="B13" s="2">
        <v>11</v>
      </c>
      <c r="C13" s="3" t="s">
        <v>57</v>
      </c>
      <c r="D13" s="3" t="s">
        <v>91</v>
      </c>
      <c r="E13" s="2">
        <v>0</v>
      </c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66</v>
      </c>
      <c r="K13" s="2">
        <v>17150920009</v>
      </c>
      <c r="L13" s="7">
        <f t="shared" si="1"/>
        <v>17150920008</v>
      </c>
      <c r="M13" s="7">
        <f t="shared" si="0"/>
        <v>17150920014</v>
      </c>
      <c r="N13" s="3" t="s">
        <v>64</v>
      </c>
      <c r="O13" s="5" t="s">
        <v>92</v>
      </c>
      <c r="P13" s="3" t="s">
        <v>66</v>
      </c>
      <c r="Q13" s="3" t="s">
        <v>72</v>
      </c>
      <c r="R13" s="2">
        <v>4</v>
      </c>
      <c r="S13" s="3" t="s">
        <v>90</v>
      </c>
      <c r="T13" s="3" t="s">
        <v>84</v>
      </c>
      <c r="U13" s="3" t="s">
        <v>66</v>
      </c>
      <c r="V13" s="3" t="s">
        <v>66</v>
      </c>
      <c r="W13" s="3" t="s">
        <v>66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66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3" t="s">
        <v>66</v>
      </c>
      <c r="BC13" s="3" t="s">
        <v>66</v>
      </c>
      <c r="BD13" s="2">
        <v>728558</v>
      </c>
      <c r="BE13" s="2">
        <v>3764182</v>
      </c>
      <c r="BF13" s="4"/>
      <c r="BG13" s="4"/>
      <c r="BH13" s="4"/>
      <c r="BI13" s="2">
        <v>0</v>
      </c>
      <c r="BJ13" s="2">
        <v>0</v>
      </c>
    </row>
    <row r="14" spans="1:62" hidden="1" x14ac:dyDescent="0.35">
      <c r="A14" s="2">
        <v>103382</v>
      </c>
      <c r="B14" s="2">
        <v>12</v>
      </c>
      <c r="C14" s="3" t="s">
        <v>57</v>
      </c>
      <c r="D14" s="3" t="s">
        <v>91</v>
      </c>
      <c r="E14" s="2">
        <v>1</v>
      </c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66</v>
      </c>
      <c r="K14" s="2">
        <v>17150920010</v>
      </c>
      <c r="L14" s="7">
        <f t="shared" si="1"/>
        <v>17150920008</v>
      </c>
      <c r="M14" s="7">
        <f t="shared" si="0"/>
        <v>17150920014</v>
      </c>
      <c r="N14" s="3" t="s">
        <v>64</v>
      </c>
      <c r="O14" s="5" t="s">
        <v>93</v>
      </c>
      <c r="P14" s="3" t="s">
        <v>66</v>
      </c>
      <c r="Q14" s="3" t="s">
        <v>72</v>
      </c>
      <c r="R14" s="2">
        <v>4</v>
      </c>
      <c r="S14" s="3" t="s">
        <v>90</v>
      </c>
      <c r="T14" s="3" t="s">
        <v>84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3" t="s">
        <v>66</v>
      </c>
      <c r="BC14" s="3" t="s">
        <v>66</v>
      </c>
      <c r="BD14" s="2">
        <v>728605</v>
      </c>
      <c r="BE14" s="2">
        <v>3764183</v>
      </c>
      <c r="BF14" s="4"/>
      <c r="BG14" s="4"/>
      <c r="BH14" s="4"/>
      <c r="BI14" s="2">
        <v>0</v>
      </c>
      <c r="BJ14" s="2">
        <v>0</v>
      </c>
    </row>
    <row r="15" spans="1:62" hidden="1" x14ac:dyDescent="0.35">
      <c r="A15" s="2">
        <v>103383</v>
      </c>
      <c r="B15" s="2">
        <v>13</v>
      </c>
      <c r="C15" s="3" t="s">
        <v>57</v>
      </c>
      <c r="D15" s="3" t="s">
        <v>91</v>
      </c>
      <c r="E15" s="2">
        <v>2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17150920011</v>
      </c>
      <c r="L15" s="7">
        <f t="shared" si="1"/>
        <v>17150920008</v>
      </c>
      <c r="M15" s="7">
        <f t="shared" si="0"/>
        <v>17150920014</v>
      </c>
      <c r="N15" s="3" t="s">
        <v>64</v>
      </c>
      <c r="O15" s="5" t="s">
        <v>94</v>
      </c>
      <c r="P15" s="3" t="s">
        <v>66</v>
      </c>
      <c r="Q15" s="3" t="s">
        <v>72</v>
      </c>
      <c r="R15" s="2">
        <v>4</v>
      </c>
      <c r="S15" s="3" t="s">
        <v>90</v>
      </c>
      <c r="T15" s="3" t="s">
        <v>84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3" t="s">
        <v>66</v>
      </c>
      <c r="BC15" s="3" t="s">
        <v>66</v>
      </c>
      <c r="BD15" s="2">
        <v>728655.00000000105</v>
      </c>
      <c r="BE15" s="2">
        <v>3764187</v>
      </c>
      <c r="BF15" s="4"/>
      <c r="BG15" s="4"/>
      <c r="BH15" s="4"/>
      <c r="BI15" s="2">
        <v>0</v>
      </c>
      <c r="BJ15" s="2">
        <v>0</v>
      </c>
    </row>
    <row r="16" spans="1:62" hidden="1" x14ac:dyDescent="0.35">
      <c r="A16" s="2">
        <v>103384</v>
      </c>
      <c r="B16" s="2">
        <v>14</v>
      </c>
      <c r="C16" s="3" t="s">
        <v>57</v>
      </c>
      <c r="D16" s="3" t="s">
        <v>91</v>
      </c>
      <c r="E16" s="2">
        <v>3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17150920012</v>
      </c>
      <c r="L16" s="7">
        <f t="shared" si="1"/>
        <v>17150920008</v>
      </c>
      <c r="M16" s="7">
        <f t="shared" si="0"/>
        <v>17150920014</v>
      </c>
      <c r="N16" s="3" t="s">
        <v>64</v>
      </c>
      <c r="O16" s="5" t="s">
        <v>95</v>
      </c>
      <c r="P16" s="3" t="s">
        <v>66</v>
      </c>
      <c r="Q16" s="3" t="s">
        <v>72</v>
      </c>
      <c r="R16" s="2">
        <v>4</v>
      </c>
      <c r="S16" s="3" t="s">
        <v>90</v>
      </c>
      <c r="T16" s="3" t="s">
        <v>84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3" t="s">
        <v>66</v>
      </c>
      <c r="BC16" s="3" t="s">
        <v>66</v>
      </c>
      <c r="BD16" s="2">
        <v>728708.00000000105</v>
      </c>
      <c r="BE16" s="2">
        <v>3764188</v>
      </c>
      <c r="BF16" s="4"/>
      <c r="BG16" s="4"/>
      <c r="BH16" s="4"/>
      <c r="BI16" s="2">
        <v>0</v>
      </c>
      <c r="BJ16" s="2">
        <v>0</v>
      </c>
    </row>
    <row r="17" spans="1:62" hidden="1" x14ac:dyDescent="0.35">
      <c r="A17" s="2">
        <v>103385</v>
      </c>
      <c r="B17" s="2">
        <v>15</v>
      </c>
      <c r="C17" s="3" t="s">
        <v>57</v>
      </c>
      <c r="D17" s="3" t="s">
        <v>91</v>
      </c>
      <c r="E17" s="2">
        <v>4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17150920013</v>
      </c>
      <c r="L17" s="7">
        <f t="shared" si="1"/>
        <v>17150920008</v>
      </c>
      <c r="M17" s="7">
        <f t="shared" si="0"/>
        <v>17150920014</v>
      </c>
      <c r="N17" s="3" t="s">
        <v>64</v>
      </c>
      <c r="O17" s="5" t="s">
        <v>96</v>
      </c>
      <c r="P17" s="3" t="s">
        <v>66</v>
      </c>
      <c r="Q17" s="3" t="s">
        <v>72</v>
      </c>
      <c r="R17" s="2">
        <v>4</v>
      </c>
      <c r="S17" s="3" t="s">
        <v>90</v>
      </c>
      <c r="T17" s="3" t="s">
        <v>84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3" t="s">
        <v>66</v>
      </c>
      <c r="BC17" s="3" t="s">
        <v>66</v>
      </c>
      <c r="BD17" s="2">
        <v>728755.99999999895</v>
      </c>
      <c r="BE17" s="2">
        <v>3764193</v>
      </c>
      <c r="BF17" s="4"/>
      <c r="BG17" s="4"/>
      <c r="BH17" s="4"/>
      <c r="BI17" s="2">
        <v>0</v>
      </c>
      <c r="BJ17" s="2">
        <v>0</v>
      </c>
    </row>
    <row r="18" spans="1:62" hidden="1" x14ac:dyDescent="0.35">
      <c r="A18" s="2">
        <v>103386</v>
      </c>
      <c r="B18" s="2">
        <v>16</v>
      </c>
      <c r="C18" s="3" t="s">
        <v>57</v>
      </c>
      <c r="D18" s="3" t="s">
        <v>91</v>
      </c>
      <c r="E18" s="4"/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69</v>
      </c>
      <c r="K18" s="2">
        <v>17150920014</v>
      </c>
      <c r="L18" s="7">
        <f t="shared" si="1"/>
        <v>17150920014</v>
      </c>
      <c r="M18" s="7">
        <f t="shared" si="0"/>
        <v>17150920014</v>
      </c>
      <c r="N18" s="3" t="s">
        <v>64</v>
      </c>
      <c r="O18" s="5" t="s">
        <v>97</v>
      </c>
      <c r="P18" s="3" t="s">
        <v>71</v>
      </c>
      <c r="Q18" s="3" t="s">
        <v>72</v>
      </c>
      <c r="R18" s="2">
        <v>3</v>
      </c>
      <c r="S18" s="3" t="s">
        <v>90</v>
      </c>
      <c r="T18" s="3" t="s">
        <v>84</v>
      </c>
      <c r="U18" s="3" t="s">
        <v>86</v>
      </c>
      <c r="V18" s="3" t="s">
        <v>86</v>
      </c>
      <c r="W18" s="3" t="s">
        <v>86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87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3" t="s">
        <v>66</v>
      </c>
      <c r="BC18" s="3" t="s">
        <v>66</v>
      </c>
      <c r="BD18" s="2">
        <v>728812</v>
      </c>
      <c r="BE18" s="2">
        <v>3764195</v>
      </c>
      <c r="BF18" s="4"/>
      <c r="BG18" s="4"/>
      <c r="BH18" s="4"/>
      <c r="BI18" s="2">
        <v>0</v>
      </c>
      <c r="BJ18" s="2">
        <v>0</v>
      </c>
    </row>
    <row r="19" spans="1:62" hidden="1" x14ac:dyDescent="0.35">
      <c r="A19" s="2">
        <v>103387</v>
      </c>
      <c r="B19" s="2">
        <v>17</v>
      </c>
      <c r="C19" s="3" t="s">
        <v>57</v>
      </c>
      <c r="D19" s="3" t="s">
        <v>98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63</v>
      </c>
      <c r="K19" s="2">
        <v>17150920014</v>
      </c>
      <c r="L19" s="7">
        <f t="shared" si="1"/>
        <v>17150920014</v>
      </c>
      <c r="M19" s="7">
        <f t="shared" ref="M19:M82" si="2">IF(J19="E",K19,M20)</f>
        <v>17150920019</v>
      </c>
      <c r="N19" s="3" t="s">
        <v>64</v>
      </c>
      <c r="O19" s="5" t="s">
        <v>97</v>
      </c>
      <c r="P19" s="3" t="s">
        <v>66</v>
      </c>
      <c r="Q19" s="3" t="s">
        <v>72</v>
      </c>
      <c r="R19" s="2">
        <v>3</v>
      </c>
      <c r="S19" s="3" t="s">
        <v>90</v>
      </c>
      <c r="T19" s="3" t="s">
        <v>84</v>
      </c>
      <c r="U19" s="3" t="s">
        <v>66</v>
      </c>
      <c r="V19" s="3" t="s">
        <v>66</v>
      </c>
      <c r="W19" s="3" t="s">
        <v>66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66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3" t="s">
        <v>66</v>
      </c>
      <c r="BC19" s="3" t="s">
        <v>66</v>
      </c>
      <c r="BD19" s="2">
        <v>728812</v>
      </c>
      <c r="BE19" s="2">
        <v>3764195</v>
      </c>
      <c r="BF19" s="4"/>
      <c r="BG19" s="4"/>
      <c r="BH19" s="4"/>
      <c r="BI19" s="2">
        <v>0</v>
      </c>
      <c r="BJ19" s="2">
        <v>0</v>
      </c>
    </row>
    <row r="20" spans="1:62" hidden="1" x14ac:dyDescent="0.35">
      <c r="A20" s="2">
        <v>103388</v>
      </c>
      <c r="B20" s="2">
        <v>18</v>
      </c>
      <c r="C20" s="3" t="s">
        <v>57</v>
      </c>
      <c r="D20" s="3" t="s">
        <v>98</v>
      </c>
      <c r="E20" s="2">
        <v>0</v>
      </c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66</v>
      </c>
      <c r="K20" s="2">
        <v>17150920015</v>
      </c>
      <c r="L20" s="7">
        <f t="shared" si="1"/>
        <v>17150920014</v>
      </c>
      <c r="M20" s="7">
        <f t="shared" si="2"/>
        <v>17150920019</v>
      </c>
      <c r="N20" s="3" t="s">
        <v>64</v>
      </c>
      <c r="O20" s="5" t="s">
        <v>99</v>
      </c>
      <c r="P20" s="3" t="s">
        <v>66</v>
      </c>
      <c r="Q20" s="3" t="s">
        <v>72</v>
      </c>
      <c r="R20" s="2">
        <v>3</v>
      </c>
      <c r="S20" s="3" t="s">
        <v>90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3" t="s">
        <v>66</v>
      </c>
      <c r="BC20" s="3" t="s">
        <v>66</v>
      </c>
      <c r="BD20" s="2">
        <v>728868</v>
      </c>
      <c r="BE20" s="2">
        <v>3764198</v>
      </c>
      <c r="BF20" s="4"/>
      <c r="BG20" s="4"/>
      <c r="BH20" s="4"/>
      <c r="BI20" s="2">
        <v>0</v>
      </c>
      <c r="BJ20" s="2">
        <v>0</v>
      </c>
    </row>
    <row r="21" spans="1:62" hidden="1" x14ac:dyDescent="0.35">
      <c r="A21" s="2">
        <v>103389</v>
      </c>
      <c r="B21" s="2">
        <v>19</v>
      </c>
      <c r="C21" s="3" t="s">
        <v>57</v>
      </c>
      <c r="D21" s="3" t="s">
        <v>98</v>
      </c>
      <c r="E21" s="2">
        <v>1</v>
      </c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66</v>
      </c>
      <c r="K21" s="2">
        <v>17150920016</v>
      </c>
      <c r="L21" s="7">
        <f t="shared" si="1"/>
        <v>17150920014</v>
      </c>
      <c r="M21" s="7">
        <f t="shared" si="2"/>
        <v>17150920019</v>
      </c>
      <c r="N21" s="3" t="s">
        <v>64</v>
      </c>
      <c r="O21" s="5" t="s">
        <v>100</v>
      </c>
      <c r="P21" s="3" t="s">
        <v>66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66</v>
      </c>
      <c r="V21" s="3" t="s">
        <v>66</v>
      </c>
      <c r="W21" s="3" t="s">
        <v>66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66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3" t="s">
        <v>66</v>
      </c>
      <c r="BC21" s="3" t="s">
        <v>66</v>
      </c>
      <c r="BD21" s="2">
        <v>728917</v>
      </c>
      <c r="BE21" s="2">
        <v>3764201</v>
      </c>
      <c r="BF21" s="4"/>
      <c r="BG21" s="4"/>
      <c r="BH21" s="4"/>
      <c r="BI21" s="2">
        <v>0</v>
      </c>
      <c r="BJ21" s="2">
        <v>0</v>
      </c>
    </row>
    <row r="22" spans="1:62" hidden="1" x14ac:dyDescent="0.35">
      <c r="A22" s="2">
        <v>103390</v>
      </c>
      <c r="B22" s="2">
        <v>20</v>
      </c>
      <c r="C22" s="3" t="s">
        <v>57</v>
      </c>
      <c r="D22" s="3" t="s">
        <v>98</v>
      </c>
      <c r="E22" s="2">
        <v>2</v>
      </c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66</v>
      </c>
      <c r="K22" s="2">
        <v>17150920017</v>
      </c>
      <c r="L22" s="7">
        <f t="shared" si="1"/>
        <v>17150920014</v>
      </c>
      <c r="M22" s="7">
        <f t="shared" si="2"/>
        <v>17150920019</v>
      </c>
      <c r="N22" s="3" t="s">
        <v>64</v>
      </c>
      <c r="O22" s="5" t="s">
        <v>101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3" t="s">
        <v>66</v>
      </c>
      <c r="BC22" s="3" t="s">
        <v>66</v>
      </c>
      <c r="BD22" s="2">
        <v>728966.00000000198</v>
      </c>
      <c r="BE22" s="2">
        <v>3764206</v>
      </c>
      <c r="BF22" s="4"/>
      <c r="BG22" s="4"/>
      <c r="BH22" s="4"/>
      <c r="BI22" s="2">
        <v>0</v>
      </c>
      <c r="BJ22" s="2">
        <v>0</v>
      </c>
    </row>
    <row r="23" spans="1:62" hidden="1" x14ac:dyDescent="0.35">
      <c r="A23" s="2">
        <v>103391</v>
      </c>
      <c r="B23" s="2">
        <v>21</v>
      </c>
      <c r="C23" s="3" t="s">
        <v>57</v>
      </c>
      <c r="D23" s="3" t="s">
        <v>98</v>
      </c>
      <c r="E23" s="2">
        <v>3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17150920018</v>
      </c>
      <c r="L23" s="7">
        <f t="shared" si="1"/>
        <v>17150920014</v>
      </c>
      <c r="M23" s="7">
        <f t="shared" si="2"/>
        <v>17150920019</v>
      </c>
      <c r="N23" s="3" t="s">
        <v>64</v>
      </c>
      <c r="O23" s="5" t="s">
        <v>102</v>
      </c>
      <c r="P23" s="3" t="s">
        <v>66</v>
      </c>
      <c r="Q23" s="3" t="s">
        <v>72</v>
      </c>
      <c r="R23" s="2">
        <v>3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3" t="s">
        <v>66</v>
      </c>
      <c r="BC23" s="3" t="s">
        <v>66</v>
      </c>
      <c r="BD23" s="2">
        <v>729013.00000000105</v>
      </c>
      <c r="BE23" s="2">
        <v>3764209</v>
      </c>
      <c r="BF23" s="4"/>
      <c r="BG23" s="4"/>
      <c r="BH23" s="4"/>
      <c r="BI23" s="2">
        <v>0</v>
      </c>
      <c r="BJ23" s="2">
        <v>0</v>
      </c>
    </row>
    <row r="24" spans="1:62" hidden="1" x14ac:dyDescent="0.35">
      <c r="A24" s="2">
        <v>103392</v>
      </c>
      <c r="B24" s="2">
        <v>22</v>
      </c>
      <c r="C24" s="3" t="s">
        <v>57</v>
      </c>
      <c r="D24" s="3" t="s">
        <v>98</v>
      </c>
      <c r="E24" s="4"/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69</v>
      </c>
      <c r="K24" s="2">
        <v>17150920019</v>
      </c>
      <c r="L24" s="7">
        <f t="shared" si="1"/>
        <v>17150920019</v>
      </c>
      <c r="M24" s="7">
        <f t="shared" si="2"/>
        <v>17150920019</v>
      </c>
      <c r="N24" s="3" t="s">
        <v>64</v>
      </c>
      <c r="O24" s="5" t="s">
        <v>103</v>
      </c>
      <c r="P24" s="3" t="s">
        <v>71</v>
      </c>
      <c r="Q24" s="3" t="s">
        <v>72</v>
      </c>
      <c r="R24" s="2">
        <v>3</v>
      </c>
      <c r="S24" s="3" t="s">
        <v>90</v>
      </c>
      <c r="T24" s="3" t="s">
        <v>84</v>
      </c>
      <c r="U24" s="3" t="s">
        <v>86</v>
      </c>
      <c r="V24" s="3" t="s">
        <v>86</v>
      </c>
      <c r="W24" s="3" t="s">
        <v>86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87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3" t="s">
        <v>66</v>
      </c>
      <c r="BC24" s="3" t="s">
        <v>66</v>
      </c>
      <c r="BD24" s="2">
        <v>729055</v>
      </c>
      <c r="BE24" s="2">
        <v>3764209</v>
      </c>
      <c r="BF24" s="4"/>
      <c r="BG24" s="4"/>
      <c r="BH24" s="4"/>
      <c r="BI24" s="2">
        <v>0</v>
      </c>
      <c r="BJ24" s="2">
        <v>0</v>
      </c>
    </row>
    <row r="25" spans="1:62" hidden="1" x14ac:dyDescent="0.35">
      <c r="A25" s="2">
        <v>103393</v>
      </c>
      <c r="B25" s="2">
        <v>23</v>
      </c>
      <c r="C25" s="3" t="s">
        <v>57</v>
      </c>
      <c r="D25" s="3" t="s">
        <v>58</v>
      </c>
      <c r="E25" s="4"/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63</v>
      </c>
      <c r="K25" s="2">
        <v>17150920019</v>
      </c>
      <c r="L25" s="7">
        <f t="shared" si="1"/>
        <v>17150920019</v>
      </c>
      <c r="M25" s="7">
        <f t="shared" si="2"/>
        <v>17150920022</v>
      </c>
      <c r="N25" s="3" t="s">
        <v>64</v>
      </c>
      <c r="O25" s="5" t="s">
        <v>103</v>
      </c>
      <c r="P25" s="3" t="s">
        <v>66</v>
      </c>
      <c r="Q25" s="3" t="s">
        <v>72</v>
      </c>
      <c r="R25" s="2">
        <v>3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3" t="s">
        <v>66</v>
      </c>
      <c r="BC25" s="3" t="s">
        <v>66</v>
      </c>
      <c r="BD25" s="2">
        <v>729055</v>
      </c>
      <c r="BE25" s="2">
        <v>3764209</v>
      </c>
      <c r="BF25" s="4"/>
      <c r="BG25" s="4"/>
      <c r="BH25" s="4"/>
      <c r="BI25" s="2">
        <v>0</v>
      </c>
      <c r="BJ25" s="2">
        <v>0</v>
      </c>
    </row>
    <row r="26" spans="1:62" hidden="1" x14ac:dyDescent="0.35">
      <c r="A26" s="2">
        <v>103394</v>
      </c>
      <c r="B26" s="2">
        <v>24</v>
      </c>
      <c r="C26" s="3" t="s">
        <v>57</v>
      </c>
      <c r="D26" s="3" t="s">
        <v>58</v>
      </c>
      <c r="E26" s="2">
        <v>0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17150920020</v>
      </c>
      <c r="L26" s="7">
        <f t="shared" si="1"/>
        <v>17150920019</v>
      </c>
      <c r="M26" s="7">
        <f t="shared" si="2"/>
        <v>17150920022</v>
      </c>
      <c r="N26" s="3" t="s">
        <v>64</v>
      </c>
      <c r="O26" s="5" t="s">
        <v>104</v>
      </c>
      <c r="P26" s="3" t="s">
        <v>66</v>
      </c>
      <c r="Q26" s="3" t="s">
        <v>72</v>
      </c>
      <c r="R26" s="2">
        <v>3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3" t="s">
        <v>66</v>
      </c>
      <c r="BC26" s="3" t="s">
        <v>66</v>
      </c>
      <c r="BD26" s="2">
        <v>729098</v>
      </c>
      <c r="BE26" s="2">
        <v>3764208</v>
      </c>
      <c r="BF26" s="4"/>
      <c r="BG26" s="4"/>
      <c r="BH26" s="4"/>
      <c r="BI26" s="2">
        <v>0</v>
      </c>
      <c r="BJ26" s="2">
        <v>0</v>
      </c>
    </row>
    <row r="27" spans="1:62" hidden="1" x14ac:dyDescent="0.35">
      <c r="A27" s="2">
        <v>103395</v>
      </c>
      <c r="B27" s="2">
        <v>25</v>
      </c>
      <c r="C27" s="3" t="s">
        <v>57</v>
      </c>
      <c r="D27" s="3" t="s">
        <v>58</v>
      </c>
      <c r="E27" s="2">
        <v>1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17150920021</v>
      </c>
      <c r="L27" s="7">
        <f t="shared" si="1"/>
        <v>17150920019</v>
      </c>
      <c r="M27" s="7">
        <f t="shared" si="2"/>
        <v>17150920022</v>
      </c>
      <c r="N27" s="3" t="s">
        <v>64</v>
      </c>
      <c r="O27" s="5" t="s">
        <v>105</v>
      </c>
      <c r="P27" s="3" t="s">
        <v>66</v>
      </c>
      <c r="Q27" s="3" t="s">
        <v>72</v>
      </c>
      <c r="R27" s="2">
        <v>3</v>
      </c>
      <c r="S27" s="3" t="s">
        <v>83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3" t="s">
        <v>66</v>
      </c>
      <c r="BC27" s="3" t="s">
        <v>66</v>
      </c>
      <c r="BD27" s="2">
        <v>729141.00000000105</v>
      </c>
      <c r="BE27" s="2">
        <v>3764205</v>
      </c>
      <c r="BF27" s="4"/>
      <c r="BG27" s="4"/>
      <c r="BH27" s="4"/>
      <c r="BI27" s="2">
        <v>0</v>
      </c>
      <c r="BJ27" s="2">
        <v>0</v>
      </c>
    </row>
    <row r="28" spans="1:62" hidden="1" x14ac:dyDescent="0.35">
      <c r="A28" s="2">
        <v>103396</v>
      </c>
      <c r="B28" s="2">
        <v>26</v>
      </c>
      <c r="C28" s="3" t="s">
        <v>57</v>
      </c>
      <c r="D28" s="3" t="s">
        <v>58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17150920022</v>
      </c>
      <c r="L28" s="7">
        <f t="shared" si="1"/>
        <v>17150920022</v>
      </c>
      <c r="M28" s="7">
        <f t="shared" si="2"/>
        <v>17150920022</v>
      </c>
      <c r="N28" s="3" t="s">
        <v>64</v>
      </c>
      <c r="O28" s="5" t="s">
        <v>106</v>
      </c>
      <c r="P28" s="3" t="s">
        <v>71</v>
      </c>
      <c r="Q28" s="3" t="s">
        <v>72</v>
      </c>
      <c r="R28" s="2">
        <v>2</v>
      </c>
      <c r="S28" s="3" t="s">
        <v>73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66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3" t="s">
        <v>66</v>
      </c>
      <c r="BC28" s="3" t="s">
        <v>66</v>
      </c>
      <c r="BD28" s="2">
        <v>729150.00000000198</v>
      </c>
      <c r="BE28" s="2">
        <v>3764203</v>
      </c>
      <c r="BF28" s="4"/>
      <c r="BG28" s="4"/>
      <c r="BH28" s="4"/>
      <c r="BI28" s="2">
        <v>0</v>
      </c>
      <c r="BJ28" s="2">
        <v>0</v>
      </c>
    </row>
    <row r="29" spans="1:62" hidden="1" x14ac:dyDescent="0.35">
      <c r="A29" s="2">
        <v>103397</v>
      </c>
      <c r="B29" s="2">
        <v>27</v>
      </c>
      <c r="C29" s="3" t="s">
        <v>57</v>
      </c>
      <c r="D29" s="3" t="s">
        <v>107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17150920022</v>
      </c>
      <c r="L29" s="7">
        <f t="shared" si="1"/>
        <v>17150920022</v>
      </c>
      <c r="M29" s="7">
        <f t="shared" si="2"/>
        <v>17150920029</v>
      </c>
      <c r="N29" s="3" t="s">
        <v>64</v>
      </c>
      <c r="O29" s="5" t="s">
        <v>106</v>
      </c>
      <c r="P29" s="3" t="s">
        <v>66</v>
      </c>
      <c r="Q29" s="3" t="s">
        <v>72</v>
      </c>
      <c r="R29" s="2">
        <v>2</v>
      </c>
      <c r="S29" s="3" t="s">
        <v>73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3" t="s">
        <v>66</v>
      </c>
      <c r="BC29" s="3" t="s">
        <v>66</v>
      </c>
      <c r="BD29" s="2">
        <v>729150.00000000198</v>
      </c>
      <c r="BE29" s="2">
        <v>3764203</v>
      </c>
      <c r="BF29" s="4"/>
      <c r="BG29" s="4"/>
      <c r="BH29" s="4"/>
      <c r="BI29" s="2">
        <v>0</v>
      </c>
      <c r="BJ29" s="2">
        <v>0</v>
      </c>
    </row>
    <row r="30" spans="1:62" hidden="1" x14ac:dyDescent="0.35">
      <c r="A30" s="2">
        <v>103398</v>
      </c>
      <c r="B30" s="2">
        <v>28</v>
      </c>
      <c r="C30" s="3" t="s">
        <v>57</v>
      </c>
      <c r="D30" s="3" t="s">
        <v>107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17150920023</v>
      </c>
      <c r="L30" s="7">
        <f t="shared" si="1"/>
        <v>17150920022</v>
      </c>
      <c r="M30" s="7">
        <f t="shared" si="2"/>
        <v>17150920029</v>
      </c>
      <c r="N30" s="3" t="s">
        <v>64</v>
      </c>
      <c r="O30" s="5" t="s">
        <v>108</v>
      </c>
      <c r="P30" s="3" t="s">
        <v>66</v>
      </c>
      <c r="Q30" s="3" t="s">
        <v>72</v>
      </c>
      <c r="R30" s="2">
        <v>2</v>
      </c>
      <c r="S30" s="3" t="s">
        <v>73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3" t="s">
        <v>66</v>
      </c>
      <c r="BC30" s="3" t="s">
        <v>66</v>
      </c>
      <c r="BD30" s="2">
        <v>729200</v>
      </c>
      <c r="BE30" s="2">
        <v>3764193</v>
      </c>
      <c r="BF30" s="4"/>
      <c r="BG30" s="4"/>
      <c r="BH30" s="4"/>
      <c r="BI30" s="2">
        <v>0</v>
      </c>
      <c r="BJ30" s="2">
        <v>0</v>
      </c>
    </row>
    <row r="31" spans="1:62" hidden="1" x14ac:dyDescent="0.35">
      <c r="A31" s="2">
        <v>103399</v>
      </c>
      <c r="B31" s="2">
        <v>29</v>
      </c>
      <c r="C31" s="3" t="s">
        <v>57</v>
      </c>
      <c r="D31" s="3" t="s">
        <v>107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17150920024</v>
      </c>
      <c r="L31" s="7">
        <f t="shared" si="1"/>
        <v>17150920022</v>
      </c>
      <c r="M31" s="7">
        <f t="shared" si="2"/>
        <v>17150920029</v>
      </c>
      <c r="N31" s="3" t="s">
        <v>64</v>
      </c>
      <c r="O31" s="5" t="s">
        <v>109</v>
      </c>
      <c r="P31" s="3" t="s">
        <v>66</v>
      </c>
      <c r="Q31" s="3" t="s">
        <v>72</v>
      </c>
      <c r="R31" s="2">
        <v>2</v>
      </c>
      <c r="S31" s="3" t="s">
        <v>73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3" t="s">
        <v>66</v>
      </c>
      <c r="BC31" s="3" t="s">
        <v>66</v>
      </c>
      <c r="BD31" s="2">
        <v>729252</v>
      </c>
      <c r="BE31" s="2">
        <v>3764177</v>
      </c>
      <c r="BF31" s="4"/>
      <c r="BG31" s="4"/>
      <c r="BH31" s="4"/>
      <c r="BI31" s="2">
        <v>0</v>
      </c>
      <c r="BJ31" s="2">
        <v>0</v>
      </c>
    </row>
    <row r="32" spans="1:62" hidden="1" x14ac:dyDescent="0.35">
      <c r="A32" s="2">
        <v>103400</v>
      </c>
      <c r="B32" s="2">
        <v>30</v>
      </c>
      <c r="C32" s="3" t="s">
        <v>57</v>
      </c>
      <c r="D32" s="3" t="s">
        <v>107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17150920025</v>
      </c>
      <c r="L32" s="7">
        <f t="shared" si="1"/>
        <v>17150920022</v>
      </c>
      <c r="M32" s="7">
        <f t="shared" si="2"/>
        <v>17150920029</v>
      </c>
      <c r="N32" s="3" t="s">
        <v>64</v>
      </c>
      <c r="O32" s="5" t="s">
        <v>110</v>
      </c>
      <c r="P32" s="3" t="s">
        <v>66</v>
      </c>
      <c r="Q32" s="3" t="s">
        <v>72</v>
      </c>
      <c r="R32" s="2">
        <v>2</v>
      </c>
      <c r="S32" s="3" t="s">
        <v>73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3" t="s">
        <v>66</v>
      </c>
      <c r="BC32" s="3" t="s">
        <v>66</v>
      </c>
      <c r="BD32" s="2">
        <v>729304.00000000105</v>
      </c>
      <c r="BE32" s="2">
        <v>3764156</v>
      </c>
      <c r="BF32" s="4"/>
      <c r="BG32" s="4"/>
      <c r="BH32" s="4"/>
      <c r="BI32" s="2">
        <v>0</v>
      </c>
      <c r="BJ32" s="2">
        <v>0</v>
      </c>
    </row>
    <row r="33" spans="1:62" hidden="1" x14ac:dyDescent="0.35">
      <c r="A33" s="2">
        <v>103401</v>
      </c>
      <c r="B33" s="2">
        <v>31</v>
      </c>
      <c r="C33" s="3" t="s">
        <v>57</v>
      </c>
      <c r="D33" s="3" t="s">
        <v>107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17150920026</v>
      </c>
      <c r="L33" s="7">
        <f t="shared" si="1"/>
        <v>17150920022</v>
      </c>
      <c r="M33" s="7">
        <f t="shared" si="2"/>
        <v>17150920029</v>
      </c>
      <c r="N33" s="3" t="s">
        <v>64</v>
      </c>
      <c r="O33" s="5" t="s">
        <v>111</v>
      </c>
      <c r="P33" s="3" t="s">
        <v>66</v>
      </c>
      <c r="Q33" s="3" t="s">
        <v>72</v>
      </c>
      <c r="R33" s="2">
        <v>5</v>
      </c>
      <c r="S33" s="3" t="s">
        <v>83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3" t="s">
        <v>66</v>
      </c>
      <c r="BC33" s="3" t="s">
        <v>66</v>
      </c>
      <c r="BD33" s="2">
        <v>729336</v>
      </c>
      <c r="BE33" s="2">
        <v>3764140</v>
      </c>
      <c r="BF33" s="4"/>
      <c r="BG33" s="4"/>
      <c r="BH33" s="4"/>
      <c r="BI33" s="2">
        <v>0</v>
      </c>
      <c r="BJ33" s="2">
        <v>0</v>
      </c>
    </row>
    <row r="34" spans="1:62" hidden="1" x14ac:dyDescent="0.35">
      <c r="A34" s="2">
        <v>103402</v>
      </c>
      <c r="B34" s="2">
        <v>32</v>
      </c>
      <c r="C34" s="3" t="s">
        <v>57</v>
      </c>
      <c r="D34" s="3" t="s">
        <v>107</v>
      </c>
      <c r="E34" s="2">
        <v>4</v>
      </c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66</v>
      </c>
      <c r="K34" s="2">
        <v>17150920027</v>
      </c>
      <c r="L34" s="7">
        <f t="shared" si="1"/>
        <v>17150920022</v>
      </c>
      <c r="M34" s="7">
        <f t="shared" si="2"/>
        <v>17150920029</v>
      </c>
      <c r="N34" s="3" t="s">
        <v>64</v>
      </c>
      <c r="O34" s="5" t="s">
        <v>112</v>
      </c>
      <c r="P34" s="3" t="s">
        <v>66</v>
      </c>
      <c r="Q34" s="3" t="s">
        <v>72</v>
      </c>
      <c r="R34" s="2">
        <v>5</v>
      </c>
      <c r="S34" s="3" t="s">
        <v>83</v>
      </c>
      <c r="T34" s="3" t="s">
        <v>84</v>
      </c>
      <c r="U34" s="3" t="s">
        <v>66</v>
      </c>
      <c r="V34" s="3" t="s">
        <v>66</v>
      </c>
      <c r="W34" s="3" t="s">
        <v>66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66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3" t="s">
        <v>66</v>
      </c>
      <c r="BC34" s="3" t="s">
        <v>66</v>
      </c>
      <c r="BD34" s="2">
        <v>729378.00000000105</v>
      </c>
      <c r="BE34" s="2">
        <v>3764115</v>
      </c>
      <c r="BF34" s="4"/>
      <c r="BG34" s="4"/>
      <c r="BH34" s="4"/>
      <c r="BI34" s="2">
        <v>0</v>
      </c>
      <c r="BJ34" s="2">
        <v>0</v>
      </c>
    </row>
    <row r="35" spans="1:62" hidden="1" x14ac:dyDescent="0.35">
      <c r="A35" s="2">
        <v>103403</v>
      </c>
      <c r="B35" s="2">
        <v>33</v>
      </c>
      <c r="C35" s="3" t="s">
        <v>57</v>
      </c>
      <c r="D35" s="3" t="s">
        <v>107</v>
      </c>
      <c r="E35" s="2">
        <v>5</v>
      </c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66</v>
      </c>
      <c r="K35" s="2">
        <v>17150920028</v>
      </c>
      <c r="L35" s="7">
        <f t="shared" si="1"/>
        <v>17150920022</v>
      </c>
      <c r="M35" s="7">
        <f t="shared" si="2"/>
        <v>17150920029</v>
      </c>
      <c r="N35" s="3" t="s">
        <v>64</v>
      </c>
      <c r="O35" s="5" t="s">
        <v>113</v>
      </c>
      <c r="P35" s="3" t="s">
        <v>66</v>
      </c>
      <c r="Q35" s="3" t="s">
        <v>72</v>
      </c>
      <c r="R35" s="2">
        <v>4</v>
      </c>
      <c r="S35" s="3" t="s">
        <v>83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3" t="s">
        <v>66</v>
      </c>
      <c r="BC35" s="3" t="s">
        <v>66</v>
      </c>
      <c r="BD35" s="2">
        <v>729422.00000000105</v>
      </c>
      <c r="BE35" s="2">
        <v>3764085</v>
      </c>
      <c r="BF35" s="4"/>
      <c r="BG35" s="4"/>
      <c r="BH35" s="4"/>
      <c r="BI35" s="2">
        <v>0</v>
      </c>
      <c r="BJ35" s="2">
        <v>0</v>
      </c>
    </row>
    <row r="36" spans="1:62" hidden="1" x14ac:dyDescent="0.35">
      <c r="A36" s="2">
        <v>103404</v>
      </c>
      <c r="B36" s="2">
        <v>34</v>
      </c>
      <c r="C36" s="3" t="s">
        <v>57</v>
      </c>
      <c r="D36" s="3" t="s">
        <v>107</v>
      </c>
      <c r="E36" s="4"/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69</v>
      </c>
      <c r="K36" s="2">
        <v>17150920029</v>
      </c>
      <c r="L36" s="7">
        <f t="shared" si="1"/>
        <v>17150920029</v>
      </c>
      <c r="M36" s="7">
        <f t="shared" si="2"/>
        <v>17150920029</v>
      </c>
      <c r="N36" s="3" t="s">
        <v>64</v>
      </c>
      <c r="O36" s="5" t="s">
        <v>114</v>
      </c>
      <c r="P36" s="3" t="s">
        <v>71</v>
      </c>
      <c r="Q36" s="3" t="s">
        <v>72</v>
      </c>
      <c r="R36" s="2">
        <v>4</v>
      </c>
      <c r="S36" s="3" t="s">
        <v>83</v>
      </c>
      <c r="T36" s="3" t="s">
        <v>84</v>
      </c>
      <c r="U36" s="3" t="s">
        <v>86</v>
      </c>
      <c r="V36" s="3" t="s">
        <v>86</v>
      </c>
      <c r="W36" s="3" t="s">
        <v>86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87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3" t="s">
        <v>66</v>
      </c>
      <c r="BC36" s="3" t="s">
        <v>66</v>
      </c>
      <c r="BD36" s="2">
        <v>729459</v>
      </c>
      <c r="BE36" s="2">
        <v>3764057</v>
      </c>
      <c r="BF36" s="4"/>
      <c r="BG36" s="4"/>
      <c r="BH36" s="4"/>
      <c r="BI36" s="2">
        <v>0</v>
      </c>
      <c r="BJ36" s="2">
        <v>0</v>
      </c>
    </row>
    <row r="37" spans="1:62" hidden="1" x14ac:dyDescent="0.35">
      <c r="A37" s="2">
        <v>103405</v>
      </c>
      <c r="B37" s="2">
        <v>35</v>
      </c>
      <c r="C37" s="3" t="s">
        <v>57</v>
      </c>
      <c r="D37" s="3" t="s">
        <v>115</v>
      </c>
      <c r="E37" s="4"/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63</v>
      </c>
      <c r="K37" s="2">
        <v>17150920029</v>
      </c>
      <c r="L37" s="7">
        <f t="shared" si="1"/>
        <v>17150920029</v>
      </c>
      <c r="M37" s="7">
        <f t="shared" si="2"/>
        <v>17150920035</v>
      </c>
      <c r="N37" s="3" t="s">
        <v>64</v>
      </c>
      <c r="O37" s="5" t="s">
        <v>114</v>
      </c>
      <c r="P37" s="3" t="s">
        <v>66</v>
      </c>
      <c r="Q37" s="3" t="s">
        <v>72</v>
      </c>
      <c r="R37" s="2">
        <v>4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3" t="s">
        <v>66</v>
      </c>
      <c r="BC37" s="3" t="s">
        <v>66</v>
      </c>
      <c r="BD37" s="2">
        <v>729459</v>
      </c>
      <c r="BE37" s="2">
        <v>3764057</v>
      </c>
      <c r="BF37" s="4"/>
      <c r="BG37" s="4"/>
      <c r="BH37" s="4"/>
      <c r="BI37" s="2">
        <v>0</v>
      </c>
      <c r="BJ37" s="2">
        <v>0</v>
      </c>
    </row>
    <row r="38" spans="1:62" hidden="1" x14ac:dyDescent="0.35">
      <c r="A38" s="2">
        <v>103406</v>
      </c>
      <c r="B38" s="2">
        <v>36</v>
      </c>
      <c r="C38" s="3" t="s">
        <v>57</v>
      </c>
      <c r="D38" s="3" t="s">
        <v>115</v>
      </c>
      <c r="E38" s="2">
        <v>0</v>
      </c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66</v>
      </c>
      <c r="K38" s="2">
        <v>17150920030</v>
      </c>
      <c r="L38" s="7">
        <f t="shared" si="1"/>
        <v>17150920029</v>
      </c>
      <c r="M38" s="7">
        <f t="shared" si="2"/>
        <v>17150920035</v>
      </c>
      <c r="N38" s="3" t="s">
        <v>64</v>
      </c>
      <c r="O38" s="5" t="s">
        <v>116</v>
      </c>
      <c r="P38" s="3" t="s">
        <v>66</v>
      </c>
      <c r="Q38" s="3" t="s">
        <v>72</v>
      </c>
      <c r="R38" s="2">
        <v>4</v>
      </c>
      <c r="S38" s="3" t="s">
        <v>83</v>
      </c>
      <c r="T38" s="3" t="s">
        <v>84</v>
      </c>
      <c r="U38" s="3" t="s">
        <v>66</v>
      </c>
      <c r="V38" s="3" t="s">
        <v>66</v>
      </c>
      <c r="W38" s="3" t="s">
        <v>66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3" t="s">
        <v>66</v>
      </c>
      <c r="BC38" s="3" t="s">
        <v>66</v>
      </c>
      <c r="BD38" s="2">
        <v>729502</v>
      </c>
      <c r="BE38" s="2">
        <v>3764023</v>
      </c>
      <c r="BF38" s="4"/>
      <c r="BG38" s="4"/>
      <c r="BH38" s="4"/>
      <c r="BI38" s="2">
        <v>0</v>
      </c>
      <c r="BJ38" s="2">
        <v>0</v>
      </c>
    </row>
    <row r="39" spans="1:62" hidden="1" x14ac:dyDescent="0.35">
      <c r="A39" s="2">
        <v>103407</v>
      </c>
      <c r="B39" s="2">
        <v>37</v>
      </c>
      <c r="C39" s="3" t="s">
        <v>57</v>
      </c>
      <c r="D39" s="3" t="s">
        <v>115</v>
      </c>
      <c r="E39" s="2">
        <v>1</v>
      </c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66</v>
      </c>
      <c r="K39" s="2">
        <v>17150920031</v>
      </c>
      <c r="L39" s="7">
        <f t="shared" si="1"/>
        <v>17150920029</v>
      </c>
      <c r="M39" s="7">
        <f t="shared" si="2"/>
        <v>17150920035</v>
      </c>
      <c r="N39" s="3" t="s">
        <v>64</v>
      </c>
      <c r="O39" s="5" t="s">
        <v>117</v>
      </c>
      <c r="P39" s="3" t="s">
        <v>66</v>
      </c>
      <c r="Q39" s="3" t="s">
        <v>72</v>
      </c>
      <c r="R39" s="2">
        <v>4</v>
      </c>
      <c r="S39" s="3" t="s">
        <v>83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3" t="s">
        <v>66</v>
      </c>
      <c r="BC39" s="3" t="s">
        <v>66</v>
      </c>
      <c r="BD39" s="2">
        <v>729554.00000000198</v>
      </c>
      <c r="BE39" s="2">
        <v>3763980</v>
      </c>
      <c r="BF39" s="4"/>
      <c r="BG39" s="4"/>
      <c r="BH39" s="4"/>
      <c r="BI39" s="2">
        <v>0</v>
      </c>
      <c r="BJ39" s="2">
        <v>0</v>
      </c>
    </row>
    <row r="40" spans="1:62" hidden="1" x14ac:dyDescent="0.35">
      <c r="A40" s="2">
        <v>103408</v>
      </c>
      <c r="B40" s="2">
        <v>38</v>
      </c>
      <c r="C40" s="3" t="s">
        <v>57</v>
      </c>
      <c r="D40" s="3" t="s">
        <v>115</v>
      </c>
      <c r="E40" s="2">
        <v>2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17150920032</v>
      </c>
      <c r="L40" s="7">
        <f t="shared" si="1"/>
        <v>17150920029</v>
      </c>
      <c r="M40" s="7">
        <f t="shared" si="2"/>
        <v>17150920035</v>
      </c>
      <c r="N40" s="3" t="s">
        <v>64</v>
      </c>
      <c r="O40" s="5" t="s">
        <v>118</v>
      </c>
      <c r="P40" s="3" t="s">
        <v>66</v>
      </c>
      <c r="Q40" s="3" t="s">
        <v>72</v>
      </c>
      <c r="R40" s="2">
        <v>4</v>
      </c>
      <c r="S40" s="3" t="s">
        <v>83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3" t="s">
        <v>66</v>
      </c>
      <c r="BC40" s="3" t="s">
        <v>66</v>
      </c>
      <c r="BD40" s="2">
        <v>729604.99999999895</v>
      </c>
      <c r="BE40" s="2">
        <v>3763940</v>
      </c>
      <c r="BF40" s="4"/>
      <c r="BG40" s="4"/>
      <c r="BH40" s="4"/>
      <c r="BI40" s="2">
        <v>0</v>
      </c>
      <c r="BJ40" s="2">
        <v>0</v>
      </c>
    </row>
    <row r="41" spans="1:62" hidden="1" x14ac:dyDescent="0.35">
      <c r="A41" s="2">
        <v>103409</v>
      </c>
      <c r="B41" s="2">
        <v>39</v>
      </c>
      <c r="C41" s="3" t="s">
        <v>57</v>
      </c>
      <c r="D41" s="3" t="s">
        <v>115</v>
      </c>
      <c r="E41" s="2">
        <v>3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17150920033</v>
      </c>
      <c r="L41" s="7">
        <f t="shared" si="1"/>
        <v>17150920029</v>
      </c>
      <c r="M41" s="7">
        <f t="shared" si="2"/>
        <v>17150920035</v>
      </c>
      <c r="N41" s="3" t="s">
        <v>64</v>
      </c>
      <c r="O41" s="5" t="s">
        <v>119</v>
      </c>
      <c r="P41" s="3" t="s">
        <v>66</v>
      </c>
      <c r="Q41" s="3" t="s">
        <v>72</v>
      </c>
      <c r="R41" s="2">
        <v>3</v>
      </c>
      <c r="S41" s="3" t="s">
        <v>83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3" t="s">
        <v>66</v>
      </c>
      <c r="BC41" s="3" t="s">
        <v>66</v>
      </c>
      <c r="BD41" s="2">
        <v>729640</v>
      </c>
      <c r="BE41" s="2">
        <v>3763913</v>
      </c>
      <c r="BF41" s="4"/>
      <c r="BG41" s="4"/>
      <c r="BH41" s="4"/>
      <c r="BI41" s="2">
        <v>0</v>
      </c>
      <c r="BJ41" s="2">
        <v>0</v>
      </c>
    </row>
    <row r="42" spans="1:62" hidden="1" x14ac:dyDescent="0.35">
      <c r="A42" s="2">
        <v>103410</v>
      </c>
      <c r="B42" s="2">
        <v>40</v>
      </c>
      <c r="C42" s="3" t="s">
        <v>57</v>
      </c>
      <c r="D42" s="3" t="s">
        <v>115</v>
      </c>
      <c r="E42" s="2">
        <v>4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17150920034</v>
      </c>
      <c r="L42" s="7">
        <f t="shared" si="1"/>
        <v>17150920029</v>
      </c>
      <c r="M42" s="7">
        <f t="shared" si="2"/>
        <v>17150920035</v>
      </c>
      <c r="N42" s="3" t="s">
        <v>64</v>
      </c>
      <c r="O42" s="5" t="s">
        <v>120</v>
      </c>
      <c r="P42" s="3" t="s">
        <v>66</v>
      </c>
      <c r="Q42" s="3" t="s">
        <v>72</v>
      </c>
      <c r="R42" s="2">
        <v>4</v>
      </c>
      <c r="S42" s="3" t="s">
        <v>83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3" t="s">
        <v>66</v>
      </c>
      <c r="BC42" s="3" t="s">
        <v>66</v>
      </c>
      <c r="BD42" s="2">
        <v>729683.00000000105</v>
      </c>
      <c r="BE42" s="2">
        <v>3763880</v>
      </c>
      <c r="BF42" s="4"/>
      <c r="BG42" s="4"/>
      <c r="BH42" s="4"/>
      <c r="BI42" s="2">
        <v>0</v>
      </c>
      <c r="BJ42" s="2">
        <v>0</v>
      </c>
    </row>
    <row r="43" spans="1:62" hidden="1" x14ac:dyDescent="0.35">
      <c r="A43" s="2">
        <v>103411</v>
      </c>
      <c r="B43" s="2">
        <v>41</v>
      </c>
      <c r="C43" s="3" t="s">
        <v>57</v>
      </c>
      <c r="D43" s="3" t="s">
        <v>115</v>
      </c>
      <c r="E43" s="4"/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69</v>
      </c>
      <c r="K43" s="2">
        <v>17150920035</v>
      </c>
      <c r="L43" s="7">
        <f t="shared" si="1"/>
        <v>17150920035</v>
      </c>
      <c r="M43" s="7">
        <f t="shared" si="2"/>
        <v>17150920035</v>
      </c>
      <c r="N43" s="3" t="s">
        <v>64</v>
      </c>
      <c r="O43" s="5" t="s">
        <v>121</v>
      </c>
      <c r="P43" s="3" t="s">
        <v>71</v>
      </c>
      <c r="Q43" s="3" t="s">
        <v>72</v>
      </c>
      <c r="R43" s="2">
        <v>4</v>
      </c>
      <c r="S43" s="3" t="s">
        <v>83</v>
      </c>
      <c r="T43" s="3" t="s">
        <v>84</v>
      </c>
      <c r="U43" s="3" t="s">
        <v>86</v>
      </c>
      <c r="V43" s="3" t="s">
        <v>86</v>
      </c>
      <c r="W43" s="3" t="s">
        <v>86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87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3" t="s">
        <v>66</v>
      </c>
      <c r="BC43" s="3" t="s">
        <v>66</v>
      </c>
      <c r="BD43" s="2">
        <v>729720</v>
      </c>
      <c r="BE43" s="2">
        <v>3763852</v>
      </c>
      <c r="BF43" s="4"/>
      <c r="BG43" s="4"/>
      <c r="BH43" s="4"/>
      <c r="BI43" s="2">
        <v>0</v>
      </c>
      <c r="BJ43" s="2">
        <v>0</v>
      </c>
    </row>
    <row r="44" spans="1:62" hidden="1" x14ac:dyDescent="0.35">
      <c r="A44" s="2">
        <v>103412</v>
      </c>
      <c r="B44" s="2">
        <v>42</v>
      </c>
      <c r="C44" s="3" t="s">
        <v>57</v>
      </c>
      <c r="D44" s="3" t="s">
        <v>122</v>
      </c>
      <c r="E44" s="4"/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63</v>
      </c>
      <c r="K44" s="2">
        <v>17150920035</v>
      </c>
      <c r="L44" s="7">
        <f t="shared" si="1"/>
        <v>17150920035</v>
      </c>
      <c r="M44" s="7">
        <f t="shared" si="2"/>
        <v>17150920040</v>
      </c>
      <c r="N44" s="3" t="s">
        <v>64</v>
      </c>
      <c r="O44" s="5" t="s">
        <v>121</v>
      </c>
      <c r="P44" s="3" t="s">
        <v>66</v>
      </c>
      <c r="Q44" s="3" t="s">
        <v>72</v>
      </c>
      <c r="R44" s="2">
        <v>4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3" t="s">
        <v>66</v>
      </c>
      <c r="BC44" s="3" t="s">
        <v>66</v>
      </c>
      <c r="BD44" s="2">
        <v>729720</v>
      </c>
      <c r="BE44" s="2">
        <v>3763852</v>
      </c>
      <c r="BF44" s="4"/>
      <c r="BG44" s="4"/>
      <c r="BH44" s="4"/>
      <c r="BI44" s="2">
        <v>0</v>
      </c>
      <c r="BJ44" s="2">
        <v>0</v>
      </c>
    </row>
    <row r="45" spans="1:62" hidden="1" x14ac:dyDescent="0.35">
      <c r="A45" s="2">
        <v>103413</v>
      </c>
      <c r="B45" s="2">
        <v>43</v>
      </c>
      <c r="C45" s="3" t="s">
        <v>57</v>
      </c>
      <c r="D45" s="3" t="s">
        <v>122</v>
      </c>
      <c r="E45" s="2">
        <v>0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17150920036</v>
      </c>
      <c r="L45" s="7">
        <f t="shared" si="1"/>
        <v>17150920035</v>
      </c>
      <c r="M45" s="7">
        <f t="shared" si="2"/>
        <v>17150920040</v>
      </c>
      <c r="N45" s="3" t="s">
        <v>64</v>
      </c>
      <c r="O45" s="5" t="s">
        <v>123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3" t="s">
        <v>66</v>
      </c>
      <c r="BC45" s="3" t="s">
        <v>66</v>
      </c>
      <c r="BD45" s="2">
        <v>729762.00000000105</v>
      </c>
      <c r="BE45" s="2">
        <v>3763823</v>
      </c>
      <c r="BF45" s="4"/>
      <c r="BG45" s="4"/>
      <c r="BH45" s="4"/>
      <c r="BI45" s="2">
        <v>0</v>
      </c>
      <c r="BJ45" s="2">
        <v>0</v>
      </c>
    </row>
    <row r="46" spans="1:62" hidden="1" x14ac:dyDescent="0.35">
      <c r="A46" s="2">
        <v>103414</v>
      </c>
      <c r="B46" s="2">
        <v>44</v>
      </c>
      <c r="C46" s="3" t="s">
        <v>57</v>
      </c>
      <c r="D46" s="3" t="s">
        <v>122</v>
      </c>
      <c r="E46" s="2">
        <v>1</v>
      </c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66</v>
      </c>
      <c r="K46" s="2">
        <v>17150920037</v>
      </c>
      <c r="L46" s="7">
        <f t="shared" si="1"/>
        <v>17150920035</v>
      </c>
      <c r="M46" s="7">
        <f t="shared" si="2"/>
        <v>17150920040</v>
      </c>
      <c r="N46" s="3" t="s">
        <v>64</v>
      </c>
      <c r="O46" s="5" t="s">
        <v>124</v>
      </c>
      <c r="P46" s="3" t="s">
        <v>66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66</v>
      </c>
      <c r="V46" s="3" t="s">
        <v>66</v>
      </c>
      <c r="W46" s="3" t="s">
        <v>66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66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3" t="s">
        <v>66</v>
      </c>
      <c r="BC46" s="3" t="s">
        <v>66</v>
      </c>
      <c r="BD46" s="2">
        <v>729794</v>
      </c>
      <c r="BE46" s="2">
        <v>3763802</v>
      </c>
      <c r="BF46" s="4"/>
      <c r="BG46" s="4"/>
      <c r="BH46" s="4"/>
      <c r="BI46" s="2">
        <v>0</v>
      </c>
      <c r="BJ46" s="2">
        <v>0</v>
      </c>
    </row>
    <row r="47" spans="1:62" hidden="1" x14ac:dyDescent="0.35">
      <c r="A47" s="2">
        <v>103415</v>
      </c>
      <c r="B47" s="2">
        <v>45</v>
      </c>
      <c r="C47" s="3" t="s">
        <v>57</v>
      </c>
      <c r="D47" s="3" t="s">
        <v>122</v>
      </c>
      <c r="E47" s="2">
        <v>2</v>
      </c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66</v>
      </c>
      <c r="K47" s="2">
        <v>17150920038</v>
      </c>
      <c r="L47" s="7">
        <f t="shared" si="1"/>
        <v>17150920035</v>
      </c>
      <c r="M47" s="7">
        <f t="shared" si="2"/>
        <v>17150920040</v>
      </c>
      <c r="N47" s="3" t="s">
        <v>64</v>
      </c>
      <c r="O47" s="5" t="s">
        <v>125</v>
      </c>
      <c r="P47" s="3" t="s">
        <v>66</v>
      </c>
      <c r="Q47" s="3" t="s">
        <v>72</v>
      </c>
      <c r="R47" s="2">
        <v>2</v>
      </c>
      <c r="S47" s="3" t="s">
        <v>73</v>
      </c>
      <c r="T47" s="3" t="s">
        <v>126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3" t="s">
        <v>66</v>
      </c>
      <c r="BC47" s="3" t="s">
        <v>66</v>
      </c>
      <c r="BD47" s="2">
        <v>729806.99999999895</v>
      </c>
      <c r="BE47" s="2">
        <v>3763792</v>
      </c>
      <c r="BF47" s="4"/>
      <c r="BG47" s="4"/>
      <c r="BH47" s="4"/>
      <c r="BI47" s="2">
        <v>0</v>
      </c>
      <c r="BJ47" s="2">
        <v>0</v>
      </c>
    </row>
    <row r="48" spans="1:62" hidden="1" x14ac:dyDescent="0.35">
      <c r="A48" s="2">
        <v>103416</v>
      </c>
      <c r="B48" s="2">
        <v>46</v>
      </c>
      <c r="C48" s="3" t="s">
        <v>57</v>
      </c>
      <c r="D48" s="3" t="s">
        <v>122</v>
      </c>
      <c r="E48" s="2">
        <v>3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17150920039</v>
      </c>
      <c r="L48" s="7">
        <f t="shared" si="1"/>
        <v>17150920035</v>
      </c>
      <c r="M48" s="7">
        <f t="shared" si="2"/>
        <v>17150920040</v>
      </c>
      <c r="N48" s="3" t="s">
        <v>64</v>
      </c>
      <c r="O48" s="5" t="s">
        <v>127</v>
      </c>
      <c r="P48" s="3" t="s">
        <v>66</v>
      </c>
      <c r="Q48" s="3" t="s">
        <v>72</v>
      </c>
      <c r="R48" s="2">
        <v>2</v>
      </c>
      <c r="S48" s="3" t="s">
        <v>73</v>
      </c>
      <c r="T48" s="3" t="s">
        <v>126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3" t="s">
        <v>66</v>
      </c>
      <c r="BC48" s="3" t="s">
        <v>66</v>
      </c>
      <c r="BD48" s="2">
        <v>729845</v>
      </c>
      <c r="BE48" s="2">
        <v>3763771</v>
      </c>
      <c r="BF48" s="4"/>
      <c r="BG48" s="4"/>
      <c r="BH48" s="4"/>
      <c r="BI48" s="2">
        <v>0</v>
      </c>
      <c r="BJ48" s="2">
        <v>0</v>
      </c>
    </row>
    <row r="49" spans="1:62" hidden="1" x14ac:dyDescent="0.35">
      <c r="A49" s="2">
        <v>103417</v>
      </c>
      <c r="B49" s="2">
        <v>47</v>
      </c>
      <c r="C49" s="3" t="s">
        <v>57</v>
      </c>
      <c r="D49" s="3" t="s">
        <v>122</v>
      </c>
      <c r="E49" s="4"/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69</v>
      </c>
      <c r="K49" s="2">
        <v>17150920040</v>
      </c>
      <c r="L49" s="7">
        <f t="shared" si="1"/>
        <v>17150920040</v>
      </c>
      <c r="M49" s="7">
        <f t="shared" si="2"/>
        <v>17150920040</v>
      </c>
      <c r="N49" s="3" t="s">
        <v>64</v>
      </c>
      <c r="O49" s="5" t="s">
        <v>128</v>
      </c>
      <c r="P49" s="3" t="s">
        <v>71</v>
      </c>
      <c r="Q49" s="3" t="s">
        <v>72</v>
      </c>
      <c r="R49" s="2">
        <v>2</v>
      </c>
      <c r="S49" s="3" t="s">
        <v>73</v>
      </c>
      <c r="T49" s="3" t="s">
        <v>126</v>
      </c>
      <c r="U49" s="3" t="s">
        <v>86</v>
      </c>
      <c r="V49" s="3" t="s">
        <v>86</v>
      </c>
      <c r="W49" s="3" t="s">
        <v>86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87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3" t="s">
        <v>66</v>
      </c>
      <c r="BC49" s="3" t="s">
        <v>66</v>
      </c>
      <c r="BD49" s="2">
        <v>729882.00000000105</v>
      </c>
      <c r="BE49" s="2">
        <v>3763751</v>
      </c>
      <c r="BF49" s="4"/>
      <c r="BG49" s="4"/>
      <c r="BH49" s="4"/>
      <c r="BI49" s="2">
        <v>0</v>
      </c>
      <c r="BJ49" s="2">
        <v>0</v>
      </c>
    </row>
    <row r="50" spans="1:62" hidden="1" x14ac:dyDescent="0.35">
      <c r="A50" s="2">
        <v>103418</v>
      </c>
      <c r="B50" s="2">
        <v>48</v>
      </c>
      <c r="C50" s="3" t="s">
        <v>57</v>
      </c>
      <c r="D50" s="3" t="s">
        <v>129</v>
      </c>
      <c r="E50" s="4"/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63</v>
      </c>
      <c r="K50" s="2">
        <v>17150920040</v>
      </c>
      <c r="L50" s="7">
        <f t="shared" si="1"/>
        <v>17150920040</v>
      </c>
      <c r="M50" s="7">
        <f t="shared" si="2"/>
        <v>17150920046</v>
      </c>
      <c r="N50" s="3" t="s">
        <v>64</v>
      </c>
      <c r="O50" s="5" t="s">
        <v>128</v>
      </c>
      <c r="P50" s="3" t="s">
        <v>66</v>
      </c>
      <c r="Q50" s="3" t="s">
        <v>72</v>
      </c>
      <c r="R50" s="2">
        <v>2</v>
      </c>
      <c r="S50" s="3" t="s">
        <v>73</v>
      </c>
      <c r="T50" s="3" t="s">
        <v>126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3" t="s">
        <v>66</v>
      </c>
      <c r="BC50" s="3" t="s">
        <v>66</v>
      </c>
      <c r="BD50" s="2">
        <v>729882.00000000105</v>
      </c>
      <c r="BE50" s="2">
        <v>3763751</v>
      </c>
      <c r="BF50" s="4"/>
      <c r="BG50" s="4"/>
      <c r="BH50" s="4"/>
      <c r="BI50" s="2">
        <v>0</v>
      </c>
      <c r="BJ50" s="2">
        <v>0</v>
      </c>
    </row>
    <row r="51" spans="1:62" hidden="1" x14ac:dyDescent="0.35">
      <c r="A51" s="2">
        <v>103419</v>
      </c>
      <c r="B51" s="2">
        <v>49</v>
      </c>
      <c r="C51" s="3" t="s">
        <v>57</v>
      </c>
      <c r="D51" s="3" t="s">
        <v>129</v>
      </c>
      <c r="E51" s="2">
        <v>0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17150920041</v>
      </c>
      <c r="L51" s="7">
        <f t="shared" si="1"/>
        <v>17150920040</v>
      </c>
      <c r="M51" s="7">
        <f t="shared" si="2"/>
        <v>17150920046</v>
      </c>
      <c r="N51" s="3" t="s">
        <v>64</v>
      </c>
      <c r="O51" s="5" t="s">
        <v>130</v>
      </c>
      <c r="P51" s="3" t="s">
        <v>66</v>
      </c>
      <c r="Q51" s="3" t="s">
        <v>72</v>
      </c>
      <c r="R51" s="2">
        <v>2</v>
      </c>
      <c r="S51" s="3" t="s">
        <v>73</v>
      </c>
      <c r="T51" s="3" t="s">
        <v>126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3" t="s">
        <v>66</v>
      </c>
      <c r="BC51" s="3" t="s">
        <v>66</v>
      </c>
      <c r="BD51" s="2">
        <v>729916.99999999895</v>
      </c>
      <c r="BE51" s="2">
        <v>3763744</v>
      </c>
      <c r="BF51" s="4"/>
      <c r="BG51" s="4"/>
      <c r="BH51" s="4"/>
      <c r="BI51" s="2">
        <v>0</v>
      </c>
      <c r="BJ51" s="2">
        <v>0</v>
      </c>
    </row>
    <row r="52" spans="1:62" hidden="1" x14ac:dyDescent="0.35">
      <c r="A52" s="2">
        <v>103420</v>
      </c>
      <c r="B52" s="2">
        <v>50</v>
      </c>
      <c r="C52" s="3" t="s">
        <v>57</v>
      </c>
      <c r="D52" s="3" t="s">
        <v>129</v>
      </c>
      <c r="E52" s="2">
        <v>1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17150920042</v>
      </c>
      <c r="L52" s="7">
        <f t="shared" si="1"/>
        <v>17150920040</v>
      </c>
      <c r="M52" s="7">
        <f t="shared" si="2"/>
        <v>17150920046</v>
      </c>
      <c r="N52" s="3" t="s">
        <v>64</v>
      </c>
      <c r="O52" s="5" t="s">
        <v>131</v>
      </c>
      <c r="P52" s="3" t="s">
        <v>66</v>
      </c>
      <c r="Q52" s="3" t="s">
        <v>72</v>
      </c>
      <c r="R52" s="2">
        <v>2</v>
      </c>
      <c r="S52" s="3" t="s">
        <v>73</v>
      </c>
      <c r="T52" s="3" t="s">
        <v>126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3" t="s">
        <v>66</v>
      </c>
      <c r="BC52" s="3" t="s">
        <v>66</v>
      </c>
      <c r="BD52" s="2">
        <v>729960</v>
      </c>
      <c r="BE52" s="2">
        <v>3763736</v>
      </c>
      <c r="BF52" s="4"/>
      <c r="BG52" s="4"/>
      <c r="BH52" s="4"/>
      <c r="BI52" s="2">
        <v>0</v>
      </c>
      <c r="BJ52" s="2">
        <v>0</v>
      </c>
    </row>
    <row r="53" spans="1:62" hidden="1" x14ac:dyDescent="0.35">
      <c r="A53" s="2">
        <v>103421</v>
      </c>
      <c r="B53" s="2">
        <v>51</v>
      </c>
      <c r="C53" s="3" t="s">
        <v>57</v>
      </c>
      <c r="D53" s="3" t="s">
        <v>129</v>
      </c>
      <c r="E53" s="2">
        <v>2</v>
      </c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66</v>
      </c>
      <c r="K53" s="2">
        <v>17150920043</v>
      </c>
      <c r="L53" s="7">
        <f t="shared" si="1"/>
        <v>17150920040</v>
      </c>
      <c r="M53" s="7">
        <f t="shared" si="2"/>
        <v>17150920046</v>
      </c>
      <c r="N53" s="3" t="s">
        <v>64</v>
      </c>
      <c r="O53" s="5" t="s">
        <v>132</v>
      </c>
      <c r="P53" s="3" t="s">
        <v>66</v>
      </c>
      <c r="Q53" s="3" t="s">
        <v>72</v>
      </c>
      <c r="R53" s="2">
        <v>2</v>
      </c>
      <c r="S53" s="3" t="s">
        <v>73</v>
      </c>
      <c r="T53" s="3" t="s">
        <v>126</v>
      </c>
      <c r="U53" s="3" t="s">
        <v>66</v>
      </c>
      <c r="V53" s="3" t="s">
        <v>66</v>
      </c>
      <c r="W53" s="3" t="s">
        <v>66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66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3" t="s">
        <v>66</v>
      </c>
      <c r="BC53" s="3" t="s">
        <v>66</v>
      </c>
      <c r="BD53" s="2">
        <v>730002.00000000105</v>
      </c>
      <c r="BE53" s="2">
        <v>3763730</v>
      </c>
      <c r="BF53" s="4"/>
      <c r="BG53" s="4"/>
      <c r="BH53" s="4"/>
      <c r="BI53" s="2">
        <v>0</v>
      </c>
      <c r="BJ53" s="2">
        <v>0</v>
      </c>
    </row>
    <row r="54" spans="1:62" hidden="1" x14ac:dyDescent="0.35">
      <c r="A54" s="2">
        <v>103422</v>
      </c>
      <c r="B54" s="2">
        <v>52</v>
      </c>
      <c r="C54" s="3" t="s">
        <v>57</v>
      </c>
      <c r="D54" s="3" t="s">
        <v>129</v>
      </c>
      <c r="E54" s="2">
        <v>3</v>
      </c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66</v>
      </c>
      <c r="K54" s="2">
        <v>17150920044</v>
      </c>
      <c r="L54" s="7">
        <f t="shared" si="1"/>
        <v>17150920040</v>
      </c>
      <c r="M54" s="7">
        <f t="shared" si="2"/>
        <v>17150920046</v>
      </c>
      <c r="N54" s="3" t="s">
        <v>64</v>
      </c>
      <c r="O54" s="5" t="s">
        <v>133</v>
      </c>
      <c r="P54" s="3" t="s">
        <v>66</v>
      </c>
      <c r="Q54" s="3" t="s">
        <v>72</v>
      </c>
      <c r="R54" s="2">
        <v>2</v>
      </c>
      <c r="S54" s="3" t="s">
        <v>73</v>
      </c>
      <c r="T54" s="3" t="s">
        <v>126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3" t="s">
        <v>66</v>
      </c>
      <c r="BC54" s="3" t="s">
        <v>66</v>
      </c>
      <c r="BD54" s="2">
        <v>730057</v>
      </c>
      <c r="BE54" s="2">
        <v>3763720</v>
      </c>
      <c r="BF54" s="4"/>
      <c r="BG54" s="4"/>
      <c r="BH54" s="4"/>
      <c r="BI54" s="2">
        <v>0</v>
      </c>
      <c r="BJ54" s="2">
        <v>0</v>
      </c>
    </row>
    <row r="55" spans="1:62" hidden="1" x14ac:dyDescent="0.35">
      <c r="A55" s="2">
        <v>103423</v>
      </c>
      <c r="B55" s="2">
        <v>53</v>
      </c>
      <c r="C55" s="3" t="s">
        <v>57</v>
      </c>
      <c r="D55" s="3" t="s">
        <v>129</v>
      </c>
      <c r="E55" s="2">
        <v>4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17150920045</v>
      </c>
      <c r="L55" s="7">
        <f t="shared" si="1"/>
        <v>17150920040</v>
      </c>
      <c r="M55" s="7">
        <f t="shared" si="2"/>
        <v>17150920046</v>
      </c>
      <c r="N55" s="3" t="s">
        <v>64</v>
      </c>
      <c r="O55" s="5" t="s">
        <v>134</v>
      </c>
      <c r="P55" s="3" t="s">
        <v>66</v>
      </c>
      <c r="Q55" s="3" t="s">
        <v>72</v>
      </c>
      <c r="R55" s="2">
        <v>2</v>
      </c>
      <c r="S55" s="3" t="s">
        <v>73</v>
      </c>
      <c r="T55" s="3" t="s">
        <v>126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3" t="s">
        <v>66</v>
      </c>
      <c r="BC55" s="3" t="s">
        <v>66</v>
      </c>
      <c r="BD55" s="2">
        <v>730097.00000000105</v>
      </c>
      <c r="BE55" s="2">
        <v>3763715</v>
      </c>
      <c r="BF55" s="4"/>
      <c r="BG55" s="4"/>
      <c r="BH55" s="4"/>
      <c r="BI55" s="2">
        <v>0</v>
      </c>
      <c r="BJ55" s="2">
        <v>0</v>
      </c>
    </row>
    <row r="56" spans="1:62" hidden="1" x14ac:dyDescent="0.35">
      <c r="A56" s="2">
        <v>103424</v>
      </c>
      <c r="B56" s="2">
        <v>54</v>
      </c>
      <c r="C56" s="3" t="s">
        <v>57</v>
      </c>
      <c r="D56" s="3" t="s">
        <v>129</v>
      </c>
      <c r="E56" s="4"/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69</v>
      </c>
      <c r="K56" s="2">
        <v>17150920046</v>
      </c>
      <c r="L56" s="7">
        <f t="shared" si="1"/>
        <v>17150920046</v>
      </c>
      <c r="M56" s="7">
        <f t="shared" si="2"/>
        <v>17150920046</v>
      </c>
      <c r="N56" s="3" t="s">
        <v>64</v>
      </c>
      <c r="O56" s="5" t="s">
        <v>135</v>
      </c>
      <c r="P56" s="3" t="s">
        <v>71</v>
      </c>
      <c r="Q56" s="3" t="s">
        <v>72</v>
      </c>
      <c r="R56" s="2">
        <v>2</v>
      </c>
      <c r="S56" s="3" t="s">
        <v>73</v>
      </c>
      <c r="T56" s="3" t="s">
        <v>126</v>
      </c>
      <c r="U56" s="3" t="s">
        <v>86</v>
      </c>
      <c r="V56" s="3" t="s">
        <v>86</v>
      </c>
      <c r="W56" s="3" t="s">
        <v>86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87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3" t="s">
        <v>66</v>
      </c>
      <c r="BC56" s="3" t="s">
        <v>66</v>
      </c>
      <c r="BD56" s="2">
        <v>730117.00000000105</v>
      </c>
      <c r="BE56" s="2">
        <v>3763711</v>
      </c>
      <c r="BF56" s="4"/>
      <c r="BG56" s="4"/>
      <c r="BH56" s="4"/>
      <c r="BI56" s="2">
        <v>0</v>
      </c>
      <c r="BJ56" s="2">
        <v>0</v>
      </c>
    </row>
    <row r="57" spans="1:62" hidden="1" x14ac:dyDescent="0.35">
      <c r="A57" s="2">
        <v>103425</v>
      </c>
      <c r="B57" s="2">
        <v>55</v>
      </c>
      <c r="C57" s="3" t="s">
        <v>57</v>
      </c>
      <c r="D57" s="3" t="s">
        <v>136</v>
      </c>
      <c r="E57" s="4"/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63</v>
      </c>
      <c r="K57" s="2">
        <v>17150920046</v>
      </c>
      <c r="L57" s="7">
        <f t="shared" si="1"/>
        <v>17150920046</v>
      </c>
      <c r="M57" s="7">
        <f t="shared" si="2"/>
        <v>17150920057</v>
      </c>
      <c r="N57" s="3" t="s">
        <v>64</v>
      </c>
      <c r="O57" s="5" t="s">
        <v>135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3" t="s">
        <v>66</v>
      </c>
      <c r="BC57" s="3" t="s">
        <v>66</v>
      </c>
      <c r="BD57" s="2">
        <v>730117.00000000105</v>
      </c>
      <c r="BE57" s="2">
        <v>3763711</v>
      </c>
      <c r="BF57" s="4"/>
      <c r="BG57" s="4"/>
      <c r="BH57" s="4"/>
      <c r="BI57" s="2">
        <v>0</v>
      </c>
      <c r="BJ57" s="2">
        <v>0</v>
      </c>
    </row>
    <row r="58" spans="1:62" hidden="1" x14ac:dyDescent="0.35">
      <c r="A58" s="2">
        <v>103426</v>
      </c>
      <c r="B58" s="2">
        <v>56</v>
      </c>
      <c r="C58" s="3" t="s">
        <v>57</v>
      </c>
      <c r="D58" s="3" t="s">
        <v>136</v>
      </c>
      <c r="E58" s="2">
        <v>0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17150920047</v>
      </c>
      <c r="L58" s="7">
        <f t="shared" si="1"/>
        <v>17150920046</v>
      </c>
      <c r="M58" s="7">
        <f t="shared" si="2"/>
        <v>17150920057</v>
      </c>
      <c r="N58" s="3" t="s">
        <v>64</v>
      </c>
      <c r="O58" s="5" t="s">
        <v>137</v>
      </c>
      <c r="P58" s="3" t="s">
        <v>66</v>
      </c>
      <c r="Q58" s="3" t="s">
        <v>72</v>
      </c>
      <c r="R58" s="2">
        <v>3</v>
      </c>
      <c r="S58" s="3" t="s">
        <v>83</v>
      </c>
      <c r="T58" s="3" t="s">
        <v>84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3" t="s">
        <v>66</v>
      </c>
      <c r="BC58" s="3" t="s">
        <v>66</v>
      </c>
      <c r="BD58" s="2">
        <v>730167</v>
      </c>
      <c r="BE58" s="2">
        <v>3763705</v>
      </c>
      <c r="BF58" s="4"/>
      <c r="BG58" s="4"/>
      <c r="BH58" s="4"/>
      <c r="BI58" s="2">
        <v>0</v>
      </c>
      <c r="BJ58" s="2">
        <v>0</v>
      </c>
    </row>
    <row r="59" spans="1:62" hidden="1" x14ac:dyDescent="0.35">
      <c r="A59" s="2">
        <v>103427</v>
      </c>
      <c r="B59" s="2">
        <v>57</v>
      </c>
      <c r="C59" s="3" t="s">
        <v>57</v>
      </c>
      <c r="D59" s="3" t="s">
        <v>136</v>
      </c>
      <c r="E59" s="2">
        <v>1</v>
      </c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66</v>
      </c>
      <c r="K59" s="2">
        <v>17150920048</v>
      </c>
      <c r="L59" s="7">
        <f t="shared" si="1"/>
        <v>17150920046</v>
      </c>
      <c r="M59" s="7">
        <f t="shared" si="2"/>
        <v>17150920057</v>
      </c>
      <c r="N59" s="3" t="s">
        <v>64</v>
      </c>
      <c r="O59" s="5" t="s">
        <v>138</v>
      </c>
      <c r="P59" s="3" t="s">
        <v>66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66</v>
      </c>
      <c r="V59" s="3" t="s">
        <v>66</v>
      </c>
      <c r="W59" s="3" t="s">
        <v>66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66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3" t="s">
        <v>66</v>
      </c>
      <c r="BC59" s="3" t="s">
        <v>66</v>
      </c>
      <c r="BD59" s="2">
        <v>730209.00000000105</v>
      </c>
      <c r="BE59" s="2">
        <v>3763697</v>
      </c>
      <c r="BF59" s="4"/>
      <c r="BG59" s="4"/>
      <c r="BH59" s="4"/>
      <c r="BI59" s="2">
        <v>0</v>
      </c>
      <c r="BJ59" s="2">
        <v>0</v>
      </c>
    </row>
    <row r="60" spans="1:62" hidden="1" x14ac:dyDescent="0.35">
      <c r="A60" s="2">
        <v>103428</v>
      </c>
      <c r="B60" s="2">
        <v>58</v>
      </c>
      <c r="C60" s="3" t="s">
        <v>57</v>
      </c>
      <c r="D60" s="3" t="s">
        <v>136</v>
      </c>
      <c r="E60" s="2">
        <v>2</v>
      </c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66</v>
      </c>
      <c r="K60" s="2">
        <v>17150920049</v>
      </c>
      <c r="L60" s="7">
        <f t="shared" si="1"/>
        <v>17150920046</v>
      </c>
      <c r="M60" s="7">
        <f t="shared" si="2"/>
        <v>17150920057</v>
      </c>
      <c r="N60" s="3" t="s">
        <v>64</v>
      </c>
      <c r="O60" s="5" t="s">
        <v>139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3" t="s">
        <v>66</v>
      </c>
      <c r="BC60" s="3" t="s">
        <v>66</v>
      </c>
      <c r="BD60" s="2">
        <v>730251</v>
      </c>
      <c r="BE60" s="2">
        <v>3763689</v>
      </c>
      <c r="BF60" s="4"/>
      <c r="BG60" s="4"/>
      <c r="BH60" s="4"/>
      <c r="BI60" s="2">
        <v>0</v>
      </c>
      <c r="BJ60" s="2">
        <v>0</v>
      </c>
    </row>
    <row r="61" spans="1:62" hidden="1" x14ac:dyDescent="0.35">
      <c r="A61" s="2">
        <v>103429</v>
      </c>
      <c r="B61" s="2">
        <v>59</v>
      </c>
      <c r="C61" s="3" t="s">
        <v>57</v>
      </c>
      <c r="D61" s="3" t="s">
        <v>136</v>
      </c>
      <c r="E61" s="2">
        <v>3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17150920050</v>
      </c>
      <c r="L61" s="7">
        <f t="shared" si="1"/>
        <v>17150920046</v>
      </c>
      <c r="M61" s="7">
        <f t="shared" si="2"/>
        <v>17150920057</v>
      </c>
      <c r="N61" s="3" t="s">
        <v>64</v>
      </c>
      <c r="O61" s="5" t="s">
        <v>140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3" t="s">
        <v>66</v>
      </c>
      <c r="BC61" s="3" t="s">
        <v>66</v>
      </c>
      <c r="BD61" s="2">
        <v>730291.00000000105</v>
      </c>
      <c r="BE61" s="2">
        <v>3763684</v>
      </c>
      <c r="BF61" s="4"/>
      <c r="BG61" s="4"/>
      <c r="BH61" s="4"/>
      <c r="BI61" s="2">
        <v>0</v>
      </c>
      <c r="BJ61" s="2">
        <v>0</v>
      </c>
    </row>
    <row r="62" spans="1:62" hidden="1" x14ac:dyDescent="0.35">
      <c r="A62" s="2">
        <v>103430</v>
      </c>
      <c r="B62" s="2">
        <v>60</v>
      </c>
      <c r="C62" s="3" t="s">
        <v>57</v>
      </c>
      <c r="D62" s="3" t="s">
        <v>136</v>
      </c>
      <c r="E62" s="2">
        <v>4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17150920051</v>
      </c>
      <c r="L62" s="7">
        <f t="shared" si="1"/>
        <v>17150920046</v>
      </c>
      <c r="M62" s="7">
        <f t="shared" si="2"/>
        <v>17150920057</v>
      </c>
      <c r="N62" s="3" t="s">
        <v>64</v>
      </c>
      <c r="O62" s="5" t="s">
        <v>141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3" t="s">
        <v>66</v>
      </c>
      <c r="BC62" s="3" t="s">
        <v>66</v>
      </c>
      <c r="BD62" s="2">
        <v>730345.00000000105</v>
      </c>
      <c r="BE62" s="2">
        <v>3763674</v>
      </c>
      <c r="BF62" s="4"/>
      <c r="BG62" s="4"/>
      <c r="BH62" s="4"/>
      <c r="BI62" s="2">
        <v>0</v>
      </c>
      <c r="BJ62" s="2">
        <v>0</v>
      </c>
    </row>
    <row r="63" spans="1:62" hidden="1" x14ac:dyDescent="0.35">
      <c r="A63" s="2">
        <v>103431</v>
      </c>
      <c r="B63" s="2">
        <v>61</v>
      </c>
      <c r="C63" s="3" t="s">
        <v>57</v>
      </c>
      <c r="D63" s="3" t="s">
        <v>136</v>
      </c>
      <c r="E63" s="2">
        <v>5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17150920052</v>
      </c>
      <c r="L63" s="7">
        <f t="shared" si="1"/>
        <v>17150920046</v>
      </c>
      <c r="M63" s="7">
        <f t="shared" si="2"/>
        <v>17150920057</v>
      </c>
      <c r="N63" s="3" t="s">
        <v>64</v>
      </c>
      <c r="O63" s="5" t="s">
        <v>142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3" t="s">
        <v>66</v>
      </c>
      <c r="BC63" s="3" t="s">
        <v>66</v>
      </c>
      <c r="BD63" s="2">
        <v>730389</v>
      </c>
      <c r="BE63" s="2">
        <v>3763668</v>
      </c>
      <c r="BF63" s="4"/>
      <c r="BG63" s="4"/>
      <c r="BH63" s="4"/>
      <c r="BI63" s="2">
        <v>0</v>
      </c>
      <c r="BJ63" s="2">
        <v>0</v>
      </c>
    </row>
    <row r="64" spans="1:62" hidden="1" x14ac:dyDescent="0.35">
      <c r="A64" s="2">
        <v>103432</v>
      </c>
      <c r="B64" s="2">
        <v>62</v>
      </c>
      <c r="C64" s="3" t="s">
        <v>57</v>
      </c>
      <c r="D64" s="3" t="s">
        <v>136</v>
      </c>
      <c r="E64" s="2">
        <v>6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17150920053</v>
      </c>
      <c r="L64" s="7">
        <f t="shared" si="1"/>
        <v>17150920046</v>
      </c>
      <c r="M64" s="7">
        <f t="shared" si="2"/>
        <v>17150920057</v>
      </c>
      <c r="N64" s="3" t="s">
        <v>64</v>
      </c>
      <c r="O64" s="5" t="s">
        <v>143</v>
      </c>
      <c r="P64" s="3" t="s">
        <v>66</v>
      </c>
      <c r="Q64" s="3" t="s">
        <v>72</v>
      </c>
      <c r="R64" s="2">
        <v>3</v>
      </c>
      <c r="S64" s="3" t="s">
        <v>73</v>
      </c>
      <c r="T64" s="3" t="s">
        <v>144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3" t="s">
        <v>66</v>
      </c>
      <c r="BC64" s="3" t="s">
        <v>66</v>
      </c>
      <c r="BD64" s="2">
        <v>730418</v>
      </c>
      <c r="BE64" s="2">
        <v>3763664</v>
      </c>
      <c r="BF64" s="4"/>
      <c r="BG64" s="4"/>
      <c r="BH64" s="4"/>
      <c r="BI64" s="2">
        <v>0</v>
      </c>
      <c r="BJ64" s="2">
        <v>0</v>
      </c>
    </row>
    <row r="65" spans="1:62" hidden="1" x14ac:dyDescent="0.35">
      <c r="A65" s="2">
        <v>103433</v>
      </c>
      <c r="B65" s="2">
        <v>63</v>
      </c>
      <c r="C65" s="3" t="s">
        <v>57</v>
      </c>
      <c r="D65" s="3" t="s">
        <v>136</v>
      </c>
      <c r="E65" s="2">
        <v>7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17150920054</v>
      </c>
      <c r="L65" s="7">
        <f t="shared" si="1"/>
        <v>17150920046</v>
      </c>
      <c r="M65" s="7">
        <f t="shared" si="2"/>
        <v>17150920057</v>
      </c>
      <c r="N65" s="3" t="s">
        <v>64</v>
      </c>
      <c r="O65" s="5" t="s">
        <v>145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3" t="s">
        <v>66</v>
      </c>
      <c r="BC65" s="3" t="s">
        <v>66</v>
      </c>
      <c r="BD65" s="2">
        <v>730437.00000000105</v>
      </c>
      <c r="BE65" s="2">
        <v>3763660</v>
      </c>
      <c r="BF65" s="4"/>
      <c r="BG65" s="4"/>
      <c r="BH65" s="4"/>
      <c r="BI65" s="2">
        <v>0</v>
      </c>
      <c r="BJ65" s="2">
        <v>0</v>
      </c>
    </row>
    <row r="66" spans="1:62" hidden="1" x14ac:dyDescent="0.35">
      <c r="A66" s="2">
        <v>103434</v>
      </c>
      <c r="B66" s="2">
        <v>64</v>
      </c>
      <c r="C66" s="3" t="s">
        <v>57</v>
      </c>
      <c r="D66" s="3" t="s">
        <v>136</v>
      </c>
      <c r="E66" s="2">
        <v>8</v>
      </c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66</v>
      </c>
      <c r="K66" s="2">
        <v>17150920055</v>
      </c>
      <c r="L66" s="7">
        <f t="shared" si="1"/>
        <v>17150920046</v>
      </c>
      <c r="M66" s="7">
        <f t="shared" si="2"/>
        <v>17150920057</v>
      </c>
      <c r="N66" s="3" t="s">
        <v>64</v>
      </c>
      <c r="O66" s="5" t="s">
        <v>146</v>
      </c>
      <c r="P66" s="3" t="s">
        <v>66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66</v>
      </c>
      <c r="V66" s="3" t="s">
        <v>66</v>
      </c>
      <c r="W66" s="3" t="s">
        <v>66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66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3" t="s">
        <v>66</v>
      </c>
      <c r="BC66" s="3" t="s">
        <v>66</v>
      </c>
      <c r="BD66" s="2">
        <v>730490.00000000198</v>
      </c>
      <c r="BE66" s="2">
        <v>3763653</v>
      </c>
      <c r="BF66" s="4"/>
      <c r="BG66" s="4"/>
      <c r="BH66" s="4"/>
      <c r="BI66" s="2">
        <v>0</v>
      </c>
      <c r="BJ66" s="2">
        <v>0</v>
      </c>
    </row>
    <row r="67" spans="1:62" hidden="1" x14ac:dyDescent="0.35">
      <c r="A67" s="2">
        <v>103435</v>
      </c>
      <c r="B67" s="2">
        <v>65</v>
      </c>
      <c r="C67" s="3" t="s">
        <v>57</v>
      </c>
      <c r="D67" s="3" t="s">
        <v>136</v>
      </c>
      <c r="E67" s="2">
        <v>9</v>
      </c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66</v>
      </c>
      <c r="K67" s="2">
        <v>17150920056</v>
      </c>
      <c r="L67" s="7">
        <f t="shared" si="1"/>
        <v>17150920046</v>
      </c>
      <c r="M67" s="7">
        <f t="shared" si="2"/>
        <v>17150920057</v>
      </c>
      <c r="N67" s="3" t="s">
        <v>64</v>
      </c>
      <c r="O67" s="5" t="s">
        <v>147</v>
      </c>
      <c r="P67" s="3" t="s">
        <v>66</v>
      </c>
      <c r="Q67" s="3" t="s">
        <v>72</v>
      </c>
      <c r="R67" s="2">
        <v>3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3" t="s">
        <v>66</v>
      </c>
      <c r="BC67" s="3" t="s">
        <v>66</v>
      </c>
      <c r="BD67" s="2">
        <v>730531.00000000198</v>
      </c>
      <c r="BE67" s="2">
        <v>3763645</v>
      </c>
      <c r="BF67" s="4"/>
      <c r="BG67" s="4"/>
      <c r="BH67" s="4"/>
      <c r="BI67" s="2">
        <v>0</v>
      </c>
      <c r="BJ67" s="2">
        <v>0</v>
      </c>
    </row>
    <row r="68" spans="1:62" hidden="1" x14ac:dyDescent="0.35">
      <c r="A68" s="2">
        <v>103436</v>
      </c>
      <c r="B68" s="2">
        <v>66</v>
      </c>
      <c r="C68" s="3" t="s">
        <v>57</v>
      </c>
      <c r="D68" s="3" t="s">
        <v>136</v>
      </c>
      <c r="E68" s="4"/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69</v>
      </c>
      <c r="K68" s="2">
        <v>17150920057</v>
      </c>
      <c r="L68" s="7">
        <f t="shared" ref="L68:L131" si="3">IF(J68="E",K68,L67)</f>
        <v>17150920057</v>
      </c>
      <c r="M68" s="7">
        <f t="shared" si="2"/>
        <v>17150920057</v>
      </c>
      <c r="N68" s="3" t="s">
        <v>64</v>
      </c>
      <c r="O68" s="5" t="s">
        <v>148</v>
      </c>
      <c r="P68" s="3" t="s">
        <v>71</v>
      </c>
      <c r="Q68" s="3" t="s">
        <v>72</v>
      </c>
      <c r="R68" s="2">
        <v>2</v>
      </c>
      <c r="S68" s="3" t="s">
        <v>73</v>
      </c>
      <c r="T68" s="3" t="s">
        <v>126</v>
      </c>
      <c r="U68" s="3" t="s">
        <v>86</v>
      </c>
      <c r="V68" s="3" t="s">
        <v>86</v>
      </c>
      <c r="W68" s="3" t="s">
        <v>86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87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3" t="s">
        <v>66</v>
      </c>
      <c r="BC68" s="3" t="s">
        <v>66</v>
      </c>
      <c r="BD68" s="2">
        <v>730574</v>
      </c>
      <c r="BE68" s="2">
        <v>3763641</v>
      </c>
      <c r="BF68" s="4"/>
      <c r="BG68" s="4"/>
      <c r="BH68" s="4"/>
      <c r="BI68" s="2">
        <v>0</v>
      </c>
      <c r="BJ68" s="2">
        <v>0</v>
      </c>
    </row>
    <row r="69" spans="1:62" hidden="1" x14ac:dyDescent="0.35">
      <c r="A69" s="2">
        <v>103437</v>
      </c>
      <c r="B69" s="2">
        <v>67</v>
      </c>
      <c r="C69" s="3" t="s">
        <v>57</v>
      </c>
      <c r="D69" s="3" t="s">
        <v>149</v>
      </c>
      <c r="E69" s="4"/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63</v>
      </c>
      <c r="K69" s="2">
        <v>17150920057</v>
      </c>
      <c r="L69" s="7">
        <f t="shared" si="3"/>
        <v>17150920057</v>
      </c>
      <c r="M69" s="7">
        <f t="shared" si="2"/>
        <v>17150920059</v>
      </c>
      <c r="N69" s="3" t="s">
        <v>64</v>
      </c>
      <c r="O69" s="5" t="s">
        <v>148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3" t="s">
        <v>66</v>
      </c>
      <c r="BC69" s="3" t="s">
        <v>66</v>
      </c>
      <c r="BD69" s="2">
        <v>730574</v>
      </c>
      <c r="BE69" s="2">
        <v>3763641</v>
      </c>
      <c r="BF69" s="4"/>
      <c r="BG69" s="4"/>
      <c r="BH69" s="4"/>
      <c r="BI69" s="2">
        <v>0</v>
      </c>
      <c r="BJ69" s="2">
        <v>0</v>
      </c>
    </row>
    <row r="70" spans="1:62" hidden="1" x14ac:dyDescent="0.35">
      <c r="A70" s="2">
        <v>103438</v>
      </c>
      <c r="B70" s="2">
        <v>68</v>
      </c>
      <c r="C70" s="3" t="s">
        <v>57</v>
      </c>
      <c r="D70" s="3" t="s">
        <v>149</v>
      </c>
      <c r="E70" s="2">
        <v>0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17150920058</v>
      </c>
      <c r="L70" s="7">
        <f t="shared" si="3"/>
        <v>17150920057</v>
      </c>
      <c r="M70" s="7">
        <f t="shared" si="2"/>
        <v>17150920059</v>
      </c>
      <c r="N70" s="3" t="s">
        <v>64</v>
      </c>
      <c r="O70" s="5" t="s">
        <v>150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3" t="s">
        <v>66</v>
      </c>
      <c r="BC70" s="3" t="s">
        <v>66</v>
      </c>
      <c r="BD70" s="2">
        <v>730617</v>
      </c>
      <c r="BE70" s="2">
        <v>3763624</v>
      </c>
      <c r="BF70" s="4"/>
      <c r="BG70" s="4"/>
      <c r="BH70" s="4"/>
      <c r="BI70" s="2">
        <v>0</v>
      </c>
      <c r="BJ70" s="2">
        <v>0</v>
      </c>
    </row>
    <row r="71" spans="1:62" hidden="1" x14ac:dyDescent="0.35">
      <c r="A71" s="2">
        <v>103439</v>
      </c>
      <c r="B71" s="2">
        <v>69</v>
      </c>
      <c r="C71" s="3" t="s">
        <v>57</v>
      </c>
      <c r="D71" s="3" t="s">
        <v>149</v>
      </c>
      <c r="E71" s="4"/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69</v>
      </c>
      <c r="K71" s="2">
        <v>17150920059</v>
      </c>
      <c r="L71" s="7">
        <f t="shared" si="3"/>
        <v>17150920059</v>
      </c>
      <c r="M71" s="7">
        <f t="shared" si="2"/>
        <v>17150920059</v>
      </c>
      <c r="N71" s="3" t="s">
        <v>64</v>
      </c>
      <c r="O71" s="5" t="s">
        <v>151</v>
      </c>
      <c r="P71" s="3" t="s">
        <v>71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86</v>
      </c>
      <c r="V71" s="3" t="s">
        <v>86</v>
      </c>
      <c r="W71" s="3" t="s">
        <v>86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87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3" t="s">
        <v>66</v>
      </c>
      <c r="BC71" s="3" t="s">
        <v>66</v>
      </c>
      <c r="BD71" s="2">
        <v>730655</v>
      </c>
      <c r="BE71" s="2">
        <v>3763601</v>
      </c>
      <c r="BF71" s="4"/>
      <c r="BG71" s="4"/>
      <c r="BH71" s="4"/>
      <c r="BI71" s="2">
        <v>0</v>
      </c>
      <c r="BJ71" s="2">
        <v>0</v>
      </c>
    </row>
    <row r="72" spans="1:62" hidden="1" x14ac:dyDescent="0.35">
      <c r="A72" s="2">
        <v>103440</v>
      </c>
      <c r="B72" s="2">
        <v>70</v>
      </c>
      <c r="C72" s="3" t="s">
        <v>57</v>
      </c>
      <c r="D72" s="3" t="s">
        <v>152</v>
      </c>
      <c r="E72" s="4"/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63</v>
      </c>
      <c r="K72" s="2">
        <v>17150920059</v>
      </c>
      <c r="L72" s="7">
        <f t="shared" si="3"/>
        <v>17150920059</v>
      </c>
      <c r="M72" s="7">
        <f t="shared" si="2"/>
        <v>17150920066</v>
      </c>
      <c r="N72" s="3" t="s">
        <v>64</v>
      </c>
      <c r="O72" s="5" t="s">
        <v>151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3" t="s">
        <v>66</v>
      </c>
      <c r="BC72" s="3" t="s">
        <v>66</v>
      </c>
      <c r="BD72" s="2">
        <v>730655</v>
      </c>
      <c r="BE72" s="2">
        <v>3763601</v>
      </c>
      <c r="BF72" s="4"/>
      <c r="BG72" s="4"/>
      <c r="BH72" s="4"/>
      <c r="BI72" s="2">
        <v>0</v>
      </c>
      <c r="BJ72" s="2">
        <v>0</v>
      </c>
    </row>
    <row r="73" spans="1:62" hidden="1" x14ac:dyDescent="0.35">
      <c r="A73" s="2">
        <v>103441</v>
      </c>
      <c r="B73" s="2">
        <v>71</v>
      </c>
      <c r="C73" s="3" t="s">
        <v>57</v>
      </c>
      <c r="D73" s="3" t="s">
        <v>152</v>
      </c>
      <c r="E73" s="2">
        <v>0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17150920060</v>
      </c>
      <c r="L73" s="7">
        <f t="shared" si="3"/>
        <v>17150920059</v>
      </c>
      <c r="M73" s="7">
        <f t="shared" si="2"/>
        <v>17150920066</v>
      </c>
      <c r="N73" s="3" t="s">
        <v>64</v>
      </c>
      <c r="O73" s="5" t="s">
        <v>153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3" t="s">
        <v>66</v>
      </c>
      <c r="BC73" s="3" t="s">
        <v>66</v>
      </c>
      <c r="BD73" s="2">
        <v>730687.00000000198</v>
      </c>
      <c r="BE73" s="2">
        <v>3763568</v>
      </c>
      <c r="BF73" s="4"/>
      <c r="BG73" s="4"/>
      <c r="BH73" s="4"/>
      <c r="BI73" s="2">
        <v>0</v>
      </c>
      <c r="BJ73" s="2">
        <v>0</v>
      </c>
    </row>
    <row r="74" spans="1:62" hidden="1" x14ac:dyDescent="0.35">
      <c r="A74" s="2">
        <v>103442</v>
      </c>
      <c r="B74" s="2">
        <v>72</v>
      </c>
      <c r="C74" s="3" t="s">
        <v>57</v>
      </c>
      <c r="D74" s="3" t="s">
        <v>152</v>
      </c>
      <c r="E74" s="2">
        <v>1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17150920061</v>
      </c>
      <c r="L74" s="7">
        <f t="shared" si="3"/>
        <v>17150920059</v>
      </c>
      <c r="M74" s="7">
        <f t="shared" si="2"/>
        <v>17150920066</v>
      </c>
      <c r="N74" s="3" t="s">
        <v>64</v>
      </c>
      <c r="O74" s="5" t="s">
        <v>154</v>
      </c>
      <c r="P74" s="3" t="s">
        <v>66</v>
      </c>
      <c r="Q74" s="3" t="s">
        <v>72</v>
      </c>
      <c r="R74" s="2">
        <v>2</v>
      </c>
      <c r="S74" s="3" t="s">
        <v>73</v>
      </c>
      <c r="T74" s="3" t="s">
        <v>126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3" t="s">
        <v>66</v>
      </c>
      <c r="BC74" s="3" t="s">
        <v>66</v>
      </c>
      <c r="BD74" s="2">
        <v>730713.00000000105</v>
      </c>
      <c r="BE74" s="2">
        <v>3763530</v>
      </c>
      <c r="BF74" s="4"/>
      <c r="BG74" s="4"/>
      <c r="BH74" s="4"/>
      <c r="BI74" s="2">
        <v>0</v>
      </c>
      <c r="BJ74" s="2">
        <v>0</v>
      </c>
    </row>
    <row r="75" spans="1:62" hidden="1" x14ac:dyDescent="0.35">
      <c r="A75" s="2">
        <v>103443</v>
      </c>
      <c r="B75" s="2">
        <v>73</v>
      </c>
      <c r="C75" s="3" t="s">
        <v>57</v>
      </c>
      <c r="D75" s="3" t="s">
        <v>152</v>
      </c>
      <c r="E75" s="2">
        <v>2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17150920062</v>
      </c>
      <c r="L75" s="7">
        <f t="shared" si="3"/>
        <v>17150920059</v>
      </c>
      <c r="M75" s="7">
        <f t="shared" si="2"/>
        <v>17150920066</v>
      </c>
      <c r="N75" s="3" t="s">
        <v>64</v>
      </c>
      <c r="O75" s="5" t="s">
        <v>155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3" t="s">
        <v>66</v>
      </c>
      <c r="BC75" s="3" t="s">
        <v>66</v>
      </c>
      <c r="BD75" s="2">
        <v>730734.00000000105</v>
      </c>
      <c r="BE75" s="2">
        <v>3763488</v>
      </c>
      <c r="BF75" s="4"/>
      <c r="BG75" s="4"/>
      <c r="BH75" s="4"/>
      <c r="BI75" s="2">
        <v>0</v>
      </c>
      <c r="BJ75" s="2">
        <v>0</v>
      </c>
    </row>
    <row r="76" spans="1:62" hidden="1" x14ac:dyDescent="0.35">
      <c r="A76" s="2">
        <v>103444</v>
      </c>
      <c r="B76" s="2">
        <v>74</v>
      </c>
      <c r="C76" s="3" t="s">
        <v>57</v>
      </c>
      <c r="D76" s="3" t="s">
        <v>152</v>
      </c>
      <c r="E76" s="2">
        <v>3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17150920063</v>
      </c>
      <c r="L76" s="7">
        <f t="shared" si="3"/>
        <v>17150920059</v>
      </c>
      <c r="M76" s="7">
        <f t="shared" si="2"/>
        <v>17150920066</v>
      </c>
      <c r="N76" s="3" t="s">
        <v>64</v>
      </c>
      <c r="O76" s="5" t="s">
        <v>156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3" t="s">
        <v>66</v>
      </c>
      <c r="BC76" s="3" t="s">
        <v>66</v>
      </c>
      <c r="BD76" s="2">
        <v>730758</v>
      </c>
      <c r="BE76" s="2">
        <v>3763457</v>
      </c>
      <c r="BF76" s="4"/>
      <c r="BG76" s="4"/>
      <c r="BH76" s="4"/>
      <c r="BI76" s="2">
        <v>0</v>
      </c>
      <c r="BJ76" s="2">
        <v>0</v>
      </c>
    </row>
    <row r="77" spans="1:62" hidden="1" x14ac:dyDescent="0.35">
      <c r="A77" s="2">
        <v>103445</v>
      </c>
      <c r="B77" s="2">
        <v>75</v>
      </c>
      <c r="C77" s="3" t="s">
        <v>57</v>
      </c>
      <c r="D77" s="3" t="s">
        <v>152</v>
      </c>
      <c r="E77" s="2">
        <v>4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17150920064</v>
      </c>
      <c r="L77" s="7">
        <f t="shared" si="3"/>
        <v>17150920059</v>
      </c>
      <c r="M77" s="7">
        <f t="shared" si="2"/>
        <v>17150920066</v>
      </c>
      <c r="N77" s="3" t="s">
        <v>64</v>
      </c>
      <c r="O77" s="5" t="s">
        <v>157</v>
      </c>
      <c r="P77" s="3" t="s">
        <v>66</v>
      </c>
      <c r="Q77" s="3" t="s">
        <v>72</v>
      </c>
      <c r="R77" s="2">
        <v>2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3" t="s">
        <v>66</v>
      </c>
      <c r="BC77" s="3" t="s">
        <v>66</v>
      </c>
      <c r="BD77" s="2">
        <v>730780.00000000105</v>
      </c>
      <c r="BE77" s="2">
        <v>3763416</v>
      </c>
      <c r="BF77" s="4"/>
      <c r="BG77" s="4"/>
      <c r="BH77" s="4"/>
      <c r="BI77" s="2">
        <v>0</v>
      </c>
      <c r="BJ77" s="2">
        <v>0</v>
      </c>
    </row>
    <row r="78" spans="1:62" hidden="1" x14ac:dyDescent="0.35">
      <c r="A78" s="2">
        <v>103446</v>
      </c>
      <c r="B78" s="2">
        <v>76</v>
      </c>
      <c r="C78" s="3" t="s">
        <v>57</v>
      </c>
      <c r="D78" s="3" t="s">
        <v>152</v>
      </c>
      <c r="E78" s="2">
        <v>5</v>
      </c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66</v>
      </c>
      <c r="K78" s="2">
        <v>17150920065</v>
      </c>
      <c r="L78" s="7">
        <f t="shared" si="3"/>
        <v>17150920059</v>
      </c>
      <c r="M78" s="7">
        <f t="shared" si="2"/>
        <v>17150920066</v>
      </c>
      <c r="N78" s="3" t="s">
        <v>64</v>
      </c>
      <c r="O78" s="5" t="s">
        <v>158</v>
      </c>
      <c r="P78" s="3" t="s">
        <v>66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66</v>
      </c>
      <c r="V78" s="3" t="s">
        <v>66</v>
      </c>
      <c r="W78" s="3" t="s">
        <v>66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66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3" t="s">
        <v>66</v>
      </c>
      <c r="BC78" s="3" t="s">
        <v>66</v>
      </c>
      <c r="BD78" s="2">
        <v>730807.00000000198</v>
      </c>
      <c r="BE78" s="2">
        <v>3763365</v>
      </c>
      <c r="BF78" s="4"/>
      <c r="BG78" s="4"/>
      <c r="BH78" s="4"/>
      <c r="BI78" s="2">
        <v>0</v>
      </c>
      <c r="BJ78" s="2">
        <v>0</v>
      </c>
    </row>
    <row r="79" spans="1:62" hidden="1" x14ac:dyDescent="0.35">
      <c r="A79" s="2">
        <v>103447</v>
      </c>
      <c r="B79" s="2">
        <v>77</v>
      </c>
      <c r="C79" s="3" t="s">
        <v>57</v>
      </c>
      <c r="D79" s="3" t="s">
        <v>152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69</v>
      </c>
      <c r="K79" s="2">
        <v>17150920066</v>
      </c>
      <c r="L79" s="7">
        <f t="shared" si="3"/>
        <v>17150920066</v>
      </c>
      <c r="M79" s="7">
        <f t="shared" si="2"/>
        <v>17150920066</v>
      </c>
      <c r="N79" s="3" t="s">
        <v>64</v>
      </c>
      <c r="O79" s="5" t="s">
        <v>159</v>
      </c>
      <c r="P79" s="3" t="s">
        <v>71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86</v>
      </c>
      <c r="V79" s="3" t="s">
        <v>86</v>
      </c>
      <c r="W79" s="3" t="s">
        <v>86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87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3" t="s">
        <v>66</v>
      </c>
      <c r="BC79" s="3" t="s">
        <v>66</v>
      </c>
      <c r="BD79" s="2">
        <v>730826.00000000105</v>
      </c>
      <c r="BE79" s="2">
        <v>3763324</v>
      </c>
      <c r="BF79" s="4"/>
      <c r="BG79" s="4"/>
      <c r="BH79" s="4"/>
      <c r="BI79" s="2">
        <v>0</v>
      </c>
      <c r="BJ79" s="2">
        <v>0</v>
      </c>
    </row>
    <row r="80" spans="1:62" hidden="1" x14ac:dyDescent="0.35">
      <c r="A80" s="2">
        <v>103448</v>
      </c>
      <c r="B80" s="2">
        <v>78</v>
      </c>
      <c r="C80" s="3" t="s">
        <v>57</v>
      </c>
      <c r="D80" s="3" t="s">
        <v>160</v>
      </c>
      <c r="E80" s="4"/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63</v>
      </c>
      <c r="K80" s="2">
        <v>17150920066</v>
      </c>
      <c r="L80" s="7">
        <f t="shared" si="3"/>
        <v>17150920066</v>
      </c>
      <c r="M80" s="7">
        <f t="shared" si="2"/>
        <v>17160920097</v>
      </c>
      <c r="N80" s="3" t="s">
        <v>64</v>
      </c>
      <c r="O80" s="5" t="s">
        <v>159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3" t="s">
        <v>66</v>
      </c>
      <c r="BC80" s="3" t="s">
        <v>66</v>
      </c>
      <c r="BD80" s="2">
        <v>730826.00000000105</v>
      </c>
      <c r="BE80" s="2">
        <v>3763324</v>
      </c>
      <c r="BF80" s="4"/>
      <c r="BG80" s="4"/>
      <c r="BH80" s="4"/>
      <c r="BI80" s="2">
        <v>0</v>
      </c>
      <c r="BJ80" s="2">
        <v>0</v>
      </c>
    </row>
    <row r="81" spans="1:62" hidden="1" x14ac:dyDescent="0.35">
      <c r="A81" s="2">
        <v>103449</v>
      </c>
      <c r="B81" s="2">
        <v>79</v>
      </c>
      <c r="C81" s="3" t="s">
        <v>57</v>
      </c>
      <c r="D81" s="3" t="s">
        <v>160</v>
      </c>
      <c r="E81" s="2">
        <v>0</v>
      </c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66</v>
      </c>
      <c r="K81" s="2">
        <v>17160920078</v>
      </c>
      <c r="L81" s="7">
        <f t="shared" si="3"/>
        <v>17150920066</v>
      </c>
      <c r="M81" s="7">
        <f t="shared" si="2"/>
        <v>17160920097</v>
      </c>
      <c r="N81" s="3" t="s">
        <v>64</v>
      </c>
      <c r="O81" s="5" t="s">
        <v>161</v>
      </c>
      <c r="P81" s="3" t="s">
        <v>66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66</v>
      </c>
      <c r="V81" s="3" t="s">
        <v>66</v>
      </c>
      <c r="W81" s="3" t="s">
        <v>66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66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3" t="s">
        <v>66</v>
      </c>
      <c r="BC81" s="3" t="s">
        <v>66</v>
      </c>
      <c r="BD81" s="2">
        <v>730850</v>
      </c>
      <c r="BE81" s="2">
        <v>3763285</v>
      </c>
      <c r="BF81" s="4"/>
      <c r="BG81" s="4"/>
      <c r="BH81" s="4"/>
      <c r="BI81" s="2">
        <v>0</v>
      </c>
      <c r="BJ81" s="2">
        <v>0</v>
      </c>
    </row>
    <row r="82" spans="1:62" hidden="1" x14ac:dyDescent="0.35">
      <c r="A82" s="2">
        <v>103450</v>
      </c>
      <c r="B82" s="2">
        <v>80</v>
      </c>
      <c r="C82" s="3" t="s">
        <v>57</v>
      </c>
      <c r="D82" s="3" t="s">
        <v>160</v>
      </c>
      <c r="E82" s="2">
        <v>1</v>
      </c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66</v>
      </c>
      <c r="K82" s="2">
        <v>17160920079</v>
      </c>
      <c r="L82" s="7">
        <f t="shared" si="3"/>
        <v>17150920066</v>
      </c>
      <c r="M82" s="7">
        <f t="shared" si="2"/>
        <v>17160920097</v>
      </c>
      <c r="N82" s="3" t="s">
        <v>64</v>
      </c>
      <c r="O82" s="5" t="s">
        <v>162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3" t="s">
        <v>66</v>
      </c>
      <c r="BC82" s="3" t="s">
        <v>66</v>
      </c>
      <c r="BD82" s="2">
        <v>730867.00000000105</v>
      </c>
      <c r="BE82" s="2">
        <v>3763243</v>
      </c>
      <c r="BF82" s="4"/>
      <c r="BG82" s="4"/>
      <c r="BH82" s="4"/>
      <c r="BI82" s="2">
        <v>0</v>
      </c>
      <c r="BJ82" s="2">
        <v>0</v>
      </c>
    </row>
    <row r="83" spans="1:62" hidden="1" x14ac:dyDescent="0.35">
      <c r="A83" s="2">
        <v>103451</v>
      </c>
      <c r="B83" s="2">
        <v>81</v>
      </c>
      <c r="C83" s="3" t="s">
        <v>57</v>
      </c>
      <c r="D83" s="3" t="s">
        <v>160</v>
      </c>
      <c r="E83" s="2">
        <v>2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17160920080</v>
      </c>
      <c r="L83" s="7">
        <f t="shared" si="3"/>
        <v>17150920066</v>
      </c>
      <c r="M83" s="7">
        <f t="shared" ref="M83:M146" si="4">IF(J83="E",K83,M84)</f>
        <v>17160920097</v>
      </c>
      <c r="N83" s="3" t="s">
        <v>64</v>
      </c>
      <c r="O83" s="5" t="s">
        <v>163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3" t="s">
        <v>66</v>
      </c>
      <c r="BC83" s="3" t="s">
        <v>66</v>
      </c>
      <c r="BD83" s="2">
        <v>730897.00000000105</v>
      </c>
      <c r="BE83" s="2">
        <v>3763187</v>
      </c>
      <c r="BF83" s="4"/>
      <c r="BG83" s="4"/>
      <c r="BH83" s="4"/>
      <c r="BI83" s="2">
        <v>0</v>
      </c>
      <c r="BJ83" s="2">
        <v>0</v>
      </c>
    </row>
    <row r="84" spans="1:62" hidden="1" x14ac:dyDescent="0.35">
      <c r="A84" s="2">
        <v>103452</v>
      </c>
      <c r="B84" s="2">
        <v>82</v>
      </c>
      <c r="C84" s="3" t="s">
        <v>57</v>
      </c>
      <c r="D84" s="3" t="s">
        <v>160</v>
      </c>
      <c r="E84" s="4"/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69</v>
      </c>
      <c r="K84" s="2">
        <v>17160920097</v>
      </c>
      <c r="L84" s="7">
        <f t="shared" si="3"/>
        <v>17160920097</v>
      </c>
      <c r="M84" s="7">
        <f t="shared" si="4"/>
        <v>17160920097</v>
      </c>
      <c r="N84" s="3" t="s">
        <v>64</v>
      </c>
      <c r="O84" s="5" t="s">
        <v>164</v>
      </c>
      <c r="P84" s="3" t="s">
        <v>71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165</v>
      </c>
      <c r="V84" s="3" t="s">
        <v>165</v>
      </c>
      <c r="W84" s="3" t="s">
        <v>165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3" t="s">
        <v>66</v>
      </c>
      <c r="BC84" s="3" t="s">
        <v>66</v>
      </c>
      <c r="BD84" s="2">
        <v>730903</v>
      </c>
      <c r="BE84" s="2">
        <v>3763113</v>
      </c>
      <c r="BF84" s="4"/>
      <c r="BG84" s="4"/>
      <c r="BH84" s="4"/>
      <c r="BI84" s="2">
        <v>0</v>
      </c>
      <c r="BJ84" s="2">
        <v>0</v>
      </c>
    </row>
    <row r="85" spans="1:62" hidden="1" x14ac:dyDescent="0.35">
      <c r="A85" s="2">
        <v>103453</v>
      </c>
      <c r="B85" s="2">
        <v>83</v>
      </c>
      <c r="C85" s="3" t="s">
        <v>57</v>
      </c>
      <c r="D85" s="3" t="s">
        <v>166</v>
      </c>
      <c r="E85" s="4"/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63</v>
      </c>
      <c r="K85" s="2">
        <v>17160920097</v>
      </c>
      <c r="L85" s="7">
        <f t="shared" si="3"/>
        <v>17160920097</v>
      </c>
      <c r="M85" s="7">
        <f t="shared" si="4"/>
        <v>17160920098</v>
      </c>
      <c r="N85" s="3" t="s">
        <v>64</v>
      </c>
      <c r="O85" s="5" t="s">
        <v>164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3" t="s">
        <v>66</v>
      </c>
      <c r="BC85" s="3" t="s">
        <v>66</v>
      </c>
      <c r="BD85" s="2">
        <v>730903</v>
      </c>
      <c r="BE85" s="2">
        <v>3763113</v>
      </c>
      <c r="BF85" s="4"/>
      <c r="BG85" s="4"/>
      <c r="BH85" s="4"/>
      <c r="BI85" s="2">
        <v>0</v>
      </c>
      <c r="BJ85" s="2">
        <v>0</v>
      </c>
    </row>
    <row r="86" spans="1:62" ht="58" hidden="1" x14ac:dyDescent="0.35">
      <c r="A86" s="2">
        <v>103454</v>
      </c>
      <c r="B86" s="2">
        <v>84</v>
      </c>
      <c r="C86" s="3" t="s">
        <v>57</v>
      </c>
      <c r="D86" s="3" t="s">
        <v>166</v>
      </c>
      <c r="E86" s="4"/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69</v>
      </c>
      <c r="K86" s="2">
        <v>17160920098</v>
      </c>
      <c r="L86" s="7">
        <f t="shared" si="3"/>
        <v>17160920098</v>
      </c>
      <c r="M86" s="7">
        <f t="shared" si="4"/>
        <v>17160920098</v>
      </c>
      <c r="N86" s="3" t="s">
        <v>64</v>
      </c>
      <c r="O86" s="5" t="s">
        <v>167</v>
      </c>
      <c r="P86" s="3" t="s">
        <v>71</v>
      </c>
      <c r="Q86" s="3" t="s">
        <v>72</v>
      </c>
      <c r="R86" s="2">
        <v>0</v>
      </c>
      <c r="S86" s="3" t="s">
        <v>66</v>
      </c>
      <c r="T86" s="3" t="s">
        <v>168</v>
      </c>
      <c r="U86" s="3" t="s">
        <v>165</v>
      </c>
      <c r="V86" s="3" t="s">
        <v>165</v>
      </c>
      <c r="W86" s="3" t="s">
        <v>165</v>
      </c>
      <c r="X86" s="3" t="s">
        <v>66</v>
      </c>
      <c r="Y86" s="3" t="s">
        <v>66</v>
      </c>
      <c r="Z86" s="3" t="s">
        <v>66</v>
      </c>
      <c r="AA86" s="3" t="s">
        <v>169</v>
      </c>
      <c r="AB86" s="3" t="s">
        <v>170</v>
      </c>
      <c r="AC86" s="2">
        <v>0</v>
      </c>
      <c r="AD86" s="3" t="s">
        <v>171</v>
      </c>
      <c r="AE86" s="3" t="s">
        <v>71</v>
      </c>
      <c r="AF86" s="3" t="s">
        <v>172</v>
      </c>
      <c r="AG86" s="3" t="s">
        <v>173</v>
      </c>
      <c r="AH86" s="3" t="s">
        <v>174</v>
      </c>
      <c r="AI86" s="3" t="s">
        <v>66</v>
      </c>
      <c r="AJ86" s="3" t="s">
        <v>66</v>
      </c>
      <c r="AK86" s="3" t="s">
        <v>175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3" t="s">
        <v>176</v>
      </c>
      <c r="BC86" s="3" t="s">
        <v>177</v>
      </c>
      <c r="BD86" s="2">
        <v>730902.00000000105</v>
      </c>
      <c r="BE86" s="2">
        <v>3763112</v>
      </c>
      <c r="BF86" s="4"/>
      <c r="BG86" s="4"/>
      <c r="BH86" s="4"/>
      <c r="BI86" s="2">
        <v>0</v>
      </c>
      <c r="BJ86" s="2">
        <v>0</v>
      </c>
    </row>
    <row r="87" spans="1:62" ht="58" hidden="1" x14ac:dyDescent="0.35">
      <c r="A87" s="2">
        <v>103455</v>
      </c>
      <c r="B87" s="2">
        <v>85</v>
      </c>
      <c r="C87" s="3" t="s">
        <v>57</v>
      </c>
      <c r="D87" s="3" t="s">
        <v>178</v>
      </c>
      <c r="E87" s="4"/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63</v>
      </c>
      <c r="K87" s="2">
        <v>17160920098</v>
      </c>
      <c r="L87" s="7">
        <f t="shared" si="3"/>
        <v>17160920098</v>
      </c>
      <c r="M87" s="7">
        <f t="shared" si="4"/>
        <v>17160920099</v>
      </c>
      <c r="N87" s="3" t="s">
        <v>179</v>
      </c>
      <c r="O87" s="5" t="s">
        <v>167</v>
      </c>
      <c r="P87" s="3" t="s">
        <v>66</v>
      </c>
      <c r="Q87" s="3" t="s">
        <v>180</v>
      </c>
      <c r="R87" s="2">
        <v>0</v>
      </c>
      <c r="S87" s="3" t="s">
        <v>66</v>
      </c>
      <c r="T87" s="3" t="s">
        <v>168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181</v>
      </c>
      <c r="AB87" s="3" t="s">
        <v>170</v>
      </c>
      <c r="AC87" s="2">
        <v>0</v>
      </c>
      <c r="AD87" s="3" t="s">
        <v>171</v>
      </c>
      <c r="AE87" s="3" t="s">
        <v>71</v>
      </c>
      <c r="AF87" s="3" t="s">
        <v>172</v>
      </c>
      <c r="AG87" s="3" t="s">
        <v>173</v>
      </c>
      <c r="AH87" s="3" t="s">
        <v>174</v>
      </c>
      <c r="AI87" s="3" t="s">
        <v>66</v>
      </c>
      <c r="AJ87" s="3" t="s">
        <v>66</v>
      </c>
      <c r="AK87" s="3" t="s">
        <v>175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3" t="s">
        <v>176</v>
      </c>
      <c r="BC87" s="3" t="s">
        <v>177</v>
      </c>
      <c r="BD87" s="2">
        <v>730902.00000000105</v>
      </c>
      <c r="BE87" s="2">
        <v>3763112</v>
      </c>
      <c r="BF87" s="4"/>
      <c r="BG87" s="4"/>
      <c r="BH87" s="4"/>
      <c r="BI87" s="2">
        <v>0</v>
      </c>
      <c r="BJ87" s="2">
        <v>0</v>
      </c>
    </row>
    <row r="88" spans="1:62" ht="58" hidden="1" x14ac:dyDescent="0.35">
      <c r="A88" s="2">
        <v>103456</v>
      </c>
      <c r="B88" s="2">
        <v>86</v>
      </c>
      <c r="C88" s="3" t="s">
        <v>57</v>
      </c>
      <c r="D88" s="3" t="s">
        <v>178</v>
      </c>
      <c r="E88" s="4"/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69</v>
      </c>
      <c r="K88" s="2">
        <v>17160920099</v>
      </c>
      <c r="L88" s="7">
        <f t="shared" si="3"/>
        <v>17160920099</v>
      </c>
      <c r="M88" s="7">
        <f t="shared" si="4"/>
        <v>17160920099</v>
      </c>
      <c r="N88" s="3" t="s">
        <v>179</v>
      </c>
      <c r="O88" s="5" t="s">
        <v>182</v>
      </c>
      <c r="P88" s="3" t="s">
        <v>183</v>
      </c>
      <c r="Q88" s="3" t="s">
        <v>180</v>
      </c>
      <c r="R88" s="2">
        <v>0</v>
      </c>
      <c r="S88" s="3" t="s">
        <v>66</v>
      </c>
      <c r="T88" s="3" t="s">
        <v>168</v>
      </c>
      <c r="U88" s="3" t="s">
        <v>184</v>
      </c>
      <c r="V88" s="3" t="s">
        <v>184</v>
      </c>
      <c r="W88" s="3" t="s">
        <v>184</v>
      </c>
      <c r="X88" s="3" t="s">
        <v>184</v>
      </c>
      <c r="Y88" s="3" t="s">
        <v>66</v>
      </c>
      <c r="Z88" s="3" t="s">
        <v>66</v>
      </c>
      <c r="AA88" s="3" t="s">
        <v>181</v>
      </c>
      <c r="AB88" s="3" t="s">
        <v>170</v>
      </c>
      <c r="AC88" s="2">
        <v>0</v>
      </c>
      <c r="AD88" s="3" t="s">
        <v>171</v>
      </c>
      <c r="AE88" s="3" t="s">
        <v>71</v>
      </c>
      <c r="AF88" s="3" t="s">
        <v>172</v>
      </c>
      <c r="AG88" s="3" t="s">
        <v>173</v>
      </c>
      <c r="AH88" s="3" t="s">
        <v>174</v>
      </c>
      <c r="AI88" s="3" t="s">
        <v>66</v>
      </c>
      <c r="AJ88" s="3" t="s">
        <v>66</v>
      </c>
      <c r="AK88" s="3" t="s">
        <v>175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3" t="s">
        <v>176</v>
      </c>
      <c r="BC88" s="3" t="s">
        <v>177</v>
      </c>
      <c r="BD88" s="2">
        <v>730901</v>
      </c>
      <c r="BE88" s="2">
        <v>3763112</v>
      </c>
      <c r="BF88" s="4"/>
      <c r="BG88" s="4"/>
      <c r="BH88" s="4"/>
      <c r="BI88" s="2">
        <v>0</v>
      </c>
      <c r="BJ88" s="2">
        <v>0</v>
      </c>
    </row>
    <row r="89" spans="1:62" hidden="1" x14ac:dyDescent="0.35">
      <c r="A89" s="2">
        <v>103457</v>
      </c>
      <c r="B89" s="2">
        <v>87</v>
      </c>
      <c r="C89" s="3" t="s">
        <v>57</v>
      </c>
      <c r="D89" s="3" t="s">
        <v>185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63</v>
      </c>
      <c r="K89" s="2">
        <v>17160920097</v>
      </c>
      <c r="L89" s="7">
        <f t="shared" si="3"/>
        <v>17160920099</v>
      </c>
      <c r="M89" s="7">
        <f t="shared" si="4"/>
        <v>17160920100</v>
      </c>
      <c r="N89" s="3" t="s">
        <v>64</v>
      </c>
      <c r="O89" s="5" t="s">
        <v>164</v>
      </c>
      <c r="P89" s="3" t="s">
        <v>66</v>
      </c>
      <c r="Q89" s="3" t="s">
        <v>72</v>
      </c>
      <c r="R89" s="2">
        <v>1</v>
      </c>
      <c r="S89" s="3" t="s">
        <v>73</v>
      </c>
      <c r="T89" s="3" t="s">
        <v>126</v>
      </c>
      <c r="U89" s="3" t="s">
        <v>66</v>
      </c>
      <c r="V89" s="3" t="s">
        <v>66</v>
      </c>
      <c r="W89" s="3" t="s">
        <v>66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66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3" t="s">
        <v>66</v>
      </c>
      <c r="BC89" s="3" t="s">
        <v>66</v>
      </c>
      <c r="BD89" s="2">
        <v>730903</v>
      </c>
      <c r="BE89" s="2">
        <v>3763113</v>
      </c>
      <c r="BF89" s="4"/>
      <c r="BG89" s="4"/>
      <c r="BH89" s="4"/>
      <c r="BI89" s="2">
        <v>0</v>
      </c>
      <c r="BJ89" s="2">
        <v>0</v>
      </c>
    </row>
    <row r="90" spans="1:62" hidden="1" x14ac:dyDescent="0.35">
      <c r="A90" s="2">
        <v>103458</v>
      </c>
      <c r="B90" s="2">
        <v>88</v>
      </c>
      <c r="C90" s="3" t="s">
        <v>57</v>
      </c>
      <c r="D90" s="3" t="s">
        <v>185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69</v>
      </c>
      <c r="K90" s="2">
        <v>17160920100</v>
      </c>
      <c r="L90" s="7">
        <f t="shared" si="3"/>
        <v>17160920100</v>
      </c>
      <c r="M90" s="7">
        <f t="shared" si="4"/>
        <v>17160920100</v>
      </c>
      <c r="N90" s="3" t="s">
        <v>64</v>
      </c>
      <c r="O90" s="5" t="s">
        <v>186</v>
      </c>
      <c r="P90" s="3" t="s">
        <v>71</v>
      </c>
      <c r="Q90" s="3" t="s">
        <v>72</v>
      </c>
      <c r="R90" s="2">
        <v>1</v>
      </c>
      <c r="S90" s="3" t="s">
        <v>73</v>
      </c>
      <c r="T90" s="3" t="s">
        <v>126</v>
      </c>
      <c r="U90" s="3" t="s">
        <v>187</v>
      </c>
      <c r="V90" s="3" t="s">
        <v>187</v>
      </c>
      <c r="W90" s="3" t="s">
        <v>187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3" t="s">
        <v>66</v>
      </c>
      <c r="BC90" s="3" t="s">
        <v>66</v>
      </c>
      <c r="BD90" s="2">
        <v>730877.00000000105</v>
      </c>
      <c r="BE90" s="2">
        <v>3763162</v>
      </c>
      <c r="BF90" s="4"/>
      <c r="BG90" s="4"/>
      <c r="BH90" s="4"/>
      <c r="BI90" s="2">
        <v>0</v>
      </c>
      <c r="BJ90" s="2">
        <v>0</v>
      </c>
    </row>
    <row r="91" spans="1:62" hidden="1" x14ac:dyDescent="0.35">
      <c r="A91" s="2">
        <v>103459</v>
      </c>
      <c r="B91" s="2">
        <v>89</v>
      </c>
      <c r="C91" s="3" t="s">
        <v>57</v>
      </c>
      <c r="D91" s="3" t="s">
        <v>188</v>
      </c>
      <c r="E91" s="4"/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63</v>
      </c>
      <c r="K91" s="2">
        <v>17160920100</v>
      </c>
      <c r="L91" s="7">
        <f t="shared" si="3"/>
        <v>17160920100</v>
      </c>
      <c r="M91" s="7">
        <f t="shared" si="4"/>
        <v>17160920101</v>
      </c>
      <c r="N91" s="3" t="s">
        <v>64</v>
      </c>
      <c r="O91" s="5" t="s">
        <v>186</v>
      </c>
      <c r="P91" s="3" t="s">
        <v>66</v>
      </c>
      <c r="Q91" s="3" t="s">
        <v>72</v>
      </c>
      <c r="R91" s="2">
        <v>1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3" t="s">
        <v>66</v>
      </c>
      <c r="BC91" s="3" t="s">
        <v>66</v>
      </c>
      <c r="BD91" s="2">
        <v>730877.00000000105</v>
      </c>
      <c r="BE91" s="2">
        <v>3763162</v>
      </c>
      <c r="BF91" s="4"/>
      <c r="BG91" s="4"/>
      <c r="BH91" s="4"/>
      <c r="BI91" s="2">
        <v>0</v>
      </c>
      <c r="BJ91" s="2">
        <v>0</v>
      </c>
    </row>
    <row r="92" spans="1:62" ht="58" hidden="1" x14ac:dyDescent="0.35">
      <c r="A92" s="2">
        <v>103460</v>
      </c>
      <c r="B92" s="2">
        <v>90</v>
      </c>
      <c r="C92" s="3" t="s">
        <v>57</v>
      </c>
      <c r="D92" s="3" t="s">
        <v>188</v>
      </c>
      <c r="E92" s="4"/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69</v>
      </c>
      <c r="K92" s="2">
        <v>17160920101</v>
      </c>
      <c r="L92" s="7">
        <f t="shared" si="3"/>
        <v>17160920101</v>
      </c>
      <c r="M92" s="7">
        <f t="shared" si="4"/>
        <v>17160920101</v>
      </c>
      <c r="N92" s="3" t="s">
        <v>64</v>
      </c>
      <c r="O92" s="5" t="s">
        <v>189</v>
      </c>
      <c r="P92" s="3" t="s">
        <v>71</v>
      </c>
      <c r="Q92" s="3" t="s">
        <v>72</v>
      </c>
      <c r="R92" s="2">
        <v>0</v>
      </c>
      <c r="S92" s="3" t="s">
        <v>66</v>
      </c>
      <c r="T92" s="3" t="s">
        <v>168</v>
      </c>
      <c r="U92" s="3" t="s">
        <v>165</v>
      </c>
      <c r="V92" s="3" t="s">
        <v>165</v>
      </c>
      <c r="W92" s="3" t="s">
        <v>165</v>
      </c>
      <c r="X92" s="3" t="s">
        <v>66</v>
      </c>
      <c r="Y92" s="3" t="s">
        <v>66</v>
      </c>
      <c r="Z92" s="3" t="s">
        <v>66</v>
      </c>
      <c r="AA92" s="3" t="s">
        <v>169</v>
      </c>
      <c r="AB92" s="3" t="s">
        <v>190</v>
      </c>
      <c r="AC92" s="2">
        <v>0</v>
      </c>
      <c r="AD92" s="3" t="s">
        <v>191</v>
      </c>
      <c r="AE92" s="3" t="s">
        <v>71</v>
      </c>
      <c r="AF92" s="3" t="s">
        <v>172</v>
      </c>
      <c r="AG92" s="3" t="s">
        <v>173</v>
      </c>
      <c r="AH92" s="3" t="s">
        <v>174</v>
      </c>
      <c r="AI92" s="3" t="s">
        <v>66</v>
      </c>
      <c r="AJ92" s="3" t="s">
        <v>66</v>
      </c>
      <c r="AK92" s="3" t="s">
        <v>175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3" t="s">
        <v>176</v>
      </c>
      <c r="BC92" s="3" t="s">
        <v>192</v>
      </c>
      <c r="BD92" s="2">
        <v>730876.00000000198</v>
      </c>
      <c r="BE92" s="2">
        <v>3763163</v>
      </c>
      <c r="BF92" s="4"/>
      <c r="BG92" s="4"/>
      <c r="BH92" s="4"/>
      <c r="BI92" s="2">
        <v>0</v>
      </c>
      <c r="BJ92" s="2">
        <v>0</v>
      </c>
    </row>
    <row r="93" spans="1:62" ht="58" hidden="1" x14ac:dyDescent="0.35">
      <c r="A93" s="2">
        <v>103461</v>
      </c>
      <c r="B93" s="2">
        <v>91</v>
      </c>
      <c r="C93" s="3" t="s">
        <v>57</v>
      </c>
      <c r="D93" s="3" t="s">
        <v>193</v>
      </c>
      <c r="E93" s="4"/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63</v>
      </c>
      <c r="K93" s="2">
        <v>17160920101</v>
      </c>
      <c r="L93" s="7">
        <f t="shared" si="3"/>
        <v>17160920101</v>
      </c>
      <c r="M93" s="7">
        <f t="shared" si="4"/>
        <v>17160920102</v>
      </c>
      <c r="N93" s="3" t="s">
        <v>179</v>
      </c>
      <c r="O93" s="5" t="s">
        <v>189</v>
      </c>
      <c r="P93" s="3" t="s">
        <v>66</v>
      </c>
      <c r="Q93" s="3" t="s">
        <v>180</v>
      </c>
      <c r="R93" s="2">
        <v>0</v>
      </c>
      <c r="S93" s="3" t="s">
        <v>66</v>
      </c>
      <c r="T93" s="3" t="s">
        <v>168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181</v>
      </c>
      <c r="AB93" s="3" t="s">
        <v>190</v>
      </c>
      <c r="AC93" s="2">
        <v>0</v>
      </c>
      <c r="AD93" s="3" t="s">
        <v>191</v>
      </c>
      <c r="AE93" s="3" t="s">
        <v>71</v>
      </c>
      <c r="AF93" s="3" t="s">
        <v>172</v>
      </c>
      <c r="AG93" s="3" t="s">
        <v>173</v>
      </c>
      <c r="AH93" s="3" t="s">
        <v>174</v>
      </c>
      <c r="AI93" s="3" t="s">
        <v>66</v>
      </c>
      <c r="AJ93" s="3" t="s">
        <v>66</v>
      </c>
      <c r="AK93" s="3" t="s">
        <v>175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3" t="s">
        <v>176</v>
      </c>
      <c r="BC93" s="3" t="s">
        <v>192</v>
      </c>
      <c r="BD93" s="2">
        <v>730876.00000000198</v>
      </c>
      <c r="BE93" s="2">
        <v>3763163</v>
      </c>
      <c r="BF93" s="4"/>
      <c r="BG93" s="4"/>
      <c r="BH93" s="4"/>
      <c r="BI93" s="2">
        <v>0</v>
      </c>
      <c r="BJ93" s="2">
        <v>0</v>
      </c>
    </row>
    <row r="94" spans="1:62" ht="58" hidden="1" x14ac:dyDescent="0.35">
      <c r="A94" s="2">
        <v>103462</v>
      </c>
      <c r="B94" s="2">
        <v>92</v>
      </c>
      <c r="C94" s="3" t="s">
        <v>57</v>
      </c>
      <c r="D94" s="3" t="s">
        <v>193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17160920102</v>
      </c>
      <c r="L94" s="7">
        <f t="shared" si="3"/>
        <v>17160920102</v>
      </c>
      <c r="M94" s="7">
        <f t="shared" si="4"/>
        <v>17160920102</v>
      </c>
      <c r="N94" s="3" t="s">
        <v>179</v>
      </c>
      <c r="O94" s="5" t="s">
        <v>194</v>
      </c>
      <c r="P94" s="3" t="s">
        <v>183</v>
      </c>
      <c r="Q94" s="3" t="s">
        <v>180</v>
      </c>
      <c r="R94" s="2">
        <v>0</v>
      </c>
      <c r="S94" s="3" t="s">
        <v>66</v>
      </c>
      <c r="T94" s="3" t="s">
        <v>168</v>
      </c>
      <c r="U94" s="3" t="s">
        <v>195</v>
      </c>
      <c r="V94" s="3" t="s">
        <v>195</v>
      </c>
      <c r="W94" s="3" t="s">
        <v>195</v>
      </c>
      <c r="X94" s="3" t="s">
        <v>195</v>
      </c>
      <c r="Y94" s="3" t="s">
        <v>66</v>
      </c>
      <c r="Z94" s="3" t="s">
        <v>66</v>
      </c>
      <c r="AA94" s="3" t="s">
        <v>181</v>
      </c>
      <c r="AB94" s="3" t="s">
        <v>190</v>
      </c>
      <c r="AC94" s="2">
        <v>0</v>
      </c>
      <c r="AD94" s="3" t="s">
        <v>191</v>
      </c>
      <c r="AE94" s="3" t="s">
        <v>71</v>
      </c>
      <c r="AF94" s="3" t="s">
        <v>172</v>
      </c>
      <c r="AG94" s="3" t="s">
        <v>173</v>
      </c>
      <c r="AH94" s="3" t="s">
        <v>174</v>
      </c>
      <c r="AI94" s="3" t="s">
        <v>66</v>
      </c>
      <c r="AJ94" s="3" t="s">
        <v>66</v>
      </c>
      <c r="AK94" s="3" t="s">
        <v>175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3" t="s">
        <v>176</v>
      </c>
      <c r="BC94" s="3" t="s">
        <v>192</v>
      </c>
      <c r="BD94" s="2">
        <v>730875</v>
      </c>
      <c r="BE94" s="2">
        <v>3763165</v>
      </c>
      <c r="BF94" s="4"/>
      <c r="BG94" s="4"/>
      <c r="BH94" s="4"/>
      <c r="BI94" s="2">
        <v>0</v>
      </c>
      <c r="BJ94" s="2">
        <v>0</v>
      </c>
    </row>
    <row r="95" spans="1:62" hidden="1" x14ac:dyDescent="0.35">
      <c r="A95" s="2">
        <v>103463</v>
      </c>
      <c r="B95" s="2">
        <v>93</v>
      </c>
      <c r="C95" s="3" t="s">
        <v>57</v>
      </c>
      <c r="D95" s="3" t="s">
        <v>196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17160920102</v>
      </c>
      <c r="M95" s="7">
        <f t="shared" si="4"/>
        <v>17160920103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1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3" t="s">
        <v>66</v>
      </c>
      <c r="BC95" s="3" t="s">
        <v>66</v>
      </c>
      <c r="BD95" s="2">
        <v>730903</v>
      </c>
      <c r="BE95" s="2">
        <v>3763113</v>
      </c>
      <c r="BF95" s="4"/>
      <c r="BG95" s="4"/>
      <c r="BH95" s="4"/>
      <c r="BI95" s="2">
        <v>0</v>
      </c>
      <c r="BJ95" s="2">
        <v>0</v>
      </c>
    </row>
    <row r="96" spans="1:62" hidden="1" x14ac:dyDescent="0.35">
      <c r="A96" s="2">
        <v>103464</v>
      </c>
      <c r="B96" s="2">
        <v>94</v>
      </c>
      <c r="C96" s="3" t="s">
        <v>57</v>
      </c>
      <c r="D96" s="3" t="s">
        <v>196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17160920103</v>
      </c>
      <c r="L96" s="7">
        <f t="shared" si="3"/>
        <v>17160920103</v>
      </c>
      <c r="M96" s="7">
        <f t="shared" si="4"/>
        <v>17160920103</v>
      </c>
      <c r="N96" s="3" t="s">
        <v>64</v>
      </c>
      <c r="O96" s="5" t="s">
        <v>197</v>
      </c>
      <c r="P96" s="3" t="s">
        <v>71</v>
      </c>
      <c r="Q96" s="3" t="s">
        <v>72</v>
      </c>
      <c r="R96" s="2">
        <v>2</v>
      </c>
      <c r="S96" s="3" t="s">
        <v>73</v>
      </c>
      <c r="T96" s="3" t="s">
        <v>126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76</v>
      </c>
      <c r="AB96" s="3" t="s">
        <v>66</v>
      </c>
      <c r="AC96" s="2">
        <v>0</v>
      </c>
      <c r="AD96" s="3" t="s">
        <v>68</v>
      </c>
      <c r="AE96" s="3" t="s">
        <v>66</v>
      </c>
      <c r="AF96" s="3" t="s">
        <v>66</v>
      </c>
      <c r="AG96" s="3" t="s">
        <v>66</v>
      </c>
      <c r="AH96" s="3" t="s">
        <v>66</v>
      </c>
      <c r="AI96" s="3" t="s">
        <v>66</v>
      </c>
      <c r="AJ96" s="3" t="s">
        <v>66</v>
      </c>
      <c r="AK96" s="3" t="s">
        <v>66</v>
      </c>
      <c r="AL96" s="3" t="s">
        <v>66</v>
      </c>
      <c r="AM96" s="3" t="s">
        <v>66</v>
      </c>
      <c r="AN96" s="3" t="s">
        <v>77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3" t="s">
        <v>66</v>
      </c>
      <c r="BC96" s="3" t="s">
        <v>66</v>
      </c>
      <c r="BD96" s="2">
        <v>730889.00000000198</v>
      </c>
      <c r="BE96" s="2">
        <v>3763105</v>
      </c>
      <c r="BF96" s="4"/>
      <c r="BG96" s="4"/>
      <c r="BH96" s="4"/>
      <c r="BI96" s="2">
        <v>0</v>
      </c>
      <c r="BJ96" s="2">
        <v>0</v>
      </c>
    </row>
    <row r="97" spans="1:62" hidden="1" x14ac:dyDescent="0.35">
      <c r="A97" s="2">
        <v>103465</v>
      </c>
      <c r="B97" s="2">
        <v>95</v>
      </c>
      <c r="C97" s="3" t="s">
        <v>57</v>
      </c>
      <c r="D97" s="3" t="s">
        <v>198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17160920103</v>
      </c>
      <c r="L97" s="7">
        <f t="shared" si="3"/>
        <v>17160920103</v>
      </c>
      <c r="M97" s="7">
        <f t="shared" si="4"/>
        <v>17160920105</v>
      </c>
      <c r="N97" s="3" t="s">
        <v>64</v>
      </c>
      <c r="O97" s="5" t="s">
        <v>197</v>
      </c>
      <c r="P97" s="3" t="s">
        <v>66</v>
      </c>
      <c r="Q97" s="3" t="s">
        <v>72</v>
      </c>
      <c r="R97" s="2">
        <v>2</v>
      </c>
      <c r="S97" s="3" t="s">
        <v>73</v>
      </c>
      <c r="T97" s="3" t="s">
        <v>126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76</v>
      </c>
      <c r="AB97" s="3" t="s">
        <v>66</v>
      </c>
      <c r="AC97" s="2">
        <v>0</v>
      </c>
      <c r="AD97" s="3" t="s">
        <v>68</v>
      </c>
      <c r="AE97" s="3" t="s">
        <v>66</v>
      </c>
      <c r="AF97" s="3" t="s">
        <v>66</v>
      </c>
      <c r="AG97" s="3" t="s">
        <v>66</v>
      </c>
      <c r="AH97" s="3" t="s">
        <v>66</v>
      </c>
      <c r="AI97" s="3" t="s">
        <v>66</v>
      </c>
      <c r="AJ97" s="3" t="s">
        <v>66</v>
      </c>
      <c r="AK97" s="3" t="s">
        <v>66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3" t="s">
        <v>66</v>
      </c>
      <c r="BC97" s="3" t="s">
        <v>66</v>
      </c>
      <c r="BD97" s="2">
        <v>730889.00000000198</v>
      </c>
      <c r="BE97" s="2">
        <v>3763105</v>
      </c>
      <c r="BF97" s="4"/>
      <c r="BG97" s="4"/>
      <c r="BH97" s="4"/>
      <c r="BI97" s="2">
        <v>0</v>
      </c>
      <c r="BJ97" s="2">
        <v>0</v>
      </c>
    </row>
    <row r="98" spans="1:62" hidden="1" x14ac:dyDescent="0.35">
      <c r="A98" s="2">
        <v>103466</v>
      </c>
      <c r="B98" s="2">
        <v>96</v>
      </c>
      <c r="C98" s="3" t="s">
        <v>57</v>
      </c>
      <c r="D98" s="3" t="s">
        <v>198</v>
      </c>
      <c r="E98" s="2">
        <v>0</v>
      </c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66</v>
      </c>
      <c r="K98" s="2">
        <v>17160920104</v>
      </c>
      <c r="L98" s="7">
        <f t="shared" si="3"/>
        <v>17160920103</v>
      </c>
      <c r="M98" s="7">
        <f t="shared" si="4"/>
        <v>17160920105</v>
      </c>
      <c r="N98" s="3" t="s">
        <v>64</v>
      </c>
      <c r="O98" s="5" t="s">
        <v>199</v>
      </c>
      <c r="P98" s="3" t="s">
        <v>66</v>
      </c>
      <c r="Q98" s="3" t="s">
        <v>72</v>
      </c>
      <c r="R98" s="2">
        <v>1</v>
      </c>
      <c r="S98" s="3" t="s">
        <v>73</v>
      </c>
      <c r="T98" s="3" t="s">
        <v>126</v>
      </c>
      <c r="U98" s="3" t="s">
        <v>66</v>
      </c>
      <c r="V98" s="3" t="s">
        <v>66</v>
      </c>
      <c r="W98" s="3" t="s">
        <v>66</v>
      </c>
      <c r="X98" s="3" t="s">
        <v>66</v>
      </c>
      <c r="Y98" s="3" t="s">
        <v>66</v>
      </c>
      <c r="Z98" s="3" t="s">
        <v>66</v>
      </c>
      <c r="AA98" s="3" t="s">
        <v>76</v>
      </c>
      <c r="AB98" s="3" t="s">
        <v>66</v>
      </c>
      <c r="AC98" s="2">
        <v>0</v>
      </c>
      <c r="AD98" s="3" t="s">
        <v>68</v>
      </c>
      <c r="AE98" s="3" t="s">
        <v>66</v>
      </c>
      <c r="AF98" s="3" t="s">
        <v>66</v>
      </c>
      <c r="AG98" s="3" t="s">
        <v>66</v>
      </c>
      <c r="AH98" s="3" t="s">
        <v>66</v>
      </c>
      <c r="AI98" s="3" t="s">
        <v>66</v>
      </c>
      <c r="AJ98" s="3" t="s">
        <v>66</v>
      </c>
      <c r="AK98" s="3" t="s">
        <v>66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3" t="s">
        <v>66</v>
      </c>
      <c r="BC98" s="3" t="s">
        <v>66</v>
      </c>
      <c r="BD98" s="2">
        <v>730860</v>
      </c>
      <c r="BE98" s="2">
        <v>3763128</v>
      </c>
      <c r="BF98" s="4"/>
      <c r="BG98" s="4"/>
      <c r="BH98" s="4"/>
      <c r="BI98" s="2">
        <v>0</v>
      </c>
      <c r="BJ98" s="2">
        <v>0</v>
      </c>
    </row>
    <row r="99" spans="1:62" hidden="1" x14ac:dyDescent="0.35">
      <c r="A99" s="2">
        <v>103467</v>
      </c>
      <c r="B99" s="2">
        <v>97</v>
      </c>
      <c r="C99" s="3" t="s">
        <v>57</v>
      </c>
      <c r="D99" s="3" t="s">
        <v>198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69</v>
      </c>
      <c r="K99" s="2">
        <v>17160920105</v>
      </c>
      <c r="L99" s="7">
        <f t="shared" si="3"/>
        <v>17160920105</v>
      </c>
      <c r="M99" s="7">
        <f t="shared" si="4"/>
        <v>17160920105</v>
      </c>
      <c r="N99" s="3" t="s">
        <v>64</v>
      </c>
      <c r="O99" s="5" t="s">
        <v>200</v>
      </c>
      <c r="P99" s="3" t="s">
        <v>71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165</v>
      </c>
      <c r="V99" s="3" t="s">
        <v>165</v>
      </c>
      <c r="W99" s="3" t="s">
        <v>165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77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3" t="s">
        <v>66</v>
      </c>
      <c r="BC99" s="3" t="s">
        <v>66</v>
      </c>
      <c r="BD99" s="2">
        <v>730825.00000000198</v>
      </c>
      <c r="BE99" s="2">
        <v>3763160</v>
      </c>
      <c r="BF99" s="4"/>
      <c r="BG99" s="4"/>
      <c r="BH99" s="4"/>
      <c r="BI99" s="2">
        <v>0</v>
      </c>
      <c r="BJ99" s="2">
        <v>0</v>
      </c>
    </row>
    <row r="100" spans="1:62" hidden="1" x14ac:dyDescent="0.35">
      <c r="A100" s="2">
        <v>103468</v>
      </c>
      <c r="B100" s="2">
        <v>98</v>
      </c>
      <c r="C100" s="3" t="s">
        <v>57</v>
      </c>
      <c r="D100" s="3" t="s">
        <v>201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63</v>
      </c>
      <c r="K100" s="2">
        <v>17160920105</v>
      </c>
      <c r="L100" s="7">
        <f t="shared" si="3"/>
        <v>17160920105</v>
      </c>
      <c r="M100" s="7">
        <f t="shared" si="4"/>
        <v>17160920106</v>
      </c>
      <c r="N100" s="3" t="s">
        <v>64</v>
      </c>
      <c r="O100" s="5" t="s">
        <v>200</v>
      </c>
      <c r="P100" s="3" t="s">
        <v>66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66</v>
      </c>
      <c r="V100" s="3" t="s">
        <v>66</v>
      </c>
      <c r="W100" s="3" t="s">
        <v>66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3" t="s">
        <v>66</v>
      </c>
      <c r="BC100" s="3" t="s">
        <v>66</v>
      </c>
      <c r="BD100" s="2">
        <v>730825.00000000198</v>
      </c>
      <c r="BE100" s="2">
        <v>3763160</v>
      </c>
      <c r="BF100" s="4"/>
      <c r="BG100" s="4"/>
      <c r="BH100" s="4"/>
      <c r="BI100" s="2">
        <v>0</v>
      </c>
      <c r="BJ100" s="2">
        <v>0</v>
      </c>
    </row>
    <row r="101" spans="1:62" ht="58" hidden="1" x14ac:dyDescent="0.35">
      <c r="A101" s="2">
        <v>103469</v>
      </c>
      <c r="B101" s="2">
        <v>99</v>
      </c>
      <c r="C101" s="3" t="s">
        <v>57</v>
      </c>
      <c r="D101" s="3" t="s">
        <v>201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69</v>
      </c>
      <c r="K101" s="2">
        <v>17160920106</v>
      </c>
      <c r="L101" s="7">
        <f t="shared" si="3"/>
        <v>17160920106</v>
      </c>
      <c r="M101" s="7">
        <f t="shared" si="4"/>
        <v>17160920106</v>
      </c>
      <c r="N101" s="3" t="s">
        <v>64</v>
      </c>
      <c r="O101" s="5" t="s">
        <v>202</v>
      </c>
      <c r="P101" s="3" t="s">
        <v>71</v>
      </c>
      <c r="Q101" s="3" t="s">
        <v>72</v>
      </c>
      <c r="R101" s="2">
        <v>0</v>
      </c>
      <c r="S101" s="3" t="s">
        <v>66</v>
      </c>
      <c r="T101" s="3" t="s">
        <v>168</v>
      </c>
      <c r="U101" s="3" t="s">
        <v>165</v>
      </c>
      <c r="V101" s="3" t="s">
        <v>165</v>
      </c>
      <c r="W101" s="3" t="s">
        <v>165</v>
      </c>
      <c r="X101" s="3" t="s">
        <v>66</v>
      </c>
      <c r="Y101" s="3" t="s">
        <v>66</v>
      </c>
      <c r="Z101" s="3" t="s">
        <v>66</v>
      </c>
      <c r="AA101" s="3" t="s">
        <v>169</v>
      </c>
      <c r="AB101" s="3" t="s">
        <v>203</v>
      </c>
      <c r="AC101" s="2">
        <v>0</v>
      </c>
      <c r="AD101" s="3" t="s">
        <v>191</v>
      </c>
      <c r="AE101" s="3" t="s">
        <v>71</v>
      </c>
      <c r="AF101" s="3" t="s">
        <v>172</v>
      </c>
      <c r="AG101" s="3" t="s">
        <v>173</v>
      </c>
      <c r="AH101" s="3" t="s">
        <v>204</v>
      </c>
      <c r="AI101" s="3" t="s">
        <v>66</v>
      </c>
      <c r="AJ101" s="3" t="s">
        <v>66</v>
      </c>
      <c r="AK101" s="3" t="s">
        <v>205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3" t="s">
        <v>206</v>
      </c>
      <c r="BC101" s="3" t="s">
        <v>207</v>
      </c>
      <c r="BD101" s="2">
        <v>730825.00000000198</v>
      </c>
      <c r="BE101" s="2">
        <v>3763158</v>
      </c>
      <c r="BF101" s="4"/>
      <c r="BG101" s="4"/>
      <c r="BH101" s="4"/>
      <c r="BI101" s="2">
        <v>0</v>
      </c>
      <c r="BJ101" s="2">
        <v>0</v>
      </c>
    </row>
    <row r="102" spans="1:62" ht="58" hidden="1" x14ac:dyDescent="0.35">
      <c r="A102" s="2">
        <v>103470</v>
      </c>
      <c r="B102" s="2">
        <v>100</v>
      </c>
      <c r="C102" s="3" t="s">
        <v>57</v>
      </c>
      <c r="D102" s="3" t="s">
        <v>208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63</v>
      </c>
      <c r="K102" s="2">
        <v>17160920106</v>
      </c>
      <c r="L102" s="7">
        <f t="shared" si="3"/>
        <v>17160920106</v>
      </c>
      <c r="M102" s="7">
        <f t="shared" si="4"/>
        <v>17160920107</v>
      </c>
      <c r="N102" s="3" t="s">
        <v>179</v>
      </c>
      <c r="O102" s="5" t="s">
        <v>202</v>
      </c>
      <c r="P102" s="3" t="s">
        <v>66</v>
      </c>
      <c r="Q102" s="3" t="s">
        <v>180</v>
      </c>
      <c r="R102" s="2">
        <v>0</v>
      </c>
      <c r="S102" s="3" t="s">
        <v>66</v>
      </c>
      <c r="T102" s="3" t="s">
        <v>168</v>
      </c>
      <c r="U102" s="3" t="s">
        <v>66</v>
      </c>
      <c r="V102" s="3" t="s">
        <v>66</v>
      </c>
      <c r="W102" s="3" t="s">
        <v>66</v>
      </c>
      <c r="X102" s="3" t="s">
        <v>66</v>
      </c>
      <c r="Y102" s="3" t="s">
        <v>66</v>
      </c>
      <c r="Z102" s="3" t="s">
        <v>66</v>
      </c>
      <c r="AA102" s="3" t="s">
        <v>181</v>
      </c>
      <c r="AB102" s="3" t="s">
        <v>203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204</v>
      </c>
      <c r="AI102" s="3" t="s">
        <v>66</v>
      </c>
      <c r="AJ102" s="3" t="s">
        <v>66</v>
      </c>
      <c r="AK102" s="3" t="s">
        <v>205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3" t="s">
        <v>206</v>
      </c>
      <c r="BC102" s="3" t="s">
        <v>207</v>
      </c>
      <c r="BD102" s="2">
        <v>730825.00000000198</v>
      </c>
      <c r="BE102" s="2">
        <v>3763158</v>
      </c>
      <c r="BF102" s="4"/>
      <c r="BG102" s="4"/>
      <c r="BH102" s="4"/>
      <c r="BI102" s="2">
        <v>0</v>
      </c>
      <c r="BJ102" s="2">
        <v>0</v>
      </c>
    </row>
    <row r="103" spans="1:62" ht="58" hidden="1" x14ac:dyDescent="0.35">
      <c r="A103" s="2">
        <v>103471</v>
      </c>
      <c r="B103" s="2">
        <v>101</v>
      </c>
      <c r="C103" s="3" t="s">
        <v>57</v>
      </c>
      <c r="D103" s="3" t="s">
        <v>208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69</v>
      </c>
      <c r="K103" s="2">
        <v>17160920107</v>
      </c>
      <c r="L103" s="7">
        <f t="shared" si="3"/>
        <v>17160920107</v>
      </c>
      <c r="M103" s="7">
        <f t="shared" si="4"/>
        <v>17160920107</v>
      </c>
      <c r="N103" s="3" t="s">
        <v>179</v>
      </c>
      <c r="O103" s="5" t="s">
        <v>209</v>
      </c>
      <c r="P103" s="3" t="s">
        <v>183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195</v>
      </c>
      <c r="V103" s="3" t="s">
        <v>195</v>
      </c>
      <c r="W103" s="3" t="s">
        <v>195</v>
      </c>
      <c r="X103" s="3" t="s">
        <v>195</v>
      </c>
      <c r="Y103" s="3" t="s">
        <v>66</v>
      </c>
      <c r="Z103" s="3" t="s">
        <v>66</v>
      </c>
      <c r="AA103" s="3" t="s">
        <v>181</v>
      </c>
      <c r="AB103" s="3" t="s">
        <v>203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204</v>
      </c>
      <c r="AI103" s="3" t="s">
        <v>66</v>
      </c>
      <c r="AJ103" s="3" t="s">
        <v>66</v>
      </c>
      <c r="AK103" s="3" t="s">
        <v>205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3" t="s">
        <v>206</v>
      </c>
      <c r="BC103" s="3" t="s">
        <v>207</v>
      </c>
      <c r="BD103" s="2">
        <v>730826.00000000105</v>
      </c>
      <c r="BE103" s="2">
        <v>3763157</v>
      </c>
      <c r="BF103" s="4"/>
      <c r="BG103" s="4"/>
      <c r="BH103" s="4"/>
      <c r="BI103" s="2">
        <v>0</v>
      </c>
      <c r="BJ103" s="2">
        <v>0</v>
      </c>
    </row>
    <row r="104" spans="1:62" hidden="1" x14ac:dyDescent="0.35">
      <c r="A104" s="2">
        <v>103472</v>
      </c>
      <c r="B104" s="2">
        <v>102</v>
      </c>
      <c r="C104" s="3" t="s">
        <v>57</v>
      </c>
      <c r="D104" s="3" t="s">
        <v>210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63</v>
      </c>
      <c r="K104" s="2">
        <v>17160920103</v>
      </c>
      <c r="L104" s="7">
        <f t="shared" si="3"/>
        <v>17160920107</v>
      </c>
      <c r="M104" s="7">
        <f t="shared" si="4"/>
        <v>17160920109</v>
      </c>
      <c r="N104" s="3" t="s">
        <v>64</v>
      </c>
      <c r="O104" s="5" t="s">
        <v>197</v>
      </c>
      <c r="P104" s="3" t="s">
        <v>66</v>
      </c>
      <c r="Q104" s="3" t="s">
        <v>72</v>
      </c>
      <c r="R104" s="2">
        <v>2</v>
      </c>
      <c r="S104" s="3" t="s">
        <v>73</v>
      </c>
      <c r="T104" s="3" t="s">
        <v>84</v>
      </c>
      <c r="U104" s="3" t="s">
        <v>66</v>
      </c>
      <c r="V104" s="3" t="s">
        <v>66</v>
      </c>
      <c r="W104" s="3" t="s">
        <v>66</v>
      </c>
      <c r="X104" s="3" t="s">
        <v>66</v>
      </c>
      <c r="Y104" s="3" t="s">
        <v>66</v>
      </c>
      <c r="Z104" s="3" t="s">
        <v>66</v>
      </c>
      <c r="AA104" s="3" t="s">
        <v>76</v>
      </c>
      <c r="AB104" s="3" t="s">
        <v>66</v>
      </c>
      <c r="AC104" s="2">
        <v>0</v>
      </c>
      <c r="AD104" s="3" t="s">
        <v>68</v>
      </c>
      <c r="AE104" s="3" t="s">
        <v>66</v>
      </c>
      <c r="AF104" s="3" t="s">
        <v>66</v>
      </c>
      <c r="AG104" s="3" t="s">
        <v>66</v>
      </c>
      <c r="AH104" s="3" t="s">
        <v>66</v>
      </c>
      <c r="AI104" s="3" t="s">
        <v>66</v>
      </c>
      <c r="AJ104" s="3" t="s">
        <v>66</v>
      </c>
      <c r="AK104" s="3" t="s">
        <v>66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3" t="s">
        <v>66</v>
      </c>
      <c r="BC104" s="3" t="s">
        <v>66</v>
      </c>
      <c r="BD104" s="2">
        <v>730889.00000000198</v>
      </c>
      <c r="BE104" s="2">
        <v>3763105</v>
      </c>
      <c r="BF104" s="4"/>
      <c r="BG104" s="4"/>
      <c r="BH104" s="4"/>
      <c r="BI104" s="2">
        <v>0</v>
      </c>
      <c r="BJ104" s="2">
        <v>0</v>
      </c>
    </row>
    <row r="105" spans="1:62" hidden="1" x14ac:dyDescent="0.35">
      <c r="A105" s="2">
        <v>103473</v>
      </c>
      <c r="B105" s="2">
        <v>103</v>
      </c>
      <c r="C105" s="3" t="s">
        <v>57</v>
      </c>
      <c r="D105" s="3" t="s">
        <v>210</v>
      </c>
      <c r="E105" s="2">
        <v>0</v>
      </c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66</v>
      </c>
      <c r="K105" s="2">
        <v>17160920108</v>
      </c>
      <c r="L105" s="7">
        <f t="shared" si="3"/>
        <v>17160920107</v>
      </c>
      <c r="M105" s="7">
        <f t="shared" si="4"/>
        <v>17160920109</v>
      </c>
      <c r="N105" s="3" t="s">
        <v>64</v>
      </c>
      <c r="O105" s="5" t="s">
        <v>211</v>
      </c>
      <c r="P105" s="3" t="s">
        <v>66</v>
      </c>
      <c r="Q105" s="3" t="s">
        <v>72</v>
      </c>
      <c r="R105" s="2">
        <v>2</v>
      </c>
      <c r="S105" s="3" t="s">
        <v>73</v>
      </c>
      <c r="T105" s="3" t="s">
        <v>84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3" t="s">
        <v>66</v>
      </c>
      <c r="BC105" s="3" t="s">
        <v>66</v>
      </c>
      <c r="BD105" s="2">
        <v>730872.00000000105</v>
      </c>
      <c r="BE105" s="2">
        <v>3763072</v>
      </c>
      <c r="BF105" s="4"/>
      <c r="BG105" s="4"/>
      <c r="BH105" s="4"/>
      <c r="BI105" s="2">
        <v>0</v>
      </c>
      <c r="BJ105" s="2">
        <v>0</v>
      </c>
    </row>
    <row r="106" spans="1:62" hidden="1" x14ac:dyDescent="0.35">
      <c r="A106" s="2">
        <v>103474</v>
      </c>
      <c r="B106" s="2">
        <v>104</v>
      </c>
      <c r="C106" s="3" t="s">
        <v>57</v>
      </c>
      <c r="D106" s="3" t="s">
        <v>210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17160920109</v>
      </c>
      <c r="L106" s="7">
        <f t="shared" si="3"/>
        <v>17160920109</v>
      </c>
      <c r="M106" s="7">
        <f t="shared" si="4"/>
        <v>17160920109</v>
      </c>
      <c r="N106" s="3" t="s">
        <v>64</v>
      </c>
      <c r="O106" s="5" t="s">
        <v>212</v>
      </c>
      <c r="P106" s="3" t="s">
        <v>71</v>
      </c>
      <c r="Q106" s="3" t="s">
        <v>72</v>
      </c>
      <c r="R106" s="2">
        <v>1</v>
      </c>
      <c r="S106" s="3" t="s">
        <v>73</v>
      </c>
      <c r="T106" s="3" t="s">
        <v>84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87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3" t="s">
        <v>66</v>
      </c>
      <c r="BC106" s="3" t="s">
        <v>66</v>
      </c>
      <c r="BD106" s="2">
        <v>730867.00000000105</v>
      </c>
      <c r="BE106" s="2">
        <v>3763065</v>
      </c>
      <c r="BF106" s="4"/>
      <c r="BG106" s="4"/>
      <c r="BH106" s="4"/>
      <c r="BI106" s="2">
        <v>0</v>
      </c>
      <c r="BJ106" s="2">
        <v>0</v>
      </c>
    </row>
    <row r="107" spans="1:62" hidden="1" x14ac:dyDescent="0.35">
      <c r="A107" s="2">
        <v>103475</v>
      </c>
      <c r="B107" s="2">
        <v>105</v>
      </c>
      <c r="C107" s="3" t="s">
        <v>57</v>
      </c>
      <c r="D107" s="3" t="s">
        <v>213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17160920109</v>
      </c>
      <c r="L107" s="7">
        <f t="shared" si="3"/>
        <v>17160920109</v>
      </c>
      <c r="M107" s="7">
        <f t="shared" si="4"/>
        <v>17160920110</v>
      </c>
      <c r="N107" s="3" t="s">
        <v>64</v>
      </c>
      <c r="O107" s="5" t="s">
        <v>212</v>
      </c>
      <c r="P107" s="3" t="s">
        <v>66</v>
      </c>
      <c r="Q107" s="3" t="s">
        <v>72</v>
      </c>
      <c r="R107" s="2">
        <v>1</v>
      </c>
      <c r="S107" s="3" t="s">
        <v>73</v>
      </c>
      <c r="T107" s="3" t="s">
        <v>84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3" t="s">
        <v>66</v>
      </c>
      <c r="BC107" s="3" t="s">
        <v>66</v>
      </c>
      <c r="BD107" s="2">
        <v>730867.00000000105</v>
      </c>
      <c r="BE107" s="2">
        <v>3763065</v>
      </c>
      <c r="BF107" s="4"/>
      <c r="BG107" s="4"/>
      <c r="BH107" s="4"/>
      <c r="BI107" s="2">
        <v>0</v>
      </c>
      <c r="BJ107" s="2">
        <v>0</v>
      </c>
    </row>
    <row r="108" spans="1:62" ht="58" hidden="1" x14ac:dyDescent="0.35">
      <c r="A108" s="2">
        <v>103476</v>
      </c>
      <c r="B108" s="2">
        <v>106</v>
      </c>
      <c r="C108" s="3" t="s">
        <v>57</v>
      </c>
      <c r="D108" s="3" t="s">
        <v>213</v>
      </c>
      <c r="E108" s="4"/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69</v>
      </c>
      <c r="K108" s="2">
        <v>17160920110</v>
      </c>
      <c r="L108" s="7">
        <f t="shared" si="3"/>
        <v>17160920110</v>
      </c>
      <c r="M108" s="7">
        <f t="shared" si="4"/>
        <v>17160920110</v>
      </c>
      <c r="N108" s="3" t="s">
        <v>64</v>
      </c>
      <c r="O108" s="5" t="s">
        <v>214</v>
      </c>
      <c r="P108" s="3" t="s">
        <v>71</v>
      </c>
      <c r="Q108" s="3" t="s">
        <v>72</v>
      </c>
      <c r="R108" s="2">
        <v>0</v>
      </c>
      <c r="S108" s="3" t="s">
        <v>66</v>
      </c>
      <c r="T108" s="3" t="s">
        <v>168</v>
      </c>
      <c r="U108" s="3" t="s">
        <v>165</v>
      </c>
      <c r="V108" s="3" t="s">
        <v>165</v>
      </c>
      <c r="W108" s="3" t="s">
        <v>165</v>
      </c>
      <c r="X108" s="3" t="s">
        <v>66</v>
      </c>
      <c r="Y108" s="3" t="s">
        <v>66</v>
      </c>
      <c r="Z108" s="3" t="s">
        <v>66</v>
      </c>
      <c r="AA108" s="3" t="s">
        <v>169</v>
      </c>
      <c r="AB108" s="3" t="s">
        <v>215</v>
      </c>
      <c r="AC108" s="2">
        <v>0</v>
      </c>
      <c r="AD108" s="3" t="s">
        <v>171</v>
      </c>
      <c r="AE108" s="3" t="s">
        <v>71</v>
      </c>
      <c r="AF108" s="3" t="s">
        <v>216</v>
      </c>
      <c r="AG108" s="3" t="s">
        <v>173</v>
      </c>
      <c r="AH108" s="3" t="s">
        <v>217</v>
      </c>
      <c r="AI108" s="3" t="s">
        <v>66</v>
      </c>
      <c r="AJ108" s="3" t="s">
        <v>66</v>
      </c>
      <c r="AK108" s="3" t="s">
        <v>205</v>
      </c>
      <c r="AL108" s="3" t="s">
        <v>218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3" t="s">
        <v>219</v>
      </c>
      <c r="BC108" s="3" t="s">
        <v>220</v>
      </c>
      <c r="BD108" s="2">
        <v>730868</v>
      </c>
      <c r="BE108" s="2">
        <v>3763065</v>
      </c>
      <c r="BF108" s="4"/>
      <c r="BG108" s="4"/>
      <c r="BH108" s="4"/>
      <c r="BI108" s="2">
        <v>0</v>
      </c>
      <c r="BJ108" s="2">
        <v>0</v>
      </c>
    </row>
    <row r="109" spans="1:62" ht="58" hidden="1" x14ac:dyDescent="0.35">
      <c r="A109" s="2">
        <v>103477</v>
      </c>
      <c r="B109" s="2">
        <v>107</v>
      </c>
      <c r="C109" s="3" t="s">
        <v>57</v>
      </c>
      <c r="D109" s="3" t="s">
        <v>221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63</v>
      </c>
      <c r="K109" s="2">
        <v>17160920110</v>
      </c>
      <c r="L109" s="7">
        <f t="shared" si="3"/>
        <v>17160920110</v>
      </c>
      <c r="M109" s="7">
        <f t="shared" si="4"/>
        <v>17160920111</v>
      </c>
      <c r="N109" s="3" t="s">
        <v>179</v>
      </c>
      <c r="O109" s="5" t="s">
        <v>214</v>
      </c>
      <c r="P109" s="3" t="s">
        <v>66</v>
      </c>
      <c r="Q109" s="3" t="s">
        <v>180</v>
      </c>
      <c r="R109" s="2">
        <v>0</v>
      </c>
      <c r="S109" s="3" t="s">
        <v>66</v>
      </c>
      <c r="T109" s="3" t="s">
        <v>168</v>
      </c>
      <c r="U109" s="3" t="s">
        <v>66</v>
      </c>
      <c r="V109" s="3" t="s">
        <v>66</v>
      </c>
      <c r="W109" s="3" t="s">
        <v>66</v>
      </c>
      <c r="X109" s="3" t="s">
        <v>66</v>
      </c>
      <c r="Y109" s="3" t="s">
        <v>66</v>
      </c>
      <c r="Z109" s="3" t="s">
        <v>66</v>
      </c>
      <c r="AA109" s="3" t="s">
        <v>181</v>
      </c>
      <c r="AB109" s="3" t="s">
        <v>215</v>
      </c>
      <c r="AC109" s="2">
        <v>0</v>
      </c>
      <c r="AD109" s="3" t="s">
        <v>171</v>
      </c>
      <c r="AE109" s="3" t="s">
        <v>71</v>
      </c>
      <c r="AF109" s="3" t="s">
        <v>216</v>
      </c>
      <c r="AG109" s="3" t="s">
        <v>173</v>
      </c>
      <c r="AH109" s="3" t="s">
        <v>217</v>
      </c>
      <c r="AI109" s="3" t="s">
        <v>66</v>
      </c>
      <c r="AJ109" s="3" t="s">
        <v>66</v>
      </c>
      <c r="AK109" s="3" t="s">
        <v>205</v>
      </c>
      <c r="AL109" s="3" t="s">
        <v>218</v>
      </c>
      <c r="AM109" s="3" t="s">
        <v>66</v>
      </c>
      <c r="AN109" s="3" t="s">
        <v>66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3" t="s">
        <v>219</v>
      </c>
      <c r="BC109" s="3" t="s">
        <v>220</v>
      </c>
      <c r="BD109" s="2">
        <v>730868</v>
      </c>
      <c r="BE109" s="2">
        <v>3763065</v>
      </c>
      <c r="BF109" s="4"/>
      <c r="BG109" s="4"/>
      <c r="BH109" s="4"/>
      <c r="BI109" s="2">
        <v>0</v>
      </c>
      <c r="BJ109" s="2">
        <v>0</v>
      </c>
    </row>
    <row r="110" spans="1:62" ht="58" hidden="1" x14ac:dyDescent="0.35">
      <c r="A110" s="2">
        <v>103478</v>
      </c>
      <c r="B110" s="2">
        <v>108</v>
      </c>
      <c r="C110" s="3" t="s">
        <v>57</v>
      </c>
      <c r="D110" s="3" t="s">
        <v>221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69</v>
      </c>
      <c r="K110" s="2">
        <v>17160920111</v>
      </c>
      <c r="L110" s="7">
        <f t="shared" si="3"/>
        <v>17160920111</v>
      </c>
      <c r="M110" s="7">
        <f t="shared" si="4"/>
        <v>17160920111</v>
      </c>
      <c r="N110" s="3" t="s">
        <v>179</v>
      </c>
      <c r="O110" s="5" t="s">
        <v>222</v>
      </c>
      <c r="P110" s="3" t="s">
        <v>183</v>
      </c>
      <c r="Q110" s="3" t="s">
        <v>180</v>
      </c>
      <c r="R110" s="2">
        <v>0</v>
      </c>
      <c r="S110" s="3" t="s">
        <v>66</v>
      </c>
      <c r="T110" s="3" t="s">
        <v>168</v>
      </c>
      <c r="U110" s="3" t="s">
        <v>223</v>
      </c>
      <c r="V110" s="3" t="s">
        <v>223</v>
      </c>
      <c r="W110" s="3" t="s">
        <v>223</v>
      </c>
      <c r="X110" s="3" t="s">
        <v>223</v>
      </c>
      <c r="Y110" s="3" t="s">
        <v>66</v>
      </c>
      <c r="Z110" s="3" t="s">
        <v>66</v>
      </c>
      <c r="AA110" s="3" t="s">
        <v>181</v>
      </c>
      <c r="AB110" s="3" t="s">
        <v>215</v>
      </c>
      <c r="AC110" s="2">
        <v>0</v>
      </c>
      <c r="AD110" s="3" t="s">
        <v>171</v>
      </c>
      <c r="AE110" s="3" t="s">
        <v>71</v>
      </c>
      <c r="AF110" s="3" t="s">
        <v>216</v>
      </c>
      <c r="AG110" s="3" t="s">
        <v>173</v>
      </c>
      <c r="AH110" s="3" t="s">
        <v>217</v>
      </c>
      <c r="AI110" s="3" t="s">
        <v>66</v>
      </c>
      <c r="AJ110" s="3" t="s">
        <v>66</v>
      </c>
      <c r="AK110" s="3" t="s">
        <v>205</v>
      </c>
      <c r="AL110" s="3" t="s">
        <v>218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3" t="s">
        <v>219</v>
      </c>
      <c r="BC110" s="3" t="s">
        <v>220</v>
      </c>
      <c r="BD110" s="2">
        <v>730870</v>
      </c>
      <c r="BE110" s="2">
        <v>3763065</v>
      </c>
      <c r="BF110" s="4"/>
      <c r="BG110" s="4"/>
      <c r="BH110" s="4"/>
      <c r="BI110" s="2">
        <v>0</v>
      </c>
      <c r="BJ110" s="2">
        <v>0</v>
      </c>
    </row>
    <row r="111" spans="1:62" hidden="1" x14ac:dyDescent="0.35">
      <c r="A111" s="2">
        <v>103479</v>
      </c>
      <c r="B111" s="2">
        <v>109</v>
      </c>
      <c r="C111" s="3" t="s">
        <v>57</v>
      </c>
      <c r="D111" s="3" t="s">
        <v>224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63</v>
      </c>
      <c r="K111" s="2">
        <v>17160920109</v>
      </c>
      <c r="L111" s="7">
        <f t="shared" si="3"/>
        <v>17160920111</v>
      </c>
      <c r="M111" s="7">
        <f t="shared" si="4"/>
        <v>17160920112</v>
      </c>
      <c r="N111" s="3" t="s">
        <v>64</v>
      </c>
      <c r="O111" s="5" t="s">
        <v>212</v>
      </c>
      <c r="P111" s="3" t="s">
        <v>66</v>
      </c>
      <c r="Q111" s="3" t="s">
        <v>72</v>
      </c>
      <c r="R111" s="2">
        <v>1</v>
      </c>
      <c r="S111" s="3" t="s">
        <v>73</v>
      </c>
      <c r="T111" s="3" t="s">
        <v>84</v>
      </c>
      <c r="U111" s="3" t="s">
        <v>66</v>
      </c>
      <c r="V111" s="3" t="s">
        <v>66</v>
      </c>
      <c r="W111" s="3" t="s">
        <v>66</v>
      </c>
      <c r="X111" s="3" t="s">
        <v>66</v>
      </c>
      <c r="Y111" s="3" t="s">
        <v>66</v>
      </c>
      <c r="Z111" s="3" t="s">
        <v>66</v>
      </c>
      <c r="AA111" s="3" t="s">
        <v>76</v>
      </c>
      <c r="AB111" s="3" t="s">
        <v>66</v>
      </c>
      <c r="AC111" s="2">
        <v>0</v>
      </c>
      <c r="AD111" s="3" t="s">
        <v>68</v>
      </c>
      <c r="AE111" s="3" t="s">
        <v>66</v>
      </c>
      <c r="AF111" s="3" t="s">
        <v>66</v>
      </c>
      <c r="AG111" s="3" t="s">
        <v>66</v>
      </c>
      <c r="AH111" s="3" t="s">
        <v>66</v>
      </c>
      <c r="AI111" s="3" t="s">
        <v>66</v>
      </c>
      <c r="AJ111" s="3" t="s">
        <v>66</v>
      </c>
      <c r="AK111" s="3" t="s">
        <v>66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3" t="s">
        <v>66</v>
      </c>
      <c r="BC111" s="3" t="s">
        <v>66</v>
      </c>
      <c r="BD111" s="2">
        <v>730867.00000000105</v>
      </c>
      <c r="BE111" s="2">
        <v>3763065</v>
      </c>
      <c r="BF111" s="4"/>
      <c r="BG111" s="4"/>
      <c r="BH111" s="4"/>
      <c r="BI111" s="2">
        <v>0</v>
      </c>
      <c r="BJ111" s="2">
        <v>0</v>
      </c>
    </row>
    <row r="112" spans="1:62" hidden="1" x14ac:dyDescent="0.35">
      <c r="A112" s="2">
        <v>103480</v>
      </c>
      <c r="B112" s="2">
        <v>110</v>
      </c>
      <c r="C112" s="3" t="s">
        <v>57</v>
      </c>
      <c r="D112" s="3" t="s">
        <v>224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69</v>
      </c>
      <c r="K112" s="2">
        <v>17160920112</v>
      </c>
      <c r="L112" s="7">
        <f t="shared" si="3"/>
        <v>17160920112</v>
      </c>
      <c r="M112" s="7">
        <f t="shared" si="4"/>
        <v>17160920112</v>
      </c>
      <c r="N112" s="3" t="s">
        <v>64</v>
      </c>
      <c r="O112" s="5" t="s">
        <v>225</v>
      </c>
      <c r="P112" s="3" t="s">
        <v>71</v>
      </c>
      <c r="Q112" s="3" t="s">
        <v>72</v>
      </c>
      <c r="R112" s="2">
        <v>2</v>
      </c>
      <c r="S112" s="3" t="s">
        <v>73</v>
      </c>
      <c r="T112" s="3" t="s">
        <v>126</v>
      </c>
      <c r="U112" s="3" t="s">
        <v>165</v>
      </c>
      <c r="V112" s="3" t="s">
        <v>165</v>
      </c>
      <c r="W112" s="3" t="s">
        <v>165</v>
      </c>
      <c r="X112" s="3" t="s">
        <v>66</v>
      </c>
      <c r="Y112" s="3" t="s">
        <v>66</v>
      </c>
      <c r="Z112" s="3" t="s">
        <v>66</v>
      </c>
      <c r="AA112" s="3" t="s">
        <v>76</v>
      </c>
      <c r="AB112" s="3" t="s">
        <v>66</v>
      </c>
      <c r="AC112" s="2">
        <v>0</v>
      </c>
      <c r="AD112" s="3" t="s">
        <v>68</v>
      </c>
      <c r="AE112" s="3" t="s">
        <v>66</v>
      </c>
      <c r="AF112" s="3" t="s">
        <v>66</v>
      </c>
      <c r="AG112" s="3" t="s">
        <v>66</v>
      </c>
      <c r="AH112" s="3" t="s">
        <v>66</v>
      </c>
      <c r="AI112" s="3" t="s">
        <v>66</v>
      </c>
      <c r="AJ112" s="3" t="s">
        <v>66</v>
      </c>
      <c r="AK112" s="3" t="s">
        <v>66</v>
      </c>
      <c r="AL112" s="3" t="s">
        <v>66</v>
      </c>
      <c r="AM112" s="3" t="s">
        <v>66</v>
      </c>
      <c r="AN112" s="3" t="s">
        <v>77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3" t="s">
        <v>66</v>
      </c>
      <c r="BC112" s="3" t="s">
        <v>66</v>
      </c>
      <c r="BD112" s="2">
        <v>730861.00000000105</v>
      </c>
      <c r="BE112" s="2">
        <v>3763013</v>
      </c>
      <c r="BF112" s="4"/>
      <c r="BG112" s="4"/>
      <c r="BH112" s="4"/>
      <c r="BI112" s="2">
        <v>0</v>
      </c>
      <c r="BJ112" s="2">
        <v>0</v>
      </c>
    </row>
    <row r="113" spans="1:62" hidden="1" x14ac:dyDescent="0.35">
      <c r="A113" s="2">
        <v>103481</v>
      </c>
      <c r="B113" s="2">
        <v>111</v>
      </c>
      <c r="C113" s="3" t="s">
        <v>57</v>
      </c>
      <c r="D113" s="3" t="s">
        <v>226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63</v>
      </c>
      <c r="K113" s="2">
        <v>17160920112</v>
      </c>
      <c r="L113" s="7">
        <f t="shared" si="3"/>
        <v>17160920112</v>
      </c>
      <c r="M113" s="7">
        <f t="shared" si="4"/>
        <v>17160920113</v>
      </c>
      <c r="N113" s="3" t="s">
        <v>64</v>
      </c>
      <c r="O113" s="5" t="s">
        <v>225</v>
      </c>
      <c r="P113" s="3" t="s">
        <v>66</v>
      </c>
      <c r="Q113" s="3" t="s">
        <v>72</v>
      </c>
      <c r="R113" s="2">
        <v>2</v>
      </c>
      <c r="S113" s="3" t="s">
        <v>73</v>
      </c>
      <c r="T113" s="3" t="s">
        <v>126</v>
      </c>
      <c r="U113" s="3" t="s">
        <v>66</v>
      </c>
      <c r="V113" s="3" t="s">
        <v>66</v>
      </c>
      <c r="W113" s="3" t="s">
        <v>66</v>
      </c>
      <c r="X113" s="3" t="s">
        <v>66</v>
      </c>
      <c r="Y113" s="3" t="s">
        <v>66</v>
      </c>
      <c r="Z113" s="3" t="s">
        <v>66</v>
      </c>
      <c r="AA113" s="3" t="s">
        <v>76</v>
      </c>
      <c r="AB113" s="3" t="s">
        <v>66</v>
      </c>
      <c r="AC113" s="2">
        <v>0</v>
      </c>
      <c r="AD113" s="3" t="s">
        <v>68</v>
      </c>
      <c r="AE113" s="3" t="s">
        <v>66</v>
      </c>
      <c r="AF113" s="3" t="s">
        <v>66</v>
      </c>
      <c r="AG113" s="3" t="s">
        <v>66</v>
      </c>
      <c r="AH113" s="3" t="s">
        <v>66</v>
      </c>
      <c r="AI113" s="3" t="s">
        <v>66</v>
      </c>
      <c r="AJ113" s="3" t="s">
        <v>66</v>
      </c>
      <c r="AK113" s="3" t="s">
        <v>66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3" t="s">
        <v>66</v>
      </c>
      <c r="BC113" s="3" t="s">
        <v>66</v>
      </c>
      <c r="BD113" s="2">
        <v>730861.00000000105</v>
      </c>
      <c r="BE113" s="2">
        <v>3763013</v>
      </c>
      <c r="BF113" s="4"/>
      <c r="BG113" s="4"/>
      <c r="BH113" s="4"/>
      <c r="BI113" s="2">
        <v>0</v>
      </c>
      <c r="BJ113" s="2">
        <v>0</v>
      </c>
    </row>
    <row r="114" spans="1:62" hidden="1" x14ac:dyDescent="0.35">
      <c r="A114" s="2">
        <v>103482</v>
      </c>
      <c r="B114" s="2">
        <v>112</v>
      </c>
      <c r="C114" s="3" t="s">
        <v>57</v>
      </c>
      <c r="D114" s="3" t="s">
        <v>226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69</v>
      </c>
      <c r="K114" s="2">
        <v>17160920113</v>
      </c>
      <c r="L114" s="7">
        <f t="shared" si="3"/>
        <v>17160920113</v>
      </c>
      <c r="M114" s="7">
        <f t="shared" si="4"/>
        <v>17160920113</v>
      </c>
      <c r="N114" s="3" t="s">
        <v>64</v>
      </c>
      <c r="O114" s="5" t="s">
        <v>227</v>
      </c>
      <c r="P114" s="3" t="s">
        <v>71</v>
      </c>
      <c r="Q114" s="3" t="s">
        <v>72</v>
      </c>
      <c r="R114" s="2">
        <v>1</v>
      </c>
      <c r="S114" s="3" t="s">
        <v>73</v>
      </c>
      <c r="T114" s="3" t="s">
        <v>126</v>
      </c>
      <c r="U114" s="3" t="s">
        <v>165</v>
      </c>
      <c r="V114" s="3" t="s">
        <v>165</v>
      </c>
      <c r="W114" s="3" t="s">
        <v>165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3" t="s">
        <v>66</v>
      </c>
      <c r="BC114" s="3" t="s">
        <v>66</v>
      </c>
      <c r="BD114" s="2">
        <v>730853.00000000198</v>
      </c>
      <c r="BE114" s="2">
        <v>3763007</v>
      </c>
      <c r="BF114" s="4"/>
      <c r="BG114" s="4"/>
      <c r="BH114" s="4"/>
      <c r="BI114" s="2">
        <v>0</v>
      </c>
      <c r="BJ114" s="2">
        <v>0</v>
      </c>
    </row>
    <row r="115" spans="1:62" hidden="1" x14ac:dyDescent="0.35">
      <c r="A115" s="2">
        <v>103483</v>
      </c>
      <c r="B115" s="2">
        <v>113</v>
      </c>
      <c r="C115" s="3" t="s">
        <v>57</v>
      </c>
      <c r="D115" s="3" t="s">
        <v>228</v>
      </c>
      <c r="E115" s="4"/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63</v>
      </c>
      <c r="K115" s="2">
        <v>17160920113</v>
      </c>
      <c r="L115" s="7">
        <f t="shared" si="3"/>
        <v>17160920113</v>
      </c>
      <c r="M115" s="7">
        <f t="shared" si="4"/>
        <v>17160920114</v>
      </c>
      <c r="N115" s="3" t="s">
        <v>64</v>
      </c>
      <c r="O115" s="5" t="s">
        <v>227</v>
      </c>
      <c r="P115" s="3" t="s">
        <v>66</v>
      </c>
      <c r="Q115" s="3" t="s">
        <v>72</v>
      </c>
      <c r="R115" s="2">
        <v>1</v>
      </c>
      <c r="S115" s="3" t="s">
        <v>73</v>
      </c>
      <c r="T115" s="3" t="s">
        <v>126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3" t="s">
        <v>66</v>
      </c>
      <c r="BC115" s="3" t="s">
        <v>66</v>
      </c>
      <c r="BD115" s="2">
        <v>730853.00000000198</v>
      </c>
      <c r="BE115" s="2">
        <v>3763007</v>
      </c>
      <c r="BF115" s="4"/>
      <c r="BG115" s="4"/>
      <c r="BH115" s="4"/>
      <c r="BI115" s="2">
        <v>0</v>
      </c>
      <c r="BJ115" s="2">
        <v>0</v>
      </c>
    </row>
    <row r="116" spans="1:62" ht="58" hidden="1" x14ac:dyDescent="0.35">
      <c r="A116" s="2">
        <v>103484</v>
      </c>
      <c r="B116" s="2">
        <v>114</v>
      </c>
      <c r="C116" s="3" t="s">
        <v>57</v>
      </c>
      <c r="D116" s="3" t="s">
        <v>228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17160920114</v>
      </c>
      <c r="L116" s="7">
        <f t="shared" si="3"/>
        <v>17160920114</v>
      </c>
      <c r="M116" s="7">
        <f t="shared" si="4"/>
        <v>17160920114</v>
      </c>
      <c r="N116" s="3" t="s">
        <v>64</v>
      </c>
      <c r="O116" s="5" t="s">
        <v>229</v>
      </c>
      <c r="P116" s="3" t="s">
        <v>71</v>
      </c>
      <c r="Q116" s="3" t="s">
        <v>72</v>
      </c>
      <c r="R116" s="2">
        <v>0</v>
      </c>
      <c r="S116" s="3" t="s">
        <v>66</v>
      </c>
      <c r="T116" s="3" t="s">
        <v>168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169</v>
      </c>
      <c r="AB116" s="3" t="s">
        <v>230</v>
      </c>
      <c r="AC116" s="2">
        <v>0</v>
      </c>
      <c r="AD116" s="3" t="s">
        <v>191</v>
      </c>
      <c r="AE116" s="3" t="s">
        <v>71</v>
      </c>
      <c r="AF116" s="3" t="s">
        <v>172</v>
      </c>
      <c r="AG116" s="3" t="s">
        <v>173</v>
      </c>
      <c r="AH116" s="3" t="s">
        <v>231</v>
      </c>
      <c r="AI116" s="3" t="s">
        <v>66</v>
      </c>
      <c r="AJ116" s="3" t="s">
        <v>66</v>
      </c>
      <c r="AK116" s="3" t="s">
        <v>175</v>
      </c>
      <c r="AL116" s="3" t="s">
        <v>66</v>
      </c>
      <c r="AM116" s="3" t="s">
        <v>66</v>
      </c>
      <c r="AN116" s="3" t="s">
        <v>66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3" t="s">
        <v>232</v>
      </c>
      <c r="BC116" s="3" t="s">
        <v>233</v>
      </c>
      <c r="BD116" s="2">
        <v>730853.00000000198</v>
      </c>
      <c r="BE116" s="2">
        <v>3763008</v>
      </c>
      <c r="BF116" s="4"/>
      <c r="BG116" s="4"/>
      <c r="BH116" s="4"/>
      <c r="BI116" s="2">
        <v>0</v>
      </c>
      <c r="BJ116" s="2">
        <v>0</v>
      </c>
    </row>
    <row r="117" spans="1:62" ht="58" hidden="1" x14ac:dyDescent="0.35">
      <c r="A117" s="2">
        <v>103485</v>
      </c>
      <c r="B117" s="2">
        <v>115</v>
      </c>
      <c r="C117" s="3" t="s">
        <v>57</v>
      </c>
      <c r="D117" s="3" t="s">
        <v>234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17160920114</v>
      </c>
      <c r="L117" s="7">
        <f t="shared" si="3"/>
        <v>17160920114</v>
      </c>
      <c r="M117" s="7">
        <f t="shared" si="4"/>
        <v>17160920115</v>
      </c>
      <c r="N117" s="3" t="s">
        <v>179</v>
      </c>
      <c r="O117" s="5" t="s">
        <v>229</v>
      </c>
      <c r="P117" s="3" t="s">
        <v>66</v>
      </c>
      <c r="Q117" s="3" t="s">
        <v>180</v>
      </c>
      <c r="R117" s="2">
        <v>0</v>
      </c>
      <c r="S117" s="3" t="s">
        <v>66</v>
      </c>
      <c r="T117" s="3" t="s">
        <v>168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181</v>
      </c>
      <c r="AB117" s="3" t="s">
        <v>230</v>
      </c>
      <c r="AC117" s="2">
        <v>0</v>
      </c>
      <c r="AD117" s="3" t="s">
        <v>191</v>
      </c>
      <c r="AE117" s="3" t="s">
        <v>71</v>
      </c>
      <c r="AF117" s="3" t="s">
        <v>172</v>
      </c>
      <c r="AG117" s="3" t="s">
        <v>173</v>
      </c>
      <c r="AH117" s="3" t="s">
        <v>231</v>
      </c>
      <c r="AI117" s="3" t="s">
        <v>66</v>
      </c>
      <c r="AJ117" s="3" t="s">
        <v>66</v>
      </c>
      <c r="AK117" s="3" t="s">
        <v>175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3" t="s">
        <v>232</v>
      </c>
      <c r="BC117" s="3" t="s">
        <v>233</v>
      </c>
      <c r="BD117" s="2">
        <v>730853.00000000198</v>
      </c>
      <c r="BE117" s="2">
        <v>3763008</v>
      </c>
      <c r="BF117" s="4"/>
      <c r="BG117" s="4"/>
      <c r="BH117" s="4"/>
      <c r="BI117" s="2">
        <v>0</v>
      </c>
      <c r="BJ117" s="2">
        <v>0</v>
      </c>
    </row>
    <row r="118" spans="1:62" ht="58" hidden="1" x14ac:dyDescent="0.35">
      <c r="A118" s="2">
        <v>103486</v>
      </c>
      <c r="B118" s="2">
        <v>116</v>
      </c>
      <c r="C118" s="3" t="s">
        <v>57</v>
      </c>
      <c r="D118" s="3" t="s">
        <v>234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17160920115</v>
      </c>
      <c r="L118" s="7">
        <f t="shared" si="3"/>
        <v>17160920115</v>
      </c>
      <c r="M118" s="7">
        <f t="shared" si="4"/>
        <v>17160920115</v>
      </c>
      <c r="N118" s="3" t="s">
        <v>179</v>
      </c>
      <c r="O118" s="5" t="s">
        <v>235</v>
      </c>
      <c r="P118" s="3" t="s">
        <v>183</v>
      </c>
      <c r="Q118" s="3" t="s">
        <v>180</v>
      </c>
      <c r="R118" s="2">
        <v>0</v>
      </c>
      <c r="S118" s="3" t="s">
        <v>66</v>
      </c>
      <c r="T118" s="3" t="s">
        <v>168</v>
      </c>
      <c r="U118" s="3" t="s">
        <v>195</v>
      </c>
      <c r="V118" s="3" t="s">
        <v>195</v>
      </c>
      <c r="W118" s="3" t="s">
        <v>195</v>
      </c>
      <c r="X118" s="3" t="s">
        <v>195</v>
      </c>
      <c r="Y118" s="3" t="s">
        <v>66</v>
      </c>
      <c r="Z118" s="3" t="s">
        <v>66</v>
      </c>
      <c r="AA118" s="3" t="s">
        <v>181</v>
      </c>
      <c r="AB118" s="3" t="s">
        <v>230</v>
      </c>
      <c r="AC118" s="2">
        <v>0</v>
      </c>
      <c r="AD118" s="3" t="s">
        <v>191</v>
      </c>
      <c r="AE118" s="3" t="s">
        <v>71</v>
      </c>
      <c r="AF118" s="3" t="s">
        <v>172</v>
      </c>
      <c r="AG118" s="3" t="s">
        <v>173</v>
      </c>
      <c r="AH118" s="3" t="s">
        <v>231</v>
      </c>
      <c r="AI118" s="3" t="s">
        <v>66</v>
      </c>
      <c r="AJ118" s="3" t="s">
        <v>66</v>
      </c>
      <c r="AK118" s="3" t="s">
        <v>175</v>
      </c>
      <c r="AL118" s="3" t="s">
        <v>66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3" t="s">
        <v>232</v>
      </c>
      <c r="BC118" s="3" t="s">
        <v>233</v>
      </c>
      <c r="BD118" s="2">
        <v>730853.00000000198</v>
      </c>
      <c r="BE118" s="2">
        <v>3763007</v>
      </c>
      <c r="BF118" s="4"/>
      <c r="BG118" s="4"/>
      <c r="BH118" s="4"/>
      <c r="BI118" s="2">
        <v>0</v>
      </c>
      <c r="BJ118" s="2">
        <v>0</v>
      </c>
    </row>
    <row r="119" spans="1:62" hidden="1" x14ac:dyDescent="0.35">
      <c r="A119" s="2">
        <v>103487</v>
      </c>
      <c r="B119" s="2">
        <v>117</v>
      </c>
      <c r="C119" s="3" t="s">
        <v>57</v>
      </c>
      <c r="D119" s="3" t="s">
        <v>236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17160920113</v>
      </c>
      <c r="L119" s="7">
        <f t="shared" si="3"/>
        <v>17160920115</v>
      </c>
      <c r="M119" s="7">
        <f t="shared" si="4"/>
        <v>17160920119</v>
      </c>
      <c r="N119" s="3" t="s">
        <v>64</v>
      </c>
      <c r="O119" s="5" t="s">
        <v>227</v>
      </c>
      <c r="P119" s="3" t="s">
        <v>66</v>
      </c>
      <c r="Q119" s="3" t="s">
        <v>72</v>
      </c>
      <c r="R119" s="2">
        <v>1</v>
      </c>
      <c r="S119" s="3" t="s">
        <v>73</v>
      </c>
      <c r="T119" s="3" t="s">
        <v>126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76</v>
      </c>
      <c r="AB119" s="3" t="s">
        <v>66</v>
      </c>
      <c r="AC119" s="2">
        <v>0</v>
      </c>
      <c r="AD119" s="3" t="s">
        <v>68</v>
      </c>
      <c r="AE119" s="3" t="s">
        <v>66</v>
      </c>
      <c r="AF119" s="3" t="s">
        <v>66</v>
      </c>
      <c r="AG119" s="3" t="s">
        <v>66</v>
      </c>
      <c r="AH119" s="3" t="s">
        <v>66</v>
      </c>
      <c r="AI119" s="3" t="s">
        <v>66</v>
      </c>
      <c r="AJ119" s="3" t="s">
        <v>66</v>
      </c>
      <c r="AK119" s="3" t="s">
        <v>66</v>
      </c>
      <c r="AL119" s="3" t="s">
        <v>66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3" t="s">
        <v>66</v>
      </c>
      <c r="BC119" s="3" t="s">
        <v>66</v>
      </c>
      <c r="BD119" s="2">
        <v>730853.00000000198</v>
      </c>
      <c r="BE119" s="2">
        <v>3763007</v>
      </c>
      <c r="BF119" s="4"/>
      <c r="BG119" s="4"/>
      <c r="BH119" s="4"/>
      <c r="BI119" s="2">
        <v>0</v>
      </c>
      <c r="BJ119" s="2">
        <v>0</v>
      </c>
    </row>
    <row r="120" spans="1:62" hidden="1" x14ac:dyDescent="0.35">
      <c r="A120" s="2">
        <v>103488</v>
      </c>
      <c r="B120" s="2">
        <v>118</v>
      </c>
      <c r="C120" s="3" t="s">
        <v>57</v>
      </c>
      <c r="D120" s="3" t="s">
        <v>236</v>
      </c>
      <c r="E120" s="2">
        <v>0</v>
      </c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66</v>
      </c>
      <c r="K120" s="2">
        <v>17160920116</v>
      </c>
      <c r="L120" s="7">
        <f t="shared" si="3"/>
        <v>17160920115</v>
      </c>
      <c r="M120" s="7">
        <f t="shared" si="4"/>
        <v>17160920119</v>
      </c>
      <c r="N120" s="3" t="s">
        <v>64</v>
      </c>
      <c r="O120" s="5" t="s">
        <v>237</v>
      </c>
      <c r="P120" s="3" t="s">
        <v>66</v>
      </c>
      <c r="Q120" s="3" t="s">
        <v>72</v>
      </c>
      <c r="R120" s="2">
        <v>2</v>
      </c>
      <c r="S120" s="3" t="s">
        <v>73</v>
      </c>
      <c r="T120" s="3" t="s">
        <v>126</v>
      </c>
      <c r="U120" s="3" t="s">
        <v>66</v>
      </c>
      <c r="V120" s="3" t="s">
        <v>66</v>
      </c>
      <c r="W120" s="3" t="s">
        <v>66</v>
      </c>
      <c r="X120" s="3" t="s">
        <v>66</v>
      </c>
      <c r="Y120" s="3" t="s">
        <v>66</v>
      </c>
      <c r="Z120" s="3" t="s">
        <v>66</v>
      </c>
      <c r="AA120" s="3" t="s">
        <v>76</v>
      </c>
      <c r="AB120" s="3" t="s">
        <v>66</v>
      </c>
      <c r="AC120" s="2">
        <v>0</v>
      </c>
      <c r="AD120" s="3" t="s">
        <v>68</v>
      </c>
      <c r="AE120" s="3" t="s">
        <v>66</v>
      </c>
      <c r="AF120" s="3" t="s">
        <v>66</v>
      </c>
      <c r="AG120" s="3" t="s">
        <v>66</v>
      </c>
      <c r="AH120" s="3" t="s">
        <v>66</v>
      </c>
      <c r="AI120" s="3" t="s">
        <v>66</v>
      </c>
      <c r="AJ120" s="3" t="s">
        <v>66</v>
      </c>
      <c r="AK120" s="3" t="s">
        <v>66</v>
      </c>
      <c r="AL120" s="3" t="s">
        <v>66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3" t="s">
        <v>66</v>
      </c>
      <c r="BC120" s="3" t="s">
        <v>66</v>
      </c>
      <c r="BD120" s="2">
        <v>730840</v>
      </c>
      <c r="BE120" s="2">
        <v>3762973</v>
      </c>
      <c r="BF120" s="4"/>
      <c r="BG120" s="4"/>
      <c r="BH120" s="4"/>
      <c r="BI120" s="2">
        <v>0</v>
      </c>
      <c r="BJ120" s="2">
        <v>0</v>
      </c>
    </row>
    <row r="121" spans="1:62" hidden="1" x14ac:dyDescent="0.35">
      <c r="A121" s="2">
        <v>103489</v>
      </c>
      <c r="B121" s="2">
        <v>119</v>
      </c>
      <c r="C121" s="3" t="s">
        <v>57</v>
      </c>
      <c r="D121" s="3" t="s">
        <v>236</v>
      </c>
      <c r="E121" s="2">
        <v>1</v>
      </c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66</v>
      </c>
      <c r="K121" s="2">
        <v>17160920117</v>
      </c>
      <c r="L121" s="7">
        <f t="shared" si="3"/>
        <v>17160920115</v>
      </c>
      <c r="M121" s="7">
        <f t="shared" si="4"/>
        <v>17160920119</v>
      </c>
      <c r="N121" s="3" t="s">
        <v>64</v>
      </c>
      <c r="O121" s="5" t="s">
        <v>238</v>
      </c>
      <c r="P121" s="3" t="s">
        <v>66</v>
      </c>
      <c r="Q121" s="3" t="s">
        <v>72</v>
      </c>
      <c r="R121" s="2">
        <v>2</v>
      </c>
      <c r="S121" s="3" t="s">
        <v>73</v>
      </c>
      <c r="T121" s="3" t="s">
        <v>126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3" t="s">
        <v>66</v>
      </c>
      <c r="BC121" s="3" t="s">
        <v>66</v>
      </c>
      <c r="BD121" s="2">
        <v>730840</v>
      </c>
      <c r="BE121" s="2">
        <v>3762947</v>
      </c>
      <c r="BF121" s="4"/>
      <c r="BG121" s="4"/>
      <c r="BH121" s="4"/>
      <c r="BI121" s="2">
        <v>0</v>
      </c>
      <c r="BJ121" s="2">
        <v>0</v>
      </c>
    </row>
    <row r="122" spans="1:62" hidden="1" x14ac:dyDescent="0.35">
      <c r="A122" s="2">
        <v>103490</v>
      </c>
      <c r="B122" s="2">
        <v>120</v>
      </c>
      <c r="C122" s="3" t="s">
        <v>57</v>
      </c>
      <c r="D122" s="3" t="s">
        <v>236</v>
      </c>
      <c r="E122" s="2">
        <v>2</v>
      </c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66</v>
      </c>
      <c r="K122" s="2">
        <v>17160920118</v>
      </c>
      <c r="L122" s="7">
        <f t="shared" si="3"/>
        <v>17160920115</v>
      </c>
      <c r="M122" s="7">
        <f t="shared" si="4"/>
        <v>17160920119</v>
      </c>
      <c r="N122" s="3" t="s">
        <v>64</v>
      </c>
      <c r="O122" s="5" t="s">
        <v>239</v>
      </c>
      <c r="P122" s="3" t="s">
        <v>66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66</v>
      </c>
      <c r="V122" s="3" t="s">
        <v>66</v>
      </c>
      <c r="W122" s="3" t="s">
        <v>66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66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3" t="s">
        <v>66</v>
      </c>
      <c r="BC122" s="3" t="s">
        <v>66</v>
      </c>
      <c r="BD122" s="2">
        <v>730831.00000000105</v>
      </c>
      <c r="BE122" s="2">
        <v>3762909</v>
      </c>
      <c r="BF122" s="4"/>
      <c r="BG122" s="4"/>
      <c r="BH122" s="4"/>
      <c r="BI122" s="2">
        <v>0</v>
      </c>
      <c r="BJ122" s="2">
        <v>0</v>
      </c>
    </row>
    <row r="123" spans="1:62" hidden="1" x14ac:dyDescent="0.35">
      <c r="A123" s="2">
        <v>103491</v>
      </c>
      <c r="B123" s="2">
        <v>121</v>
      </c>
      <c r="C123" s="3" t="s">
        <v>57</v>
      </c>
      <c r="D123" s="3" t="s">
        <v>236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69</v>
      </c>
      <c r="K123" s="2">
        <v>17160920119</v>
      </c>
      <c r="L123" s="7">
        <f t="shared" si="3"/>
        <v>17160920119</v>
      </c>
      <c r="M123" s="7">
        <f t="shared" si="4"/>
        <v>17160920119</v>
      </c>
      <c r="N123" s="3" t="s">
        <v>64</v>
      </c>
      <c r="O123" s="5" t="s">
        <v>240</v>
      </c>
      <c r="P123" s="3" t="s">
        <v>71</v>
      </c>
      <c r="Q123" s="3" t="s">
        <v>72</v>
      </c>
      <c r="R123" s="2">
        <v>1</v>
      </c>
      <c r="S123" s="3" t="s">
        <v>73</v>
      </c>
      <c r="T123" s="3" t="s">
        <v>126</v>
      </c>
      <c r="U123" s="3" t="s">
        <v>165</v>
      </c>
      <c r="V123" s="3" t="s">
        <v>165</v>
      </c>
      <c r="W123" s="3" t="s">
        <v>165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77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3" t="s">
        <v>66</v>
      </c>
      <c r="BC123" s="3" t="s">
        <v>66</v>
      </c>
      <c r="BD123" s="2">
        <v>730827</v>
      </c>
      <c r="BE123" s="2">
        <v>3762881</v>
      </c>
      <c r="BF123" s="4"/>
      <c r="BG123" s="4"/>
      <c r="BH123" s="4"/>
      <c r="BI123" s="2">
        <v>0</v>
      </c>
      <c r="BJ123" s="2">
        <v>0</v>
      </c>
    </row>
    <row r="124" spans="1:62" hidden="1" x14ac:dyDescent="0.35">
      <c r="A124" s="2">
        <v>103492</v>
      </c>
      <c r="B124" s="2">
        <v>122</v>
      </c>
      <c r="C124" s="3" t="s">
        <v>57</v>
      </c>
      <c r="D124" s="3" t="s">
        <v>241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63</v>
      </c>
      <c r="K124" s="2">
        <v>17160920119</v>
      </c>
      <c r="L124" s="7">
        <f t="shared" si="3"/>
        <v>17160920119</v>
      </c>
      <c r="M124" s="7">
        <f t="shared" si="4"/>
        <v>17160920120</v>
      </c>
      <c r="N124" s="3" t="s">
        <v>64</v>
      </c>
      <c r="O124" s="5" t="s">
        <v>240</v>
      </c>
      <c r="P124" s="3" t="s">
        <v>66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66</v>
      </c>
      <c r="V124" s="3" t="s">
        <v>66</v>
      </c>
      <c r="W124" s="3" t="s">
        <v>66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3" t="s">
        <v>66</v>
      </c>
      <c r="BC124" s="3" t="s">
        <v>66</v>
      </c>
      <c r="BD124" s="2">
        <v>730827</v>
      </c>
      <c r="BE124" s="2">
        <v>3762881</v>
      </c>
      <c r="BF124" s="4"/>
      <c r="BG124" s="4"/>
      <c r="BH124" s="4"/>
      <c r="BI124" s="2">
        <v>0</v>
      </c>
      <c r="BJ124" s="2">
        <v>0</v>
      </c>
    </row>
    <row r="125" spans="1:62" ht="58" hidden="1" x14ac:dyDescent="0.35">
      <c r="A125" s="2">
        <v>103493</v>
      </c>
      <c r="B125" s="2">
        <v>123</v>
      </c>
      <c r="C125" s="3" t="s">
        <v>57</v>
      </c>
      <c r="D125" s="3" t="s">
        <v>241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69</v>
      </c>
      <c r="K125" s="2">
        <v>17160920120</v>
      </c>
      <c r="L125" s="7">
        <f t="shared" si="3"/>
        <v>17160920120</v>
      </c>
      <c r="M125" s="7">
        <f t="shared" si="4"/>
        <v>17160920120</v>
      </c>
      <c r="N125" s="3" t="s">
        <v>64</v>
      </c>
      <c r="O125" s="5" t="s">
        <v>242</v>
      </c>
      <c r="P125" s="3" t="s">
        <v>71</v>
      </c>
      <c r="Q125" s="3" t="s">
        <v>72</v>
      </c>
      <c r="R125" s="2">
        <v>0</v>
      </c>
      <c r="S125" s="3" t="s">
        <v>66</v>
      </c>
      <c r="T125" s="3" t="s">
        <v>168</v>
      </c>
      <c r="U125" s="3" t="s">
        <v>165</v>
      </c>
      <c r="V125" s="3" t="s">
        <v>165</v>
      </c>
      <c r="W125" s="3" t="s">
        <v>165</v>
      </c>
      <c r="X125" s="3" t="s">
        <v>66</v>
      </c>
      <c r="Y125" s="3" t="s">
        <v>66</v>
      </c>
      <c r="Z125" s="3" t="s">
        <v>66</v>
      </c>
      <c r="AA125" s="3" t="s">
        <v>169</v>
      </c>
      <c r="AB125" s="3" t="s">
        <v>243</v>
      </c>
      <c r="AC125" s="2">
        <v>0</v>
      </c>
      <c r="AD125" s="3" t="s">
        <v>171</v>
      </c>
      <c r="AE125" s="3" t="s">
        <v>71</v>
      </c>
      <c r="AF125" s="3" t="s">
        <v>216</v>
      </c>
      <c r="AG125" s="3" t="s">
        <v>173</v>
      </c>
      <c r="AH125" s="3" t="s">
        <v>231</v>
      </c>
      <c r="AI125" s="3" t="s">
        <v>66</v>
      </c>
      <c r="AJ125" s="3" t="s">
        <v>66</v>
      </c>
      <c r="AK125" s="3" t="s">
        <v>205</v>
      </c>
      <c r="AL125" s="3" t="s">
        <v>244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3" t="s">
        <v>66</v>
      </c>
      <c r="BC125" s="3" t="s">
        <v>245</v>
      </c>
      <c r="BD125" s="2">
        <v>730826.00000000105</v>
      </c>
      <c r="BE125" s="2">
        <v>3762882</v>
      </c>
      <c r="BF125" s="4"/>
      <c r="BG125" s="4"/>
      <c r="BH125" s="4"/>
      <c r="BI125" s="2">
        <v>0</v>
      </c>
      <c r="BJ125" s="2">
        <v>0</v>
      </c>
    </row>
    <row r="126" spans="1:62" ht="58" hidden="1" x14ac:dyDescent="0.35">
      <c r="A126" s="2">
        <v>103494</v>
      </c>
      <c r="B126" s="2">
        <v>124</v>
      </c>
      <c r="C126" s="3" t="s">
        <v>57</v>
      </c>
      <c r="D126" s="3" t="s">
        <v>246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63</v>
      </c>
      <c r="K126" s="2">
        <v>17160920120</v>
      </c>
      <c r="L126" s="7">
        <f t="shared" si="3"/>
        <v>17160920120</v>
      </c>
      <c r="M126" s="7">
        <f t="shared" si="4"/>
        <v>17160920121</v>
      </c>
      <c r="N126" s="3" t="s">
        <v>179</v>
      </c>
      <c r="O126" s="5" t="s">
        <v>242</v>
      </c>
      <c r="P126" s="3" t="s">
        <v>66</v>
      </c>
      <c r="Q126" s="3" t="s">
        <v>180</v>
      </c>
      <c r="R126" s="2">
        <v>0</v>
      </c>
      <c r="S126" s="3" t="s">
        <v>66</v>
      </c>
      <c r="T126" s="3" t="s">
        <v>168</v>
      </c>
      <c r="U126" s="3" t="s">
        <v>66</v>
      </c>
      <c r="V126" s="3" t="s">
        <v>66</v>
      </c>
      <c r="W126" s="3" t="s">
        <v>66</v>
      </c>
      <c r="X126" s="3" t="s">
        <v>66</v>
      </c>
      <c r="Y126" s="3" t="s">
        <v>66</v>
      </c>
      <c r="Z126" s="3" t="s">
        <v>66</v>
      </c>
      <c r="AA126" s="3" t="s">
        <v>181</v>
      </c>
      <c r="AB126" s="3" t="s">
        <v>243</v>
      </c>
      <c r="AC126" s="2">
        <v>0</v>
      </c>
      <c r="AD126" s="3" t="s">
        <v>171</v>
      </c>
      <c r="AE126" s="3" t="s">
        <v>71</v>
      </c>
      <c r="AF126" s="3" t="s">
        <v>216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205</v>
      </c>
      <c r="AL126" s="3" t="s">
        <v>244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3" t="s">
        <v>66</v>
      </c>
      <c r="BC126" s="3" t="s">
        <v>245</v>
      </c>
      <c r="BD126" s="2">
        <v>730826.00000000105</v>
      </c>
      <c r="BE126" s="2">
        <v>3762882</v>
      </c>
      <c r="BF126" s="4"/>
      <c r="BG126" s="4"/>
      <c r="BH126" s="4"/>
      <c r="BI126" s="2">
        <v>0</v>
      </c>
      <c r="BJ126" s="2">
        <v>0</v>
      </c>
    </row>
    <row r="127" spans="1:62" ht="58" hidden="1" x14ac:dyDescent="0.35">
      <c r="A127" s="2">
        <v>103495</v>
      </c>
      <c r="B127" s="2">
        <v>125</v>
      </c>
      <c r="C127" s="3" t="s">
        <v>57</v>
      </c>
      <c r="D127" s="3" t="s">
        <v>246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69</v>
      </c>
      <c r="K127" s="2">
        <v>17160920121</v>
      </c>
      <c r="L127" s="7">
        <f t="shared" si="3"/>
        <v>17160920121</v>
      </c>
      <c r="M127" s="7">
        <f t="shared" si="4"/>
        <v>17160920121</v>
      </c>
      <c r="N127" s="3" t="s">
        <v>179</v>
      </c>
      <c r="O127" s="5" t="s">
        <v>247</v>
      </c>
      <c r="P127" s="3" t="s">
        <v>183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248</v>
      </c>
      <c r="V127" s="3" t="s">
        <v>248</v>
      </c>
      <c r="W127" s="3" t="s">
        <v>248</v>
      </c>
      <c r="X127" s="3" t="s">
        <v>248</v>
      </c>
      <c r="Y127" s="3" t="s">
        <v>66</v>
      </c>
      <c r="Z127" s="3" t="s">
        <v>66</v>
      </c>
      <c r="AA127" s="3" t="s">
        <v>181</v>
      </c>
      <c r="AB127" s="3" t="s">
        <v>243</v>
      </c>
      <c r="AC127" s="2">
        <v>0</v>
      </c>
      <c r="AD127" s="3" t="s">
        <v>171</v>
      </c>
      <c r="AE127" s="3" t="s">
        <v>71</v>
      </c>
      <c r="AF127" s="3" t="s">
        <v>216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205</v>
      </c>
      <c r="AL127" s="3" t="s">
        <v>244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3" t="s">
        <v>66</v>
      </c>
      <c r="BC127" s="3" t="s">
        <v>245</v>
      </c>
      <c r="BD127" s="2">
        <v>730828.00000000105</v>
      </c>
      <c r="BE127" s="2">
        <v>3762882</v>
      </c>
      <c r="BF127" s="4"/>
      <c r="BG127" s="4"/>
      <c r="BH127" s="4"/>
      <c r="BI127" s="2">
        <v>0</v>
      </c>
      <c r="BJ127" s="2">
        <v>0</v>
      </c>
    </row>
    <row r="128" spans="1:62" hidden="1" x14ac:dyDescent="0.35">
      <c r="A128" s="2">
        <v>103496</v>
      </c>
      <c r="B128" s="2">
        <v>126</v>
      </c>
      <c r="C128" s="3" t="s">
        <v>57</v>
      </c>
      <c r="D128" s="3" t="s">
        <v>249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63</v>
      </c>
      <c r="K128" s="2">
        <v>17160920119</v>
      </c>
      <c r="L128" s="7">
        <f t="shared" si="3"/>
        <v>17160920121</v>
      </c>
      <c r="M128" s="7">
        <f t="shared" si="4"/>
        <v>17160920124</v>
      </c>
      <c r="N128" s="3" t="s">
        <v>64</v>
      </c>
      <c r="O128" s="5" t="s">
        <v>240</v>
      </c>
      <c r="P128" s="3" t="s">
        <v>66</v>
      </c>
      <c r="Q128" s="3" t="s">
        <v>72</v>
      </c>
      <c r="R128" s="2">
        <v>1</v>
      </c>
      <c r="S128" s="3" t="s">
        <v>73</v>
      </c>
      <c r="T128" s="3" t="s">
        <v>126</v>
      </c>
      <c r="U128" s="3" t="s">
        <v>66</v>
      </c>
      <c r="V128" s="3" t="s">
        <v>66</v>
      </c>
      <c r="W128" s="3" t="s">
        <v>66</v>
      </c>
      <c r="X128" s="3" t="s">
        <v>66</v>
      </c>
      <c r="Y128" s="3" t="s">
        <v>66</v>
      </c>
      <c r="Z128" s="3" t="s">
        <v>66</v>
      </c>
      <c r="AA128" s="3" t="s">
        <v>76</v>
      </c>
      <c r="AB128" s="3" t="s">
        <v>66</v>
      </c>
      <c r="AC128" s="2">
        <v>0</v>
      </c>
      <c r="AD128" s="3" t="s">
        <v>68</v>
      </c>
      <c r="AE128" s="3" t="s">
        <v>66</v>
      </c>
      <c r="AF128" s="3" t="s">
        <v>66</v>
      </c>
      <c r="AG128" s="3" t="s">
        <v>66</v>
      </c>
      <c r="AH128" s="3" t="s">
        <v>66</v>
      </c>
      <c r="AI128" s="3" t="s">
        <v>66</v>
      </c>
      <c r="AJ128" s="3" t="s">
        <v>66</v>
      </c>
      <c r="AK128" s="3" t="s">
        <v>66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3" t="s">
        <v>66</v>
      </c>
      <c r="BC128" s="3" t="s">
        <v>66</v>
      </c>
      <c r="BD128" s="2">
        <v>730827</v>
      </c>
      <c r="BE128" s="2">
        <v>3762881</v>
      </c>
      <c r="BF128" s="4"/>
      <c r="BG128" s="4"/>
      <c r="BH128" s="4"/>
      <c r="BI128" s="2">
        <v>0</v>
      </c>
      <c r="BJ128" s="2">
        <v>0</v>
      </c>
    </row>
    <row r="129" spans="1:62" hidden="1" x14ac:dyDescent="0.35">
      <c r="A129" s="2">
        <v>103497</v>
      </c>
      <c r="B129" s="2">
        <v>127</v>
      </c>
      <c r="C129" s="3" t="s">
        <v>57</v>
      </c>
      <c r="D129" s="3" t="s">
        <v>249</v>
      </c>
      <c r="E129" s="2">
        <v>0</v>
      </c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66</v>
      </c>
      <c r="K129" s="2">
        <v>17160920123</v>
      </c>
      <c r="L129" s="7">
        <f t="shared" si="3"/>
        <v>17160920121</v>
      </c>
      <c r="M129" s="7">
        <f t="shared" si="4"/>
        <v>17160920124</v>
      </c>
      <c r="N129" s="3" t="s">
        <v>64</v>
      </c>
      <c r="O129" s="5" t="s">
        <v>250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84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3" t="s">
        <v>66</v>
      </c>
      <c r="BC129" s="3" t="s">
        <v>66</v>
      </c>
      <c r="BD129" s="2">
        <v>730801</v>
      </c>
      <c r="BE129" s="2">
        <v>3762870</v>
      </c>
      <c r="BF129" s="4"/>
      <c r="BG129" s="4"/>
      <c r="BH129" s="4"/>
      <c r="BI129" s="2">
        <v>0</v>
      </c>
      <c r="BJ129" s="2">
        <v>0</v>
      </c>
    </row>
    <row r="130" spans="1:62" hidden="1" x14ac:dyDescent="0.35">
      <c r="A130" s="2">
        <v>103498</v>
      </c>
      <c r="B130" s="2">
        <v>128</v>
      </c>
      <c r="C130" s="3" t="s">
        <v>57</v>
      </c>
      <c r="D130" s="3" t="s">
        <v>249</v>
      </c>
      <c r="E130" s="4"/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69</v>
      </c>
      <c r="K130" s="2">
        <v>17160920124</v>
      </c>
      <c r="L130" s="7">
        <f t="shared" si="3"/>
        <v>17160920124</v>
      </c>
      <c r="M130" s="7">
        <f t="shared" si="4"/>
        <v>17160920124</v>
      </c>
      <c r="N130" s="3" t="s">
        <v>64</v>
      </c>
      <c r="O130" s="5" t="s">
        <v>251</v>
      </c>
      <c r="P130" s="3" t="s">
        <v>71</v>
      </c>
      <c r="Q130" s="3" t="s">
        <v>72</v>
      </c>
      <c r="R130" s="2">
        <v>1</v>
      </c>
      <c r="S130" s="3" t="s">
        <v>73</v>
      </c>
      <c r="T130" s="3" t="s">
        <v>84</v>
      </c>
      <c r="U130" s="3" t="s">
        <v>165</v>
      </c>
      <c r="V130" s="3" t="s">
        <v>165</v>
      </c>
      <c r="W130" s="3" t="s">
        <v>165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77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3" t="s">
        <v>66</v>
      </c>
      <c r="BC130" s="3" t="s">
        <v>66</v>
      </c>
      <c r="BD130" s="2">
        <v>730784.00000000198</v>
      </c>
      <c r="BE130" s="2">
        <v>3762783</v>
      </c>
      <c r="BF130" s="4"/>
      <c r="BG130" s="4"/>
      <c r="BH130" s="4"/>
      <c r="BI130" s="2">
        <v>0</v>
      </c>
      <c r="BJ130" s="2">
        <v>0</v>
      </c>
    </row>
    <row r="131" spans="1:62" hidden="1" x14ac:dyDescent="0.35">
      <c r="A131" s="2">
        <v>103499</v>
      </c>
      <c r="B131" s="2">
        <v>129</v>
      </c>
      <c r="C131" s="3" t="s">
        <v>57</v>
      </c>
      <c r="D131" s="3" t="s">
        <v>252</v>
      </c>
      <c r="E131" s="4"/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63</v>
      </c>
      <c r="K131" s="2">
        <v>17160920124</v>
      </c>
      <c r="L131" s="7">
        <f t="shared" si="3"/>
        <v>17160920124</v>
      </c>
      <c r="M131" s="7">
        <f t="shared" si="4"/>
        <v>17160920125</v>
      </c>
      <c r="N131" s="3" t="s">
        <v>64</v>
      </c>
      <c r="O131" s="5" t="s">
        <v>251</v>
      </c>
      <c r="P131" s="3" t="s">
        <v>66</v>
      </c>
      <c r="Q131" s="3" t="s">
        <v>72</v>
      </c>
      <c r="R131" s="2">
        <v>1</v>
      </c>
      <c r="S131" s="3" t="s">
        <v>73</v>
      </c>
      <c r="T131" s="3" t="s">
        <v>84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3" t="s">
        <v>66</v>
      </c>
      <c r="BC131" s="3" t="s">
        <v>66</v>
      </c>
      <c r="BD131" s="2">
        <v>730784.00000000198</v>
      </c>
      <c r="BE131" s="2">
        <v>3762783</v>
      </c>
      <c r="BF131" s="4"/>
      <c r="BG131" s="4"/>
      <c r="BH131" s="4"/>
      <c r="BI131" s="2">
        <v>0</v>
      </c>
      <c r="BJ131" s="2">
        <v>0</v>
      </c>
    </row>
    <row r="132" spans="1:62" ht="58" hidden="1" x14ac:dyDescent="0.35">
      <c r="A132" s="2">
        <v>103500</v>
      </c>
      <c r="B132" s="2">
        <v>130</v>
      </c>
      <c r="C132" s="3" t="s">
        <v>57</v>
      </c>
      <c r="D132" s="3" t="s">
        <v>252</v>
      </c>
      <c r="E132" s="4"/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69</v>
      </c>
      <c r="K132" s="2">
        <v>17160920125</v>
      </c>
      <c r="L132" s="7">
        <f t="shared" ref="L132:L195" si="5">IF(J132="E",K132,L131)</f>
        <v>17160920125</v>
      </c>
      <c r="M132" s="7">
        <f t="shared" si="4"/>
        <v>17160920125</v>
      </c>
      <c r="N132" s="3" t="s">
        <v>64</v>
      </c>
      <c r="O132" s="5" t="s">
        <v>253</v>
      </c>
      <c r="P132" s="3" t="s">
        <v>71</v>
      </c>
      <c r="Q132" s="3" t="s">
        <v>72</v>
      </c>
      <c r="R132" s="2">
        <v>1</v>
      </c>
      <c r="S132" s="3" t="s">
        <v>73</v>
      </c>
      <c r="T132" s="3" t="s">
        <v>254</v>
      </c>
      <c r="U132" s="3" t="s">
        <v>165</v>
      </c>
      <c r="V132" s="3" t="s">
        <v>165</v>
      </c>
      <c r="W132" s="3" t="s">
        <v>165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205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3" t="s">
        <v>66</v>
      </c>
      <c r="BC132" s="3" t="s">
        <v>255</v>
      </c>
      <c r="BD132" s="2">
        <v>730784.00000000198</v>
      </c>
      <c r="BE132" s="2">
        <v>3762784</v>
      </c>
      <c r="BF132" s="4"/>
      <c r="BG132" s="4"/>
      <c r="BH132" s="4"/>
      <c r="BI132" s="2">
        <v>0</v>
      </c>
      <c r="BJ132" s="2">
        <v>0</v>
      </c>
    </row>
    <row r="133" spans="1:62" hidden="1" x14ac:dyDescent="0.35">
      <c r="A133" s="2">
        <v>103501</v>
      </c>
      <c r="B133" s="2">
        <v>131</v>
      </c>
      <c r="C133" s="3" t="s">
        <v>57</v>
      </c>
      <c r="D133" s="3" t="s">
        <v>256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63</v>
      </c>
      <c r="K133" s="2">
        <v>17160920124</v>
      </c>
      <c r="L133" s="7">
        <f t="shared" si="5"/>
        <v>17160920125</v>
      </c>
      <c r="M133" s="7">
        <f t="shared" si="4"/>
        <v>17160920129</v>
      </c>
      <c r="N133" s="3" t="s">
        <v>64</v>
      </c>
      <c r="O133" s="5" t="s">
        <v>251</v>
      </c>
      <c r="P133" s="3" t="s">
        <v>66</v>
      </c>
      <c r="Q133" s="3" t="s">
        <v>72</v>
      </c>
      <c r="R133" s="2">
        <v>1</v>
      </c>
      <c r="S133" s="3" t="s">
        <v>73</v>
      </c>
      <c r="T133" s="3" t="s">
        <v>84</v>
      </c>
      <c r="U133" s="3" t="s">
        <v>66</v>
      </c>
      <c r="V133" s="3" t="s">
        <v>66</v>
      </c>
      <c r="W133" s="3" t="s">
        <v>66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66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3" t="s">
        <v>66</v>
      </c>
      <c r="BC133" s="3" t="s">
        <v>66</v>
      </c>
      <c r="BD133" s="2">
        <v>730784.00000000198</v>
      </c>
      <c r="BE133" s="2">
        <v>3762783</v>
      </c>
      <c r="BF133" s="4"/>
      <c r="BG133" s="4"/>
      <c r="BH133" s="4"/>
      <c r="BI133" s="2">
        <v>0</v>
      </c>
      <c r="BJ133" s="2">
        <v>0</v>
      </c>
    </row>
    <row r="134" spans="1:62" hidden="1" x14ac:dyDescent="0.35">
      <c r="A134" s="2">
        <v>103502</v>
      </c>
      <c r="B134" s="2">
        <v>132</v>
      </c>
      <c r="C134" s="3" t="s">
        <v>57</v>
      </c>
      <c r="D134" s="3" t="s">
        <v>256</v>
      </c>
      <c r="E134" s="2">
        <v>0</v>
      </c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66</v>
      </c>
      <c r="K134" s="2">
        <v>17160920127</v>
      </c>
      <c r="L134" s="7">
        <f t="shared" si="5"/>
        <v>17160920125</v>
      </c>
      <c r="M134" s="7">
        <f t="shared" si="4"/>
        <v>17160920129</v>
      </c>
      <c r="N134" s="3" t="s">
        <v>64</v>
      </c>
      <c r="O134" s="5" t="s">
        <v>257</v>
      </c>
      <c r="P134" s="3" t="s">
        <v>66</v>
      </c>
      <c r="Q134" s="3" t="s">
        <v>72</v>
      </c>
      <c r="R134" s="2">
        <v>2</v>
      </c>
      <c r="S134" s="3" t="s">
        <v>73</v>
      </c>
      <c r="T134" s="3" t="s">
        <v>84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3" t="s">
        <v>66</v>
      </c>
      <c r="BC134" s="3" t="s">
        <v>66</v>
      </c>
      <c r="BD134" s="2">
        <v>730733.00000000198</v>
      </c>
      <c r="BE134" s="2">
        <v>3762764</v>
      </c>
      <c r="BF134" s="4"/>
      <c r="BG134" s="4"/>
      <c r="BH134" s="4"/>
      <c r="BI134" s="2">
        <v>0</v>
      </c>
      <c r="BJ134" s="2">
        <v>0</v>
      </c>
    </row>
    <row r="135" spans="1:62" hidden="1" x14ac:dyDescent="0.35">
      <c r="A135" s="2">
        <v>103503</v>
      </c>
      <c r="B135" s="2">
        <v>133</v>
      </c>
      <c r="C135" s="3" t="s">
        <v>57</v>
      </c>
      <c r="D135" s="3" t="s">
        <v>256</v>
      </c>
      <c r="E135" s="2">
        <v>1</v>
      </c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66</v>
      </c>
      <c r="K135" s="2">
        <v>17160920128</v>
      </c>
      <c r="L135" s="7">
        <f t="shared" si="5"/>
        <v>17160920125</v>
      </c>
      <c r="M135" s="7">
        <f t="shared" si="4"/>
        <v>17160920129</v>
      </c>
      <c r="N135" s="3" t="s">
        <v>64</v>
      </c>
      <c r="O135" s="5" t="s">
        <v>258</v>
      </c>
      <c r="P135" s="3" t="s">
        <v>66</v>
      </c>
      <c r="Q135" s="3" t="s">
        <v>72</v>
      </c>
      <c r="R135" s="2">
        <v>2</v>
      </c>
      <c r="S135" s="3" t="s">
        <v>73</v>
      </c>
      <c r="T135" s="3" t="s">
        <v>84</v>
      </c>
      <c r="U135" s="3" t="s">
        <v>66</v>
      </c>
      <c r="V135" s="3" t="s">
        <v>66</v>
      </c>
      <c r="W135" s="3" t="s">
        <v>66</v>
      </c>
      <c r="X135" s="3" t="s">
        <v>66</v>
      </c>
      <c r="Y135" s="3" t="s">
        <v>66</v>
      </c>
      <c r="Z135" s="3" t="s">
        <v>66</v>
      </c>
      <c r="AA135" s="3" t="s">
        <v>76</v>
      </c>
      <c r="AB135" s="3" t="s">
        <v>66</v>
      </c>
      <c r="AC135" s="2">
        <v>0</v>
      </c>
      <c r="AD135" s="3" t="s">
        <v>68</v>
      </c>
      <c r="AE135" s="3" t="s">
        <v>66</v>
      </c>
      <c r="AF135" s="3" t="s">
        <v>66</v>
      </c>
      <c r="AG135" s="3" t="s">
        <v>66</v>
      </c>
      <c r="AH135" s="3" t="s">
        <v>66</v>
      </c>
      <c r="AI135" s="3" t="s">
        <v>66</v>
      </c>
      <c r="AJ135" s="3" t="s">
        <v>66</v>
      </c>
      <c r="AK135" s="3" t="s">
        <v>66</v>
      </c>
      <c r="AL135" s="3" t="s">
        <v>66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3" t="s">
        <v>66</v>
      </c>
      <c r="BC135" s="3" t="s">
        <v>66</v>
      </c>
      <c r="BD135" s="2">
        <v>730660</v>
      </c>
      <c r="BE135" s="2">
        <v>3762737</v>
      </c>
      <c r="BF135" s="4"/>
      <c r="BG135" s="4"/>
      <c r="BH135" s="4"/>
      <c r="BI135" s="2">
        <v>0</v>
      </c>
      <c r="BJ135" s="2">
        <v>0</v>
      </c>
    </row>
    <row r="136" spans="1:62" hidden="1" x14ac:dyDescent="0.35">
      <c r="A136" s="2">
        <v>103504</v>
      </c>
      <c r="B136" s="2">
        <v>134</v>
      </c>
      <c r="C136" s="3" t="s">
        <v>57</v>
      </c>
      <c r="D136" s="3" t="s">
        <v>256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69</v>
      </c>
      <c r="K136" s="2">
        <v>17160920129</v>
      </c>
      <c r="L136" s="7">
        <f t="shared" si="5"/>
        <v>17160920129</v>
      </c>
      <c r="M136" s="7">
        <f t="shared" si="4"/>
        <v>17160920129</v>
      </c>
      <c r="N136" s="3" t="s">
        <v>64</v>
      </c>
      <c r="O136" s="5" t="s">
        <v>259</v>
      </c>
      <c r="P136" s="3" t="s">
        <v>71</v>
      </c>
      <c r="Q136" s="3" t="s">
        <v>72</v>
      </c>
      <c r="R136" s="2">
        <v>2</v>
      </c>
      <c r="S136" s="3" t="s">
        <v>83</v>
      </c>
      <c r="T136" s="3" t="s">
        <v>84</v>
      </c>
      <c r="U136" s="3" t="s">
        <v>165</v>
      </c>
      <c r="V136" s="3" t="s">
        <v>165</v>
      </c>
      <c r="W136" s="3" t="s">
        <v>165</v>
      </c>
      <c r="X136" s="3" t="s">
        <v>66</v>
      </c>
      <c r="Y136" s="3" t="s">
        <v>66</v>
      </c>
      <c r="Z136" s="3" t="s">
        <v>66</v>
      </c>
      <c r="AA136" s="3" t="s">
        <v>76</v>
      </c>
      <c r="AB136" s="3" t="s">
        <v>66</v>
      </c>
      <c r="AC136" s="2">
        <v>0</v>
      </c>
      <c r="AD136" s="3" t="s">
        <v>68</v>
      </c>
      <c r="AE136" s="3" t="s">
        <v>66</v>
      </c>
      <c r="AF136" s="3" t="s">
        <v>66</v>
      </c>
      <c r="AG136" s="3" t="s">
        <v>66</v>
      </c>
      <c r="AH136" s="3" t="s">
        <v>66</v>
      </c>
      <c r="AI136" s="3" t="s">
        <v>66</v>
      </c>
      <c r="AJ136" s="3" t="s">
        <v>66</v>
      </c>
      <c r="AK136" s="3" t="s">
        <v>66</v>
      </c>
      <c r="AL136" s="3" t="s">
        <v>66</v>
      </c>
      <c r="AM136" s="3" t="s">
        <v>66</v>
      </c>
      <c r="AN136" s="3" t="s">
        <v>87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3" t="s">
        <v>66</v>
      </c>
      <c r="BC136" s="3" t="s">
        <v>66</v>
      </c>
      <c r="BD136" s="2">
        <v>730622</v>
      </c>
      <c r="BE136" s="2">
        <v>3762668</v>
      </c>
      <c r="BF136" s="4"/>
      <c r="BG136" s="4"/>
      <c r="BH136" s="4"/>
      <c r="BI136" s="2">
        <v>0</v>
      </c>
      <c r="BJ136" s="2">
        <v>0</v>
      </c>
    </row>
    <row r="137" spans="1:62" hidden="1" x14ac:dyDescent="0.35">
      <c r="A137" s="2">
        <v>103505</v>
      </c>
      <c r="B137" s="2">
        <v>135</v>
      </c>
      <c r="C137" s="3" t="s">
        <v>57</v>
      </c>
      <c r="D137" s="3" t="s">
        <v>260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63</v>
      </c>
      <c r="K137" s="2">
        <v>17160920129</v>
      </c>
      <c r="L137" s="7">
        <f t="shared" si="5"/>
        <v>17160920129</v>
      </c>
      <c r="M137" s="7">
        <f t="shared" si="4"/>
        <v>17160920130</v>
      </c>
      <c r="N137" s="3" t="s">
        <v>64</v>
      </c>
      <c r="O137" s="5" t="s">
        <v>259</v>
      </c>
      <c r="P137" s="3" t="s">
        <v>66</v>
      </c>
      <c r="Q137" s="3" t="s">
        <v>72</v>
      </c>
      <c r="R137" s="2">
        <v>2</v>
      </c>
      <c r="S137" s="3" t="s">
        <v>83</v>
      </c>
      <c r="T137" s="3" t="s">
        <v>84</v>
      </c>
      <c r="U137" s="3" t="s">
        <v>66</v>
      </c>
      <c r="V137" s="3" t="s">
        <v>66</v>
      </c>
      <c r="W137" s="3" t="s">
        <v>66</v>
      </c>
      <c r="X137" s="3" t="s">
        <v>66</v>
      </c>
      <c r="Y137" s="3" t="s">
        <v>66</v>
      </c>
      <c r="Z137" s="3" t="s">
        <v>66</v>
      </c>
      <c r="AA137" s="3" t="s">
        <v>76</v>
      </c>
      <c r="AB137" s="3" t="s">
        <v>66</v>
      </c>
      <c r="AC137" s="2">
        <v>0</v>
      </c>
      <c r="AD137" s="3" t="s">
        <v>68</v>
      </c>
      <c r="AE137" s="3" t="s">
        <v>66</v>
      </c>
      <c r="AF137" s="3" t="s">
        <v>66</v>
      </c>
      <c r="AG137" s="3" t="s">
        <v>66</v>
      </c>
      <c r="AH137" s="3" t="s">
        <v>66</v>
      </c>
      <c r="AI137" s="3" t="s">
        <v>66</v>
      </c>
      <c r="AJ137" s="3" t="s">
        <v>66</v>
      </c>
      <c r="AK137" s="3" t="s">
        <v>66</v>
      </c>
      <c r="AL137" s="3" t="s">
        <v>66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3" t="s">
        <v>66</v>
      </c>
      <c r="BC137" s="3" t="s">
        <v>66</v>
      </c>
      <c r="BD137" s="2">
        <v>730622</v>
      </c>
      <c r="BE137" s="2">
        <v>3762668</v>
      </c>
      <c r="BF137" s="4"/>
      <c r="BG137" s="4"/>
      <c r="BH137" s="4"/>
      <c r="BI137" s="2">
        <v>0</v>
      </c>
      <c r="BJ137" s="2">
        <v>0</v>
      </c>
    </row>
    <row r="138" spans="1:62" ht="58" hidden="1" x14ac:dyDescent="0.35">
      <c r="A138" s="2">
        <v>103506</v>
      </c>
      <c r="B138" s="2">
        <v>136</v>
      </c>
      <c r="C138" s="3" t="s">
        <v>57</v>
      </c>
      <c r="D138" s="3" t="s">
        <v>260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69</v>
      </c>
      <c r="K138" s="2">
        <v>17160920130</v>
      </c>
      <c r="L138" s="7">
        <f t="shared" si="5"/>
        <v>17160920130</v>
      </c>
      <c r="M138" s="7">
        <f t="shared" si="4"/>
        <v>17160920130</v>
      </c>
      <c r="N138" s="3" t="s">
        <v>64</v>
      </c>
      <c r="O138" s="5" t="s">
        <v>261</v>
      </c>
      <c r="P138" s="3" t="s">
        <v>71</v>
      </c>
      <c r="Q138" s="3" t="s">
        <v>72</v>
      </c>
      <c r="R138" s="2">
        <v>0</v>
      </c>
      <c r="S138" s="3" t="s">
        <v>66</v>
      </c>
      <c r="T138" s="3" t="s">
        <v>168</v>
      </c>
      <c r="U138" s="3" t="s">
        <v>165</v>
      </c>
      <c r="V138" s="3" t="s">
        <v>165</v>
      </c>
      <c r="W138" s="3" t="s">
        <v>165</v>
      </c>
      <c r="X138" s="3" t="s">
        <v>66</v>
      </c>
      <c r="Y138" s="3" t="s">
        <v>66</v>
      </c>
      <c r="Z138" s="3" t="s">
        <v>66</v>
      </c>
      <c r="AA138" s="3" t="s">
        <v>169</v>
      </c>
      <c r="AB138" s="3" t="s">
        <v>262</v>
      </c>
      <c r="AC138" s="2">
        <v>0</v>
      </c>
      <c r="AD138" s="3" t="s">
        <v>171</v>
      </c>
      <c r="AE138" s="3" t="s">
        <v>71</v>
      </c>
      <c r="AF138" s="3" t="s">
        <v>172</v>
      </c>
      <c r="AG138" s="3" t="s">
        <v>173</v>
      </c>
      <c r="AH138" s="3" t="s">
        <v>217</v>
      </c>
      <c r="AI138" s="3" t="s">
        <v>66</v>
      </c>
      <c r="AJ138" s="3" t="s">
        <v>66</v>
      </c>
      <c r="AK138" s="3" t="s">
        <v>205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3" t="s">
        <v>263</v>
      </c>
      <c r="BC138" s="3" t="s">
        <v>264</v>
      </c>
      <c r="BD138" s="2">
        <v>730624.00000000105</v>
      </c>
      <c r="BE138" s="2">
        <v>3762667</v>
      </c>
      <c r="BF138" s="4"/>
      <c r="BG138" s="4"/>
      <c r="BH138" s="4"/>
      <c r="BI138" s="2">
        <v>0</v>
      </c>
      <c r="BJ138" s="2">
        <v>0</v>
      </c>
    </row>
    <row r="139" spans="1:62" ht="58" hidden="1" x14ac:dyDescent="0.35">
      <c r="A139" s="2">
        <v>103507</v>
      </c>
      <c r="B139" s="2">
        <v>137</v>
      </c>
      <c r="C139" s="3" t="s">
        <v>57</v>
      </c>
      <c r="D139" s="3" t="s">
        <v>265</v>
      </c>
      <c r="E139" s="4"/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63</v>
      </c>
      <c r="K139" s="2">
        <v>17160920130</v>
      </c>
      <c r="L139" s="7">
        <f t="shared" si="5"/>
        <v>17160920130</v>
      </c>
      <c r="M139" s="7">
        <f t="shared" si="4"/>
        <v>17160920131</v>
      </c>
      <c r="N139" s="3" t="s">
        <v>179</v>
      </c>
      <c r="O139" s="5" t="s">
        <v>261</v>
      </c>
      <c r="P139" s="3" t="s">
        <v>66</v>
      </c>
      <c r="Q139" s="3" t="s">
        <v>180</v>
      </c>
      <c r="R139" s="2">
        <v>0</v>
      </c>
      <c r="S139" s="3" t="s">
        <v>66</v>
      </c>
      <c r="T139" s="3" t="s">
        <v>168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181</v>
      </c>
      <c r="AB139" s="3" t="s">
        <v>262</v>
      </c>
      <c r="AC139" s="2">
        <v>0</v>
      </c>
      <c r="AD139" s="3" t="s">
        <v>171</v>
      </c>
      <c r="AE139" s="3" t="s">
        <v>71</v>
      </c>
      <c r="AF139" s="3" t="s">
        <v>172</v>
      </c>
      <c r="AG139" s="3" t="s">
        <v>173</v>
      </c>
      <c r="AH139" s="3" t="s">
        <v>217</v>
      </c>
      <c r="AI139" s="3" t="s">
        <v>66</v>
      </c>
      <c r="AJ139" s="3" t="s">
        <v>66</v>
      </c>
      <c r="AK139" s="3" t="s">
        <v>205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3" t="s">
        <v>263</v>
      </c>
      <c r="BC139" s="3" t="s">
        <v>264</v>
      </c>
      <c r="BD139" s="2">
        <v>730624.00000000105</v>
      </c>
      <c r="BE139" s="2">
        <v>3762667</v>
      </c>
      <c r="BF139" s="4"/>
      <c r="BG139" s="4"/>
      <c r="BH139" s="4"/>
      <c r="BI139" s="2">
        <v>0</v>
      </c>
      <c r="BJ139" s="2">
        <v>0</v>
      </c>
    </row>
    <row r="140" spans="1:62" ht="58" hidden="1" x14ac:dyDescent="0.35">
      <c r="A140" s="2">
        <v>103508</v>
      </c>
      <c r="B140" s="2">
        <v>138</v>
      </c>
      <c r="C140" s="3" t="s">
        <v>57</v>
      </c>
      <c r="D140" s="3" t="s">
        <v>265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17160920131</v>
      </c>
      <c r="L140" s="7">
        <f t="shared" si="5"/>
        <v>17160920131</v>
      </c>
      <c r="M140" s="7">
        <f t="shared" si="4"/>
        <v>17160920131</v>
      </c>
      <c r="N140" s="3" t="s">
        <v>179</v>
      </c>
      <c r="O140" s="5" t="s">
        <v>266</v>
      </c>
      <c r="P140" s="3" t="s">
        <v>183</v>
      </c>
      <c r="Q140" s="3" t="s">
        <v>180</v>
      </c>
      <c r="R140" s="2">
        <v>0</v>
      </c>
      <c r="S140" s="3" t="s">
        <v>66</v>
      </c>
      <c r="T140" s="3" t="s">
        <v>168</v>
      </c>
      <c r="U140" s="3" t="s">
        <v>195</v>
      </c>
      <c r="V140" s="3" t="s">
        <v>195</v>
      </c>
      <c r="W140" s="3" t="s">
        <v>195</v>
      </c>
      <c r="X140" s="3" t="s">
        <v>195</v>
      </c>
      <c r="Y140" s="3" t="s">
        <v>66</v>
      </c>
      <c r="Z140" s="3" t="s">
        <v>66</v>
      </c>
      <c r="AA140" s="3" t="s">
        <v>181</v>
      </c>
      <c r="AB140" s="3" t="s">
        <v>262</v>
      </c>
      <c r="AC140" s="2">
        <v>0</v>
      </c>
      <c r="AD140" s="3" t="s">
        <v>171</v>
      </c>
      <c r="AE140" s="3" t="s">
        <v>71</v>
      </c>
      <c r="AF140" s="3" t="s">
        <v>172</v>
      </c>
      <c r="AG140" s="3" t="s">
        <v>173</v>
      </c>
      <c r="AH140" s="3" t="s">
        <v>217</v>
      </c>
      <c r="AI140" s="3" t="s">
        <v>66</v>
      </c>
      <c r="AJ140" s="3" t="s">
        <v>66</v>
      </c>
      <c r="AK140" s="3" t="s">
        <v>205</v>
      </c>
      <c r="AL140" s="3" t="s">
        <v>66</v>
      </c>
      <c r="AM140" s="3" t="s">
        <v>66</v>
      </c>
      <c r="AN140" s="3" t="s">
        <v>66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3" t="s">
        <v>263</v>
      </c>
      <c r="BC140" s="3" t="s">
        <v>264</v>
      </c>
      <c r="BD140" s="2">
        <v>730623.00000000198</v>
      </c>
      <c r="BE140" s="2">
        <v>3762668</v>
      </c>
      <c r="BF140" s="4"/>
      <c r="BG140" s="4"/>
      <c r="BH140" s="4"/>
      <c r="BI140" s="2">
        <v>0</v>
      </c>
      <c r="BJ140" s="2">
        <v>0</v>
      </c>
    </row>
    <row r="141" spans="1:62" hidden="1" x14ac:dyDescent="0.35">
      <c r="A141" s="2">
        <v>103509</v>
      </c>
      <c r="B141" s="2">
        <v>139</v>
      </c>
      <c r="C141" s="3" t="s">
        <v>57</v>
      </c>
      <c r="D141" s="3" t="s">
        <v>267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17160920129</v>
      </c>
      <c r="L141" s="7">
        <f t="shared" si="5"/>
        <v>17160920131</v>
      </c>
      <c r="M141" s="7">
        <f t="shared" si="4"/>
        <v>17170920132</v>
      </c>
      <c r="N141" s="3" t="s">
        <v>64</v>
      </c>
      <c r="O141" s="5" t="s">
        <v>259</v>
      </c>
      <c r="P141" s="3" t="s">
        <v>66</v>
      </c>
      <c r="Q141" s="3" t="s">
        <v>72</v>
      </c>
      <c r="R141" s="2">
        <v>2</v>
      </c>
      <c r="S141" s="3" t="s">
        <v>83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3" t="s">
        <v>66</v>
      </c>
      <c r="BC141" s="3" t="s">
        <v>66</v>
      </c>
      <c r="BD141" s="2">
        <v>730622</v>
      </c>
      <c r="BE141" s="2">
        <v>3762668</v>
      </c>
      <c r="BF141" s="4"/>
      <c r="BG141" s="4"/>
      <c r="BH141" s="4"/>
      <c r="BI141" s="2">
        <v>0</v>
      </c>
      <c r="BJ141" s="2">
        <v>0</v>
      </c>
    </row>
    <row r="142" spans="1:62" hidden="1" x14ac:dyDescent="0.35">
      <c r="A142" s="2">
        <v>103510</v>
      </c>
      <c r="B142" s="2">
        <v>140</v>
      </c>
      <c r="C142" s="3" t="s">
        <v>57</v>
      </c>
      <c r="D142" s="3" t="s">
        <v>267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17170920132</v>
      </c>
      <c r="L142" s="7">
        <f t="shared" si="5"/>
        <v>17170920132</v>
      </c>
      <c r="M142" s="7">
        <f t="shared" si="4"/>
        <v>17170920132</v>
      </c>
      <c r="N142" s="3" t="s">
        <v>64</v>
      </c>
      <c r="O142" s="5" t="s">
        <v>268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84</v>
      </c>
      <c r="U142" s="3" t="s">
        <v>269</v>
      </c>
      <c r="V142" s="3" t="s">
        <v>269</v>
      </c>
      <c r="W142" s="3" t="s">
        <v>269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66</v>
      </c>
      <c r="AL142" s="3" t="s">
        <v>66</v>
      </c>
      <c r="AM142" s="3" t="s">
        <v>66</v>
      </c>
      <c r="AN142" s="3" t="s">
        <v>87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3" t="s">
        <v>66</v>
      </c>
      <c r="BC142" s="3" t="s">
        <v>66</v>
      </c>
      <c r="BD142" s="2">
        <v>730670.00000000105</v>
      </c>
      <c r="BE142" s="2">
        <v>3762636</v>
      </c>
      <c r="BF142" s="4"/>
      <c r="BG142" s="4"/>
      <c r="BH142" s="4"/>
      <c r="BI142" s="2">
        <v>0</v>
      </c>
      <c r="BJ142" s="2">
        <v>0</v>
      </c>
    </row>
    <row r="143" spans="1:62" hidden="1" x14ac:dyDescent="0.35">
      <c r="A143" s="2">
        <v>103511</v>
      </c>
      <c r="B143" s="2">
        <v>141</v>
      </c>
      <c r="C143" s="3" t="s">
        <v>57</v>
      </c>
      <c r="D143" s="3" t="s">
        <v>270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17170920132</v>
      </c>
      <c r="L143" s="7">
        <f t="shared" si="5"/>
        <v>17170920132</v>
      </c>
      <c r="M143" s="7">
        <f t="shared" si="4"/>
        <v>17170920133</v>
      </c>
      <c r="N143" s="3" t="s">
        <v>64</v>
      </c>
      <c r="O143" s="5" t="s">
        <v>268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3" t="s">
        <v>66</v>
      </c>
      <c r="BC143" s="3" t="s">
        <v>66</v>
      </c>
      <c r="BD143" s="2">
        <v>730670.00000000105</v>
      </c>
      <c r="BE143" s="2">
        <v>3762636</v>
      </c>
      <c r="BF143" s="4"/>
      <c r="BG143" s="4"/>
      <c r="BH143" s="4"/>
      <c r="BI143" s="2">
        <v>0</v>
      </c>
      <c r="BJ143" s="2">
        <v>0</v>
      </c>
    </row>
    <row r="144" spans="1:62" ht="58" hidden="1" x14ac:dyDescent="0.35">
      <c r="A144" s="2">
        <v>103512</v>
      </c>
      <c r="B144" s="2">
        <v>142</v>
      </c>
      <c r="C144" s="3" t="s">
        <v>57</v>
      </c>
      <c r="D144" s="3" t="s">
        <v>270</v>
      </c>
      <c r="E144" s="4"/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69</v>
      </c>
      <c r="K144" s="2">
        <v>17170920133</v>
      </c>
      <c r="L144" s="7">
        <f t="shared" si="5"/>
        <v>17170920133</v>
      </c>
      <c r="M144" s="7">
        <f t="shared" si="4"/>
        <v>17170920133</v>
      </c>
      <c r="N144" s="3" t="s">
        <v>64</v>
      </c>
      <c r="O144" s="5" t="s">
        <v>271</v>
      </c>
      <c r="P144" s="3" t="s">
        <v>71</v>
      </c>
      <c r="Q144" s="3" t="s">
        <v>72</v>
      </c>
      <c r="R144" s="2">
        <v>0</v>
      </c>
      <c r="S144" s="3" t="s">
        <v>66</v>
      </c>
      <c r="T144" s="3" t="s">
        <v>168</v>
      </c>
      <c r="U144" s="3" t="s">
        <v>165</v>
      </c>
      <c r="V144" s="3" t="s">
        <v>165</v>
      </c>
      <c r="W144" s="3" t="s">
        <v>165</v>
      </c>
      <c r="X144" s="3" t="s">
        <v>66</v>
      </c>
      <c r="Y144" s="3" t="s">
        <v>66</v>
      </c>
      <c r="Z144" s="3" t="s">
        <v>66</v>
      </c>
      <c r="AA144" s="3" t="s">
        <v>169</v>
      </c>
      <c r="AB144" s="3" t="s">
        <v>272</v>
      </c>
      <c r="AC144" s="2">
        <v>0</v>
      </c>
      <c r="AD144" s="3" t="s">
        <v>171</v>
      </c>
      <c r="AE144" s="3" t="s">
        <v>71</v>
      </c>
      <c r="AF144" s="3" t="s">
        <v>216</v>
      </c>
      <c r="AG144" s="3" t="s">
        <v>173</v>
      </c>
      <c r="AH144" s="3" t="s">
        <v>273</v>
      </c>
      <c r="AI144" s="3" t="s">
        <v>66</v>
      </c>
      <c r="AJ144" s="3" t="s">
        <v>66</v>
      </c>
      <c r="AK144" s="3" t="s">
        <v>205</v>
      </c>
      <c r="AL144" s="3" t="s">
        <v>274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3" t="s">
        <v>275</v>
      </c>
      <c r="BC144" s="3" t="s">
        <v>276</v>
      </c>
      <c r="BD144" s="2">
        <v>730669.00000000198</v>
      </c>
      <c r="BE144" s="2">
        <v>3762636</v>
      </c>
      <c r="BF144" s="4"/>
      <c r="BG144" s="4"/>
      <c r="BH144" s="4"/>
      <c r="BI144" s="2">
        <v>0</v>
      </c>
      <c r="BJ144" s="2">
        <v>0</v>
      </c>
    </row>
    <row r="145" spans="1:62" ht="58" hidden="1" x14ac:dyDescent="0.35">
      <c r="A145" s="2">
        <v>103513</v>
      </c>
      <c r="B145" s="2">
        <v>143</v>
      </c>
      <c r="C145" s="3" t="s">
        <v>57</v>
      </c>
      <c r="D145" s="3" t="s">
        <v>277</v>
      </c>
      <c r="E145" s="4"/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63</v>
      </c>
      <c r="K145" s="2">
        <v>17170920133</v>
      </c>
      <c r="L145" s="7">
        <f t="shared" si="5"/>
        <v>17170920133</v>
      </c>
      <c r="M145" s="7">
        <f t="shared" si="4"/>
        <v>17170920134</v>
      </c>
      <c r="N145" s="3" t="s">
        <v>179</v>
      </c>
      <c r="O145" s="5" t="s">
        <v>271</v>
      </c>
      <c r="P145" s="3" t="s">
        <v>66</v>
      </c>
      <c r="Q145" s="3" t="s">
        <v>180</v>
      </c>
      <c r="R145" s="2">
        <v>0</v>
      </c>
      <c r="S145" s="3" t="s">
        <v>66</v>
      </c>
      <c r="T145" s="3" t="s">
        <v>168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181</v>
      </c>
      <c r="AB145" s="3" t="s">
        <v>272</v>
      </c>
      <c r="AC145" s="2">
        <v>0</v>
      </c>
      <c r="AD145" s="3" t="s">
        <v>171</v>
      </c>
      <c r="AE145" s="3" t="s">
        <v>71</v>
      </c>
      <c r="AF145" s="3" t="s">
        <v>216</v>
      </c>
      <c r="AG145" s="3" t="s">
        <v>173</v>
      </c>
      <c r="AH145" s="3" t="s">
        <v>273</v>
      </c>
      <c r="AI145" s="3" t="s">
        <v>66</v>
      </c>
      <c r="AJ145" s="3" t="s">
        <v>66</v>
      </c>
      <c r="AK145" s="3" t="s">
        <v>205</v>
      </c>
      <c r="AL145" s="3" t="s">
        <v>274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3" t="s">
        <v>275</v>
      </c>
      <c r="BC145" s="3" t="s">
        <v>276</v>
      </c>
      <c r="BD145" s="2">
        <v>730669.00000000198</v>
      </c>
      <c r="BE145" s="2">
        <v>3762636</v>
      </c>
      <c r="BF145" s="4"/>
      <c r="BG145" s="4"/>
      <c r="BH145" s="4"/>
      <c r="BI145" s="2">
        <v>0</v>
      </c>
      <c r="BJ145" s="2">
        <v>0</v>
      </c>
    </row>
    <row r="146" spans="1:62" ht="58" hidden="1" x14ac:dyDescent="0.35">
      <c r="A146" s="2">
        <v>103514</v>
      </c>
      <c r="B146" s="2">
        <v>144</v>
      </c>
      <c r="C146" s="3" t="s">
        <v>57</v>
      </c>
      <c r="D146" s="3" t="s">
        <v>277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17170920134</v>
      </c>
      <c r="L146" s="7">
        <f t="shared" si="5"/>
        <v>17170920134</v>
      </c>
      <c r="M146" s="7">
        <f t="shared" si="4"/>
        <v>17170920134</v>
      </c>
      <c r="N146" s="3" t="s">
        <v>179</v>
      </c>
      <c r="O146" s="5" t="s">
        <v>278</v>
      </c>
      <c r="P146" s="3" t="s">
        <v>183</v>
      </c>
      <c r="Q146" s="3" t="s">
        <v>180</v>
      </c>
      <c r="R146" s="2">
        <v>0</v>
      </c>
      <c r="S146" s="3" t="s">
        <v>66</v>
      </c>
      <c r="T146" s="3" t="s">
        <v>168</v>
      </c>
      <c r="U146" s="3" t="s">
        <v>248</v>
      </c>
      <c r="V146" s="3" t="s">
        <v>248</v>
      </c>
      <c r="W146" s="3" t="s">
        <v>248</v>
      </c>
      <c r="X146" s="3" t="s">
        <v>248</v>
      </c>
      <c r="Y146" s="3" t="s">
        <v>66</v>
      </c>
      <c r="Z146" s="3" t="s">
        <v>66</v>
      </c>
      <c r="AA146" s="3" t="s">
        <v>181</v>
      </c>
      <c r="AB146" s="3" t="s">
        <v>272</v>
      </c>
      <c r="AC146" s="2">
        <v>0</v>
      </c>
      <c r="AD146" s="3" t="s">
        <v>171</v>
      </c>
      <c r="AE146" s="3" t="s">
        <v>71</v>
      </c>
      <c r="AF146" s="3" t="s">
        <v>216</v>
      </c>
      <c r="AG146" s="3" t="s">
        <v>173</v>
      </c>
      <c r="AH146" s="3" t="s">
        <v>273</v>
      </c>
      <c r="AI146" s="3" t="s">
        <v>66</v>
      </c>
      <c r="AJ146" s="3" t="s">
        <v>66</v>
      </c>
      <c r="AK146" s="3" t="s">
        <v>205</v>
      </c>
      <c r="AL146" s="3" t="s">
        <v>274</v>
      </c>
      <c r="AM146" s="3" t="s">
        <v>66</v>
      </c>
      <c r="AN146" s="3" t="s">
        <v>66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3" t="s">
        <v>275</v>
      </c>
      <c r="BC146" s="3" t="s">
        <v>276</v>
      </c>
      <c r="BD146" s="2">
        <v>730670.00000000105</v>
      </c>
      <c r="BE146" s="2">
        <v>3762635</v>
      </c>
      <c r="BF146" s="4"/>
      <c r="BG146" s="4"/>
      <c r="BH146" s="4"/>
      <c r="BI146" s="2">
        <v>0</v>
      </c>
      <c r="BJ146" s="2">
        <v>0</v>
      </c>
    </row>
    <row r="147" spans="1:62" hidden="1" x14ac:dyDescent="0.35">
      <c r="A147" s="2">
        <v>103515</v>
      </c>
      <c r="B147" s="2">
        <v>145</v>
      </c>
      <c r="C147" s="3" t="s">
        <v>57</v>
      </c>
      <c r="D147" s="3" t="s">
        <v>279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17170920132</v>
      </c>
      <c r="L147" s="7">
        <f t="shared" si="5"/>
        <v>17170920134</v>
      </c>
      <c r="M147" s="7">
        <f t="shared" ref="M147:M210" si="6">IF(J147="E",K147,M148)</f>
        <v>17170920137</v>
      </c>
      <c r="N147" s="3" t="s">
        <v>64</v>
      </c>
      <c r="O147" s="5" t="s">
        <v>268</v>
      </c>
      <c r="P147" s="3" t="s">
        <v>66</v>
      </c>
      <c r="Q147" s="3" t="s">
        <v>72</v>
      </c>
      <c r="R147" s="2">
        <v>1</v>
      </c>
      <c r="S147" s="3" t="s">
        <v>73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3" t="s">
        <v>66</v>
      </c>
      <c r="BC147" s="3" t="s">
        <v>66</v>
      </c>
      <c r="BD147" s="2">
        <v>730670.00000000105</v>
      </c>
      <c r="BE147" s="2">
        <v>3762636</v>
      </c>
      <c r="BF147" s="4"/>
      <c r="BG147" s="4"/>
      <c r="BH147" s="4"/>
      <c r="BI147" s="2">
        <v>0</v>
      </c>
      <c r="BJ147" s="2">
        <v>0</v>
      </c>
    </row>
    <row r="148" spans="1:62" hidden="1" x14ac:dyDescent="0.35">
      <c r="A148" s="2">
        <v>103516</v>
      </c>
      <c r="B148" s="2">
        <v>146</v>
      </c>
      <c r="C148" s="3" t="s">
        <v>57</v>
      </c>
      <c r="D148" s="3" t="s">
        <v>279</v>
      </c>
      <c r="E148" s="2">
        <v>0</v>
      </c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66</v>
      </c>
      <c r="K148" s="2">
        <v>17170920135</v>
      </c>
      <c r="L148" s="7">
        <f t="shared" si="5"/>
        <v>17170920134</v>
      </c>
      <c r="M148" s="7">
        <f t="shared" si="6"/>
        <v>17170920137</v>
      </c>
      <c r="N148" s="3" t="s">
        <v>64</v>
      </c>
      <c r="O148" s="5" t="s">
        <v>280</v>
      </c>
      <c r="P148" s="3" t="s">
        <v>66</v>
      </c>
      <c r="Q148" s="3" t="s">
        <v>72</v>
      </c>
      <c r="R148" s="2">
        <v>1</v>
      </c>
      <c r="S148" s="3" t="s">
        <v>73</v>
      </c>
      <c r="T148" s="3" t="s">
        <v>74</v>
      </c>
      <c r="U148" s="3" t="s">
        <v>66</v>
      </c>
      <c r="V148" s="3" t="s">
        <v>66</v>
      </c>
      <c r="W148" s="3" t="s">
        <v>66</v>
      </c>
      <c r="X148" s="3" t="s">
        <v>66</v>
      </c>
      <c r="Y148" s="3" t="s">
        <v>66</v>
      </c>
      <c r="Z148" s="3" t="s">
        <v>66</v>
      </c>
      <c r="AA148" s="3" t="s">
        <v>76</v>
      </c>
      <c r="AB148" s="3" t="s">
        <v>66</v>
      </c>
      <c r="AC148" s="2">
        <v>0</v>
      </c>
      <c r="AD148" s="3" t="s">
        <v>68</v>
      </c>
      <c r="AE148" s="3" t="s">
        <v>66</v>
      </c>
      <c r="AF148" s="3" t="s">
        <v>66</v>
      </c>
      <c r="AG148" s="3" t="s">
        <v>66</v>
      </c>
      <c r="AH148" s="3" t="s">
        <v>66</v>
      </c>
      <c r="AI148" s="3" t="s">
        <v>66</v>
      </c>
      <c r="AJ148" s="3" t="s">
        <v>66</v>
      </c>
      <c r="AK148" s="3" t="s">
        <v>66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3" t="s">
        <v>66</v>
      </c>
      <c r="BC148" s="3" t="s">
        <v>66</v>
      </c>
      <c r="BD148" s="2">
        <v>730719</v>
      </c>
      <c r="BE148" s="2">
        <v>3762590</v>
      </c>
      <c r="BF148" s="4"/>
      <c r="BG148" s="4"/>
      <c r="BH148" s="4"/>
      <c r="BI148" s="2">
        <v>0</v>
      </c>
      <c r="BJ148" s="2">
        <v>0</v>
      </c>
    </row>
    <row r="149" spans="1:62" hidden="1" x14ac:dyDescent="0.35">
      <c r="A149" s="2">
        <v>103517</v>
      </c>
      <c r="B149" s="2">
        <v>147</v>
      </c>
      <c r="C149" s="3" t="s">
        <v>57</v>
      </c>
      <c r="D149" s="3" t="s">
        <v>279</v>
      </c>
      <c r="E149" s="2">
        <v>1</v>
      </c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66</v>
      </c>
      <c r="K149" s="2">
        <v>17170920136</v>
      </c>
      <c r="L149" s="7">
        <f t="shared" si="5"/>
        <v>17170920134</v>
      </c>
      <c r="M149" s="7">
        <f t="shared" si="6"/>
        <v>17170920137</v>
      </c>
      <c r="N149" s="3" t="s">
        <v>64</v>
      </c>
      <c r="O149" s="5" t="s">
        <v>281</v>
      </c>
      <c r="P149" s="3" t="s">
        <v>66</v>
      </c>
      <c r="Q149" s="3" t="s">
        <v>72</v>
      </c>
      <c r="R149" s="2">
        <v>1</v>
      </c>
      <c r="S149" s="3" t="s">
        <v>73</v>
      </c>
      <c r="T149" s="3" t="s">
        <v>74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76</v>
      </c>
      <c r="AB149" s="3" t="s">
        <v>66</v>
      </c>
      <c r="AC149" s="2">
        <v>0</v>
      </c>
      <c r="AD149" s="3" t="s">
        <v>68</v>
      </c>
      <c r="AE149" s="3" t="s">
        <v>66</v>
      </c>
      <c r="AF149" s="3" t="s">
        <v>66</v>
      </c>
      <c r="AG149" s="3" t="s">
        <v>66</v>
      </c>
      <c r="AH149" s="3" t="s">
        <v>66</v>
      </c>
      <c r="AI149" s="3" t="s">
        <v>66</v>
      </c>
      <c r="AJ149" s="3" t="s">
        <v>66</v>
      </c>
      <c r="AK149" s="3" t="s">
        <v>66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3" t="s">
        <v>66</v>
      </c>
      <c r="BC149" s="3" t="s">
        <v>66</v>
      </c>
      <c r="BD149" s="2">
        <v>730798.00000000105</v>
      </c>
      <c r="BE149" s="2">
        <v>3762531</v>
      </c>
      <c r="BF149" s="4"/>
      <c r="BG149" s="4"/>
      <c r="BH149" s="4"/>
      <c r="BI149" s="2">
        <v>0</v>
      </c>
      <c r="BJ149" s="2">
        <v>0</v>
      </c>
    </row>
    <row r="150" spans="1:62" hidden="1" x14ac:dyDescent="0.35">
      <c r="A150" s="2">
        <v>103518</v>
      </c>
      <c r="B150" s="2">
        <v>148</v>
      </c>
      <c r="C150" s="3" t="s">
        <v>57</v>
      </c>
      <c r="D150" s="3" t="s">
        <v>279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17170920137</v>
      </c>
      <c r="L150" s="7">
        <f t="shared" si="5"/>
        <v>17170920137</v>
      </c>
      <c r="M150" s="7">
        <f t="shared" si="6"/>
        <v>17170920137</v>
      </c>
      <c r="N150" s="3" t="s">
        <v>64</v>
      </c>
      <c r="O150" s="5" t="s">
        <v>282</v>
      </c>
      <c r="P150" s="3" t="s">
        <v>71</v>
      </c>
      <c r="Q150" s="3" t="s">
        <v>72</v>
      </c>
      <c r="R150" s="2">
        <v>1</v>
      </c>
      <c r="S150" s="3" t="s">
        <v>73</v>
      </c>
      <c r="T150" s="3" t="s">
        <v>126</v>
      </c>
      <c r="U150" s="3" t="s">
        <v>269</v>
      </c>
      <c r="V150" s="3" t="s">
        <v>269</v>
      </c>
      <c r="W150" s="3" t="s">
        <v>269</v>
      </c>
      <c r="X150" s="3" t="s">
        <v>66</v>
      </c>
      <c r="Y150" s="3" t="s">
        <v>66</v>
      </c>
      <c r="Z150" s="3" t="s">
        <v>66</v>
      </c>
      <c r="AA150" s="3" t="s">
        <v>76</v>
      </c>
      <c r="AB150" s="3" t="s">
        <v>66</v>
      </c>
      <c r="AC150" s="2">
        <v>0</v>
      </c>
      <c r="AD150" s="3" t="s">
        <v>68</v>
      </c>
      <c r="AE150" s="3" t="s">
        <v>66</v>
      </c>
      <c r="AF150" s="3" t="s">
        <v>66</v>
      </c>
      <c r="AG150" s="3" t="s">
        <v>66</v>
      </c>
      <c r="AH150" s="3" t="s">
        <v>66</v>
      </c>
      <c r="AI150" s="3" t="s">
        <v>66</v>
      </c>
      <c r="AJ150" s="3" t="s">
        <v>66</v>
      </c>
      <c r="AK150" s="3" t="s">
        <v>66</v>
      </c>
      <c r="AL150" s="3" t="s">
        <v>66</v>
      </c>
      <c r="AM150" s="3" t="s">
        <v>66</v>
      </c>
      <c r="AN150" s="3" t="s">
        <v>87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3" t="s">
        <v>66</v>
      </c>
      <c r="BC150" s="3" t="s">
        <v>66</v>
      </c>
      <c r="BD150" s="2">
        <v>730840</v>
      </c>
      <c r="BE150" s="2">
        <v>3762530</v>
      </c>
      <c r="BF150" s="4"/>
      <c r="BG150" s="4"/>
      <c r="BH150" s="4"/>
      <c r="BI150" s="2">
        <v>0</v>
      </c>
      <c r="BJ150" s="2">
        <v>0</v>
      </c>
    </row>
    <row r="151" spans="1:62" hidden="1" x14ac:dyDescent="0.35">
      <c r="A151" s="2">
        <v>103519</v>
      </c>
      <c r="B151" s="2">
        <v>149</v>
      </c>
      <c r="C151" s="3" t="s">
        <v>57</v>
      </c>
      <c r="D151" s="3" t="s">
        <v>283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17170920137</v>
      </c>
      <c r="L151" s="7">
        <f t="shared" si="5"/>
        <v>17170920137</v>
      </c>
      <c r="M151" s="7">
        <f t="shared" si="6"/>
        <v>17170920140</v>
      </c>
      <c r="N151" s="3" t="s">
        <v>64</v>
      </c>
      <c r="O151" s="5" t="s">
        <v>282</v>
      </c>
      <c r="P151" s="3" t="s">
        <v>66</v>
      </c>
      <c r="Q151" s="3" t="s">
        <v>72</v>
      </c>
      <c r="R151" s="2">
        <v>1</v>
      </c>
      <c r="S151" s="3" t="s">
        <v>73</v>
      </c>
      <c r="T151" s="3" t="s">
        <v>126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3" t="s">
        <v>66</v>
      </c>
      <c r="BC151" s="3" t="s">
        <v>66</v>
      </c>
      <c r="BD151" s="2">
        <v>730840</v>
      </c>
      <c r="BE151" s="2">
        <v>3762530</v>
      </c>
      <c r="BF151" s="4"/>
      <c r="BG151" s="4"/>
      <c r="BH151" s="4"/>
      <c r="BI151" s="2">
        <v>0</v>
      </c>
      <c r="BJ151" s="2">
        <v>0</v>
      </c>
    </row>
    <row r="152" spans="1:62" hidden="1" x14ac:dyDescent="0.35">
      <c r="A152" s="2">
        <v>103520</v>
      </c>
      <c r="B152" s="2">
        <v>150</v>
      </c>
      <c r="C152" s="3" t="s">
        <v>57</v>
      </c>
      <c r="D152" s="3" t="s">
        <v>283</v>
      </c>
      <c r="E152" s="2">
        <v>0</v>
      </c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66</v>
      </c>
      <c r="K152" s="2">
        <v>17170920138</v>
      </c>
      <c r="L152" s="7">
        <f t="shared" si="5"/>
        <v>17170920137</v>
      </c>
      <c r="M152" s="7">
        <f t="shared" si="6"/>
        <v>17170920140</v>
      </c>
      <c r="N152" s="3" t="s">
        <v>64</v>
      </c>
      <c r="O152" s="5" t="s">
        <v>284</v>
      </c>
      <c r="P152" s="3" t="s">
        <v>66</v>
      </c>
      <c r="Q152" s="3" t="s">
        <v>72</v>
      </c>
      <c r="R152" s="2">
        <v>1</v>
      </c>
      <c r="S152" s="3" t="s">
        <v>73</v>
      </c>
      <c r="T152" s="3" t="s">
        <v>126</v>
      </c>
      <c r="U152" s="3" t="s">
        <v>66</v>
      </c>
      <c r="V152" s="3" t="s">
        <v>66</v>
      </c>
      <c r="W152" s="3" t="s">
        <v>66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66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3" t="s">
        <v>66</v>
      </c>
      <c r="BC152" s="3" t="s">
        <v>66</v>
      </c>
      <c r="BD152" s="2">
        <v>730804</v>
      </c>
      <c r="BE152" s="2">
        <v>3762473</v>
      </c>
      <c r="BF152" s="4"/>
      <c r="BG152" s="4"/>
      <c r="BH152" s="4"/>
      <c r="BI152" s="2">
        <v>0</v>
      </c>
      <c r="BJ152" s="2">
        <v>0</v>
      </c>
    </row>
    <row r="153" spans="1:62" hidden="1" x14ac:dyDescent="0.35">
      <c r="A153" s="2">
        <v>103521</v>
      </c>
      <c r="B153" s="2">
        <v>151</v>
      </c>
      <c r="C153" s="3" t="s">
        <v>57</v>
      </c>
      <c r="D153" s="3" t="s">
        <v>283</v>
      </c>
      <c r="E153" s="2">
        <v>1</v>
      </c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66</v>
      </c>
      <c r="K153" s="2">
        <v>17170920139</v>
      </c>
      <c r="L153" s="7">
        <f t="shared" si="5"/>
        <v>17170920137</v>
      </c>
      <c r="M153" s="7">
        <f t="shared" si="6"/>
        <v>17170920140</v>
      </c>
      <c r="N153" s="3" t="s">
        <v>64</v>
      </c>
      <c r="O153" s="5" t="s">
        <v>285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126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3" t="s">
        <v>66</v>
      </c>
      <c r="BC153" s="3" t="s">
        <v>66</v>
      </c>
      <c r="BD153" s="2">
        <v>730782.00000000105</v>
      </c>
      <c r="BE153" s="2">
        <v>3762420</v>
      </c>
      <c r="BF153" s="4"/>
      <c r="BG153" s="4"/>
      <c r="BH153" s="4"/>
      <c r="BI153" s="2">
        <v>0</v>
      </c>
      <c r="BJ153" s="2">
        <v>0</v>
      </c>
    </row>
    <row r="154" spans="1:62" hidden="1" x14ac:dyDescent="0.35">
      <c r="A154" s="2">
        <v>103522</v>
      </c>
      <c r="B154" s="2">
        <v>152</v>
      </c>
      <c r="C154" s="3" t="s">
        <v>57</v>
      </c>
      <c r="D154" s="3" t="s">
        <v>283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17170920140</v>
      </c>
      <c r="L154" s="7">
        <f t="shared" si="5"/>
        <v>17170920140</v>
      </c>
      <c r="M154" s="7">
        <f t="shared" si="6"/>
        <v>17170920140</v>
      </c>
      <c r="N154" s="3" t="s">
        <v>64</v>
      </c>
      <c r="O154" s="5" t="s">
        <v>286</v>
      </c>
      <c r="P154" s="3" t="s">
        <v>71</v>
      </c>
      <c r="Q154" s="3" t="s">
        <v>72</v>
      </c>
      <c r="R154" s="2">
        <v>1</v>
      </c>
      <c r="S154" s="3" t="s">
        <v>73</v>
      </c>
      <c r="T154" s="3" t="s">
        <v>126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76</v>
      </c>
      <c r="AB154" s="3" t="s">
        <v>66</v>
      </c>
      <c r="AC154" s="2">
        <v>0</v>
      </c>
      <c r="AD154" s="3" t="s">
        <v>68</v>
      </c>
      <c r="AE154" s="3" t="s">
        <v>66</v>
      </c>
      <c r="AF154" s="3" t="s">
        <v>66</v>
      </c>
      <c r="AG154" s="3" t="s">
        <v>66</v>
      </c>
      <c r="AH154" s="3" t="s">
        <v>66</v>
      </c>
      <c r="AI154" s="3" t="s">
        <v>66</v>
      </c>
      <c r="AJ154" s="3" t="s">
        <v>66</v>
      </c>
      <c r="AK154" s="3" t="s">
        <v>66</v>
      </c>
      <c r="AL154" s="3" t="s">
        <v>66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3" t="s">
        <v>66</v>
      </c>
      <c r="BC154" s="3" t="s">
        <v>66</v>
      </c>
      <c r="BD154" s="2">
        <v>730762.00000000105</v>
      </c>
      <c r="BE154" s="2">
        <v>3762367</v>
      </c>
      <c r="BF154" s="4"/>
      <c r="BG154" s="4"/>
      <c r="BH154" s="4"/>
      <c r="BI154" s="2">
        <v>0</v>
      </c>
      <c r="BJ154" s="2">
        <v>0</v>
      </c>
    </row>
    <row r="155" spans="1:62" hidden="1" x14ac:dyDescent="0.35">
      <c r="A155" s="2">
        <v>103523</v>
      </c>
      <c r="B155" s="2">
        <v>153</v>
      </c>
      <c r="C155" s="3" t="s">
        <v>57</v>
      </c>
      <c r="D155" s="3" t="s">
        <v>287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17170920140</v>
      </c>
      <c r="L155" s="7">
        <f t="shared" si="5"/>
        <v>17170920140</v>
      </c>
      <c r="M155" s="7">
        <f t="shared" si="6"/>
        <v>17170920141</v>
      </c>
      <c r="N155" s="3" t="s">
        <v>64</v>
      </c>
      <c r="O155" s="5" t="s">
        <v>286</v>
      </c>
      <c r="P155" s="3" t="s">
        <v>66</v>
      </c>
      <c r="Q155" s="3" t="s">
        <v>72</v>
      </c>
      <c r="R155" s="2">
        <v>1</v>
      </c>
      <c r="S155" s="3" t="s">
        <v>73</v>
      </c>
      <c r="T155" s="3" t="s">
        <v>126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76</v>
      </c>
      <c r="AB155" s="3" t="s">
        <v>66</v>
      </c>
      <c r="AC155" s="2">
        <v>0</v>
      </c>
      <c r="AD155" s="3" t="s">
        <v>68</v>
      </c>
      <c r="AE155" s="3" t="s">
        <v>66</v>
      </c>
      <c r="AF155" s="3" t="s">
        <v>66</v>
      </c>
      <c r="AG155" s="3" t="s">
        <v>66</v>
      </c>
      <c r="AH155" s="3" t="s">
        <v>66</v>
      </c>
      <c r="AI155" s="3" t="s">
        <v>66</v>
      </c>
      <c r="AJ155" s="3" t="s">
        <v>66</v>
      </c>
      <c r="AK155" s="3" t="s">
        <v>66</v>
      </c>
      <c r="AL155" s="3" t="s">
        <v>66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3" t="s">
        <v>66</v>
      </c>
      <c r="BC155" s="3" t="s">
        <v>66</v>
      </c>
      <c r="BD155" s="2">
        <v>730762.00000000105</v>
      </c>
      <c r="BE155" s="2">
        <v>3762367</v>
      </c>
      <c r="BF155" s="4"/>
      <c r="BG155" s="4"/>
      <c r="BH155" s="4"/>
      <c r="BI155" s="2">
        <v>0</v>
      </c>
      <c r="BJ155" s="2">
        <v>0</v>
      </c>
    </row>
    <row r="156" spans="1:62" ht="58" hidden="1" x14ac:dyDescent="0.35">
      <c r="A156" s="2">
        <v>103524</v>
      </c>
      <c r="B156" s="2">
        <v>154</v>
      </c>
      <c r="C156" s="3" t="s">
        <v>57</v>
      </c>
      <c r="D156" s="3" t="s">
        <v>287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17170920141</v>
      </c>
      <c r="L156" s="7">
        <f t="shared" si="5"/>
        <v>17170920141</v>
      </c>
      <c r="M156" s="7">
        <f t="shared" si="6"/>
        <v>17170920141</v>
      </c>
      <c r="N156" s="3" t="s">
        <v>64</v>
      </c>
      <c r="O156" s="5" t="s">
        <v>288</v>
      </c>
      <c r="P156" s="3" t="s">
        <v>71</v>
      </c>
      <c r="Q156" s="3" t="s">
        <v>72</v>
      </c>
      <c r="R156" s="2">
        <v>0</v>
      </c>
      <c r="S156" s="3" t="s">
        <v>66</v>
      </c>
      <c r="T156" s="3" t="s">
        <v>168</v>
      </c>
      <c r="U156" s="3" t="s">
        <v>165</v>
      </c>
      <c r="V156" s="3" t="s">
        <v>165</v>
      </c>
      <c r="W156" s="3" t="s">
        <v>165</v>
      </c>
      <c r="X156" s="3" t="s">
        <v>66</v>
      </c>
      <c r="Y156" s="3" t="s">
        <v>66</v>
      </c>
      <c r="Z156" s="3" t="s">
        <v>66</v>
      </c>
      <c r="AA156" s="3" t="s">
        <v>169</v>
      </c>
      <c r="AB156" s="3" t="s">
        <v>289</v>
      </c>
      <c r="AC156" s="2">
        <v>0</v>
      </c>
      <c r="AD156" s="3" t="s">
        <v>191</v>
      </c>
      <c r="AE156" s="3" t="s">
        <v>71</v>
      </c>
      <c r="AF156" s="3" t="s">
        <v>172</v>
      </c>
      <c r="AG156" s="3" t="s">
        <v>173</v>
      </c>
      <c r="AH156" s="3" t="s">
        <v>231</v>
      </c>
      <c r="AI156" s="3" t="s">
        <v>66</v>
      </c>
      <c r="AJ156" s="3" t="s">
        <v>66</v>
      </c>
      <c r="AK156" s="3" t="s">
        <v>175</v>
      </c>
      <c r="AL156" s="3" t="s">
        <v>66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3" t="s">
        <v>290</v>
      </c>
      <c r="BC156" s="3" t="s">
        <v>291</v>
      </c>
      <c r="BD156" s="2">
        <v>730762.00000000105</v>
      </c>
      <c r="BE156" s="2">
        <v>3762369</v>
      </c>
      <c r="BF156" s="4"/>
      <c r="BG156" s="4"/>
      <c r="BH156" s="4"/>
      <c r="BI156" s="2">
        <v>0</v>
      </c>
      <c r="BJ156" s="2">
        <v>0</v>
      </c>
    </row>
    <row r="157" spans="1:62" ht="58" hidden="1" x14ac:dyDescent="0.35">
      <c r="A157" s="2">
        <v>103525</v>
      </c>
      <c r="B157" s="2">
        <v>155</v>
      </c>
      <c r="C157" s="3" t="s">
        <v>57</v>
      </c>
      <c r="D157" s="3" t="s">
        <v>292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17170920141</v>
      </c>
      <c r="L157" s="7">
        <f t="shared" si="5"/>
        <v>17170920141</v>
      </c>
      <c r="M157" s="7">
        <f t="shared" si="6"/>
        <v>17170920142</v>
      </c>
      <c r="N157" s="3" t="s">
        <v>179</v>
      </c>
      <c r="O157" s="5" t="s">
        <v>288</v>
      </c>
      <c r="P157" s="3" t="s">
        <v>66</v>
      </c>
      <c r="Q157" s="3" t="s">
        <v>180</v>
      </c>
      <c r="R157" s="2">
        <v>0</v>
      </c>
      <c r="S157" s="3" t="s">
        <v>66</v>
      </c>
      <c r="T157" s="3" t="s">
        <v>168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181</v>
      </c>
      <c r="AB157" s="3" t="s">
        <v>289</v>
      </c>
      <c r="AC157" s="2">
        <v>0</v>
      </c>
      <c r="AD157" s="3" t="s">
        <v>191</v>
      </c>
      <c r="AE157" s="3" t="s">
        <v>71</v>
      </c>
      <c r="AF157" s="3" t="s">
        <v>172</v>
      </c>
      <c r="AG157" s="3" t="s">
        <v>173</v>
      </c>
      <c r="AH157" s="3" t="s">
        <v>231</v>
      </c>
      <c r="AI157" s="3" t="s">
        <v>66</v>
      </c>
      <c r="AJ157" s="3" t="s">
        <v>66</v>
      </c>
      <c r="AK157" s="3" t="s">
        <v>175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3" t="s">
        <v>290</v>
      </c>
      <c r="BC157" s="3" t="s">
        <v>291</v>
      </c>
      <c r="BD157" s="2">
        <v>730762.00000000105</v>
      </c>
      <c r="BE157" s="2">
        <v>3762369</v>
      </c>
      <c r="BF157" s="4"/>
      <c r="BG157" s="4"/>
      <c r="BH157" s="4"/>
      <c r="BI157" s="2">
        <v>0</v>
      </c>
      <c r="BJ157" s="2">
        <v>0</v>
      </c>
    </row>
    <row r="158" spans="1:62" ht="58" hidden="1" x14ac:dyDescent="0.35">
      <c r="A158" s="2">
        <v>103526</v>
      </c>
      <c r="B158" s="2">
        <v>156</v>
      </c>
      <c r="C158" s="3" t="s">
        <v>57</v>
      </c>
      <c r="D158" s="3" t="s">
        <v>292</v>
      </c>
      <c r="E158" s="4"/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69</v>
      </c>
      <c r="K158" s="2">
        <v>17170920142</v>
      </c>
      <c r="L158" s="7">
        <f t="shared" si="5"/>
        <v>17170920142</v>
      </c>
      <c r="M158" s="7">
        <f t="shared" si="6"/>
        <v>17170920142</v>
      </c>
      <c r="N158" s="3" t="s">
        <v>179</v>
      </c>
      <c r="O158" s="5" t="s">
        <v>293</v>
      </c>
      <c r="P158" s="3" t="s">
        <v>183</v>
      </c>
      <c r="Q158" s="3" t="s">
        <v>180</v>
      </c>
      <c r="R158" s="2">
        <v>0</v>
      </c>
      <c r="S158" s="3" t="s">
        <v>66</v>
      </c>
      <c r="T158" s="3" t="s">
        <v>168</v>
      </c>
      <c r="U158" s="3" t="s">
        <v>195</v>
      </c>
      <c r="V158" s="3" t="s">
        <v>195</v>
      </c>
      <c r="W158" s="3" t="s">
        <v>195</v>
      </c>
      <c r="X158" s="3" t="s">
        <v>195</v>
      </c>
      <c r="Y158" s="3" t="s">
        <v>66</v>
      </c>
      <c r="Z158" s="3" t="s">
        <v>66</v>
      </c>
      <c r="AA158" s="3" t="s">
        <v>181</v>
      </c>
      <c r="AB158" s="3" t="s">
        <v>289</v>
      </c>
      <c r="AC158" s="2">
        <v>0</v>
      </c>
      <c r="AD158" s="3" t="s">
        <v>191</v>
      </c>
      <c r="AE158" s="3" t="s">
        <v>71</v>
      </c>
      <c r="AF158" s="3" t="s">
        <v>172</v>
      </c>
      <c r="AG158" s="3" t="s">
        <v>173</v>
      </c>
      <c r="AH158" s="3" t="s">
        <v>231</v>
      </c>
      <c r="AI158" s="3" t="s">
        <v>66</v>
      </c>
      <c r="AJ158" s="3" t="s">
        <v>66</v>
      </c>
      <c r="AK158" s="3" t="s">
        <v>175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3" t="s">
        <v>290</v>
      </c>
      <c r="BC158" s="3" t="s">
        <v>291</v>
      </c>
      <c r="BD158" s="2">
        <v>730762.00000000105</v>
      </c>
      <c r="BE158" s="2">
        <v>3762370</v>
      </c>
      <c r="BF158" s="4"/>
      <c r="BG158" s="4"/>
      <c r="BH158" s="4"/>
      <c r="BI158" s="2">
        <v>0</v>
      </c>
      <c r="BJ158" s="2">
        <v>0</v>
      </c>
    </row>
    <row r="159" spans="1:62" hidden="1" x14ac:dyDescent="0.35">
      <c r="A159" s="2">
        <v>103527</v>
      </c>
      <c r="B159" s="2">
        <v>157</v>
      </c>
      <c r="C159" s="3" t="s">
        <v>57</v>
      </c>
      <c r="D159" s="3" t="s">
        <v>294</v>
      </c>
      <c r="E159" s="4"/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63</v>
      </c>
      <c r="K159" s="2">
        <v>17170920140</v>
      </c>
      <c r="L159" s="7">
        <f t="shared" si="5"/>
        <v>17170920142</v>
      </c>
      <c r="M159" s="7">
        <f t="shared" si="6"/>
        <v>17170920147</v>
      </c>
      <c r="N159" s="3" t="s">
        <v>64</v>
      </c>
      <c r="O159" s="5" t="s">
        <v>286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126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3" t="s">
        <v>66</v>
      </c>
      <c r="BC159" s="3" t="s">
        <v>66</v>
      </c>
      <c r="BD159" s="2">
        <v>730762.00000000105</v>
      </c>
      <c r="BE159" s="2">
        <v>3762367</v>
      </c>
      <c r="BF159" s="4"/>
      <c r="BG159" s="4"/>
      <c r="BH159" s="4"/>
      <c r="BI159" s="2">
        <v>0</v>
      </c>
      <c r="BJ159" s="2">
        <v>0</v>
      </c>
    </row>
    <row r="160" spans="1:62" hidden="1" x14ac:dyDescent="0.35">
      <c r="A160" s="2">
        <v>103528</v>
      </c>
      <c r="B160" s="2">
        <v>158</v>
      </c>
      <c r="C160" s="3" t="s">
        <v>57</v>
      </c>
      <c r="D160" s="3" t="s">
        <v>294</v>
      </c>
      <c r="E160" s="2">
        <v>0</v>
      </c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66</v>
      </c>
      <c r="K160" s="2">
        <v>17170920143</v>
      </c>
      <c r="L160" s="7">
        <f t="shared" si="5"/>
        <v>17170920142</v>
      </c>
      <c r="M160" s="7">
        <f t="shared" si="6"/>
        <v>17170920147</v>
      </c>
      <c r="N160" s="3" t="s">
        <v>64</v>
      </c>
      <c r="O160" s="5" t="s">
        <v>295</v>
      </c>
      <c r="P160" s="3" t="s">
        <v>66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66</v>
      </c>
      <c r="V160" s="3" t="s">
        <v>66</v>
      </c>
      <c r="W160" s="3" t="s">
        <v>66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66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3" t="s">
        <v>66</v>
      </c>
      <c r="BC160" s="3" t="s">
        <v>66</v>
      </c>
      <c r="BD160" s="2">
        <v>730752.00000000105</v>
      </c>
      <c r="BE160" s="2">
        <v>3762337</v>
      </c>
      <c r="BF160" s="4"/>
      <c r="BG160" s="4"/>
      <c r="BH160" s="4"/>
      <c r="BI160" s="2">
        <v>0</v>
      </c>
      <c r="BJ160" s="2">
        <v>0</v>
      </c>
    </row>
    <row r="161" spans="1:62" hidden="1" x14ac:dyDescent="0.35">
      <c r="A161" s="2">
        <v>103529</v>
      </c>
      <c r="B161" s="2">
        <v>159</v>
      </c>
      <c r="C161" s="3" t="s">
        <v>57</v>
      </c>
      <c r="D161" s="3" t="s">
        <v>294</v>
      </c>
      <c r="E161" s="2">
        <v>1</v>
      </c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66</v>
      </c>
      <c r="K161" s="2">
        <v>17170920144</v>
      </c>
      <c r="L161" s="7">
        <f t="shared" si="5"/>
        <v>17170920142</v>
      </c>
      <c r="M161" s="7">
        <f t="shared" si="6"/>
        <v>17170920147</v>
      </c>
      <c r="N161" s="3" t="s">
        <v>64</v>
      </c>
      <c r="O161" s="5" t="s">
        <v>296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3" t="s">
        <v>66</v>
      </c>
      <c r="BC161" s="3" t="s">
        <v>66</v>
      </c>
      <c r="BD161" s="2">
        <v>730708.00000000105</v>
      </c>
      <c r="BE161" s="2">
        <v>3762283</v>
      </c>
      <c r="BF161" s="4"/>
      <c r="BG161" s="4"/>
      <c r="BH161" s="4"/>
      <c r="BI161" s="2">
        <v>0</v>
      </c>
      <c r="BJ161" s="2">
        <v>0</v>
      </c>
    </row>
    <row r="162" spans="1:62" hidden="1" x14ac:dyDescent="0.35">
      <c r="A162" s="2">
        <v>103530</v>
      </c>
      <c r="B162" s="2">
        <v>160</v>
      </c>
      <c r="C162" s="3" t="s">
        <v>57</v>
      </c>
      <c r="D162" s="3" t="s">
        <v>294</v>
      </c>
      <c r="E162" s="2">
        <v>2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17170920145</v>
      </c>
      <c r="L162" s="7">
        <f t="shared" si="5"/>
        <v>17170920142</v>
      </c>
      <c r="M162" s="7">
        <f t="shared" si="6"/>
        <v>17170920147</v>
      </c>
      <c r="N162" s="3" t="s">
        <v>64</v>
      </c>
      <c r="O162" s="5" t="s">
        <v>297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3" t="s">
        <v>66</v>
      </c>
      <c r="BC162" s="3" t="s">
        <v>66</v>
      </c>
      <c r="BD162" s="2">
        <v>730695.00000000105</v>
      </c>
      <c r="BE162" s="2">
        <v>3762230</v>
      </c>
      <c r="BF162" s="4"/>
      <c r="BG162" s="4"/>
      <c r="BH162" s="4"/>
      <c r="BI162" s="2">
        <v>0</v>
      </c>
      <c r="BJ162" s="2">
        <v>0</v>
      </c>
    </row>
    <row r="163" spans="1:62" hidden="1" x14ac:dyDescent="0.35">
      <c r="A163" s="2">
        <v>103531</v>
      </c>
      <c r="B163" s="2">
        <v>161</v>
      </c>
      <c r="C163" s="3" t="s">
        <v>57</v>
      </c>
      <c r="D163" s="3" t="s">
        <v>294</v>
      </c>
      <c r="E163" s="2">
        <v>3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17170920146</v>
      </c>
      <c r="L163" s="7">
        <f t="shared" si="5"/>
        <v>17170920142</v>
      </c>
      <c r="M163" s="7">
        <f t="shared" si="6"/>
        <v>17170920147</v>
      </c>
      <c r="N163" s="3" t="s">
        <v>64</v>
      </c>
      <c r="O163" s="5" t="s">
        <v>298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3" t="s">
        <v>66</v>
      </c>
      <c r="BC163" s="3" t="s">
        <v>66</v>
      </c>
      <c r="BD163" s="2">
        <v>730685.00000000105</v>
      </c>
      <c r="BE163" s="2">
        <v>3762173</v>
      </c>
      <c r="BF163" s="4"/>
      <c r="BG163" s="4"/>
      <c r="BH163" s="4"/>
      <c r="BI163" s="2">
        <v>0</v>
      </c>
      <c r="BJ163" s="2">
        <v>0</v>
      </c>
    </row>
    <row r="164" spans="1:62" hidden="1" x14ac:dyDescent="0.35">
      <c r="A164" s="2">
        <v>103532</v>
      </c>
      <c r="B164" s="2">
        <v>162</v>
      </c>
      <c r="C164" s="3" t="s">
        <v>57</v>
      </c>
      <c r="D164" s="3" t="s">
        <v>294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17170920147</v>
      </c>
      <c r="L164" s="7">
        <f t="shared" si="5"/>
        <v>17170920147</v>
      </c>
      <c r="M164" s="7">
        <f t="shared" si="6"/>
        <v>17170920147</v>
      </c>
      <c r="N164" s="3" t="s">
        <v>64</v>
      </c>
      <c r="O164" s="5" t="s">
        <v>299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3" t="s">
        <v>66</v>
      </c>
      <c r="BC164" s="3" t="s">
        <v>66</v>
      </c>
      <c r="BD164" s="2">
        <v>730667.00000000105</v>
      </c>
      <c r="BE164" s="2">
        <v>3762112</v>
      </c>
      <c r="BF164" s="4"/>
      <c r="BG164" s="4"/>
      <c r="BH164" s="4"/>
      <c r="BI164" s="2">
        <v>0</v>
      </c>
      <c r="BJ164" s="2">
        <v>0</v>
      </c>
    </row>
    <row r="165" spans="1:62" hidden="1" x14ac:dyDescent="0.35">
      <c r="A165" s="2">
        <v>103533</v>
      </c>
      <c r="B165" s="2">
        <v>163</v>
      </c>
      <c r="C165" s="3" t="s">
        <v>57</v>
      </c>
      <c r="D165" s="3" t="s">
        <v>300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17170920147</v>
      </c>
      <c r="L165" s="7">
        <f t="shared" si="5"/>
        <v>17170920147</v>
      </c>
      <c r="M165" s="7">
        <f t="shared" si="6"/>
        <v>17170920148</v>
      </c>
      <c r="N165" s="3" t="s">
        <v>64</v>
      </c>
      <c r="O165" s="5" t="s">
        <v>299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3" t="s">
        <v>66</v>
      </c>
      <c r="BC165" s="3" t="s">
        <v>66</v>
      </c>
      <c r="BD165" s="2">
        <v>730667.00000000105</v>
      </c>
      <c r="BE165" s="2">
        <v>3762112</v>
      </c>
      <c r="BF165" s="4"/>
      <c r="BG165" s="4"/>
      <c r="BH165" s="4"/>
      <c r="BI165" s="2">
        <v>0</v>
      </c>
      <c r="BJ165" s="2">
        <v>0</v>
      </c>
    </row>
    <row r="166" spans="1:62" ht="58" hidden="1" x14ac:dyDescent="0.35">
      <c r="A166" s="2">
        <v>103534</v>
      </c>
      <c r="B166" s="2">
        <v>164</v>
      </c>
      <c r="C166" s="3" t="s">
        <v>57</v>
      </c>
      <c r="D166" s="3" t="s">
        <v>300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17170920148</v>
      </c>
      <c r="L166" s="7">
        <f t="shared" si="5"/>
        <v>17170920148</v>
      </c>
      <c r="M166" s="7">
        <f t="shared" si="6"/>
        <v>17170920148</v>
      </c>
      <c r="N166" s="3" t="s">
        <v>64</v>
      </c>
      <c r="O166" s="5" t="s">
        <v>301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302</v>
      </c>
      <c r="AC166" s="2">
        <v>0</v>
      </c>
      <c r="AD166" s="3" t="s">
        <v>171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205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3" t="s">
        <v>303</v>
      </c>
      <c r="BC166" s="3" t="s">
        <v>304</v>
      </c>
      <c r="BD166" s="2">
        <v>730667.00000000105</v>
      </c>
      <c r="BE166" s="2">
        <v>3762113</v>
      </c>
      <c r="BF166" s="4"/>
      <c r="BG166" s="4"/>
      <c r="BH166" s="4"/>
      <c r="BI166" s="2">
        <v>0</v>
      </c>
      <c r="BJ166" s="2">
        <v>0</v>
      </c>
    </row>
    <row r="167" spans="1:62" ht="58" hidden="1" x14ac:dyDescent="0.35">
      <c r="A167" s="2">
        <v>103535</v>
      </c>
      <c r="B167" s="2">
        <v>165</v>
      </c>
      <c r="C167" s="3" t="s">
        <v>57</v>
      </c>
      <c r="D167" s="3" t="s">
        <v>305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17170920148</v>
      </c>
      <c r="L167" s="7">
        <f t="shared" si="5"/>
        <v>17170920148</v>
      </c>
      <c r="M167" s="7">
        <f t="shared" si="6"/>
        <v>17170920149</v>
      </c>
      <c r="N167" s="3" t="s">
        <v>179</v>
      </c>
      <c r="O167" s="5" t="s">
        <v>301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302</v>
      </c>
      <c r="AC167" s="2">
        <v>0</v>
      </c>
      <c r="AD167" s="3" t="s">
        <v>171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205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3" t="s">
        <v>303</v>
      </c>
      <c r="BC167" s="3" t="s">
        <v>304</v>
      </c>
      <c r="BD167" s="2">
        <v>730667.00000000105</v>
      </c>
      <c r="BE167" s="2">
        <v>3762113</v>
      </c>
      <c r="BF167" s="4"/>
      <c r="BG167" s="4"/>
      <c r="BH167" s="4"/>
      <c r="BI167" s="2">
        <v>0</v>
      </c>
      <c r="BJ167" s="2">
        <v>0</v>
      </c>
    </row>
    <row r="168" spans="1:62" ht="58" hidden="1" x14ac:dyDescent="0.35">
      <c r="A168" s="2">
        <v>103536</v>
      </c>
      <c r="B168" s="2">
        <v>166</v>
      </c>
      <c r="C168" s="3" t="s">
        <v>57</v>
      </c>
      <c r="D168" s="3" t="s">
        <v>305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17170920149</v>
      </c>
      <c r="L168" s="7">
        <f t="shared" si="5"/>
        <v>17170920149</v>
      </c>
      <c r="M168" s="7">
        <f t="shared" si="6"/>
        <v>17170920149</v>
      </c>
      <c r="N168" s="3" t="s">
        <v>179</v>
      </c>
      <c r="O168" s="5" t="s">
        <v>306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248</v>
      </c>
      <c r="V168" s="3" t="s">
        <v>248</v>
      </c>
      <c r="W168" s="3" t="s">
        <v>248</v>
      </c>
      <c r="X168" s="3" t="s">
        <v>248</v>
      </c>
      <c r="Y168" s="3" t="s">
        <v>66</v>
      </c>
      <c r="Z168" s="3" t="s">
        <v>66</v>
      </c>
      <c r="AA168" s="3" t="s">
        <v>181</v>
      </c>
      <c r="AB168" s="3" t="s">
        <v>302</v>
      </c>
      <c r="AC168" s="2">
        <v>0</v>
      </c>
      <c r="AD168" s="3" t="s">
        <v>171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205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3" t="s">
        <v>303</v>
      </c>
      <c r="BC168" s="3" t="s">
        <v>304</v>
      </c>
      <c r="BD168" s="2">
        <v>730667.00000000105</v>
      </c>
      <c r="BE168" s="2">
        <v>3762111</v>
      </c>
      <c r="BF168" s="4"/>
      <c r="BG168" s="4"/>
      <c r="BH168" s="4"/>
      <c r="BI168" s="2">
        <v>0</v>
      </c>
      <c r="BJ168" s="2">
        <v>0</v>
      </c>
    </row>
    <row r="169" spans="1:62" hidden="1" x14ac:dyDescent="0.35">
      <c r="A169" s="2">
        <v>103537</v>
      </c>
      <c r="B169" s="2">
        <v>167</v>
      </c>
      <c r="C169" s="3" t="s">
        <v>57</v>
      </c>
      <c r="D169" s="3" t="s">
        <v>307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17170920147</v>
      </c>
      <c r="L169" s="7">
        <f t="shared" si="5"/>
        <v>17170920149</v>
      </c>
      <c r="M169" s="7">
        <f t="shared" si="6"/>
        <v>17170920150</v>
      </c>
      <c r="N169" s="3" t="s">
        <v>64</v>
      </c>
      <c r="O169" s="5" t="s">
        <v>299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3" t="s">
        <v>66</v>
      </c>
      <c r="BC169" s="3" t="s">
        <v>66</v>
      </c>
      <c r="BD169" s="2">
        <v>730667.00000000105</v>
      </c>
      <c r="BE169" s="2">
        <v>3762112</v>
      </c>
      <c r="BF169" s="4"/>
      <c r="BG169" s="4"/>
      <c r="BH169" s="4"/>
      <c r="BI169" s="2">
        <v>0</v>
      </c>
      <c r="BJ169" s="2">
        <v>0</v>
      </c>
    </row>
    <row r="170" spans="1:62" hidden="1" x14ac:dyDescent="0.35">
      <c r="A170" s="2">
        <v>103538</v>
      </c>
      <c r="B170" s="2">
        <v>168</v>
      </c>
      <c r="C170" s="3" t="s">
        <v>57</v>
      </c>
      <c r="D170" s="3" t="s">
        <v>307</v>
      </c>
      <c r="E170" s="4"/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69</v>
      </c>
      <c r="K170" s="2">
        <v>17170920150</v>
      </c>
      <c r="L170" s="7">
        <f t="shared" si="5"/>
        <v>17170920150</v>
      </c>
      <c r="M170" s="7">
        <f t="shared" si="6"/>
        <v>17170920150</v>
      </c>
      <c r="N170" s="3" t="s">
        <v>64</v>
      </c>
      <c r="O170" s="5" t="s">
        <v>308</v>
      </c>
      <c r="P170" s="3" t="s">
        <v>71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165</v>
      </c>
      <c r="V170" s="3" t="s">
        <v>165</v>
      </c>
      <c r="W170" s="3" t="s">
        <v>165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87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3" t="s">
        <v>66</v>
      </c>
      <c r="BC170" s="3" t="s">
        <v>66</v>
      </c>
      <c r="BD170" s="2">
        <v>730646.00000000198</v>
      </c>
      <c r="BE170" s="2">
        <v>3762059</v>
      </c>
      <c r="BF170" s="4"/>
      <c r="BG170" s="4"/>
      <c r="BH170" s="4"/>
      <c r="BI170" s="2">
        <v>0</v>
      </c>
      <c r="BJ170" s="2">
        <v>0</v>
      </c>
    </row>
    <row r="171" spans="1:62" hidden="1" x14ac:dyDescent="0.35">
      <c r="A171" s="2">
        <v>103539</v>
      </c>
      <c r="B171" s="2">
        <v>169</v>
      </c>
      <c r="C171" s="3" t="s">
        <v>57</v>
      </c>
      <c r="D171" s="3" t="s">
        <v>309</v>
      </c>
      <c r="E171" s="4"/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63</v>
      </c>
      <c r="K171" s="2">
        <v>17170920150</v>
      </c>
      <c r="L171" s="7">
        <f t="shared" si="5"/>
        <v>17170920150</v>
      </c>
      <c r="M171" s="7">
        <f t="shared" si="6"/>
        <v>17170920151</v>
      </c>
      <c r="N171" s="3" t="s">
        <v>64</v>
      </c>
      <c r="O171" s="5" t="s">
        <v>308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3" t="s">
        <v>66</v>
      </c>
      <c r="BC171" s="3" t="s">
        <v>66</v>
      </c>
      <c r="BD171" s="2">
        <v>730646.00000000198</v>
      </c>
      <c r="BE171" s="2">
        <v>3762059</v>
      </c>
      <c r="BF171" s="4"/>
      <c r="BG171" s="4"/>
      <c r="BH171" s="4"/>
      <c r="BI171" s="2">
        <v>0</v>
      </c>
      <c r="BJ171" s="2">
        <v>0</v>
      </c>
    </row>
    <row r="172" spans="1:62" hidden="1" x14ac:dyDescent="0.35">
      <c r="A172" s="2">
        <v>103540</v>
      </c>
      <c r="B172" s="2">
        <v>170</v>
      </c>
      <c r="C172" s="3" t="s">
        <v>57</v>
      </c>
      <c r="D172" s="3" t="s">
        <v>309</v>
      </c>
      <c r="E172" s="4"/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69</v>
      </c>
      <c r="K172" s="2">
        <v>17170920151</v>
      </c>
      <c r="L172" s="7">
        <f t="shared" si="5"/>
        <v>17170920151</v>
      </c>
      <c r="M172" s="7">
        <f t="shared" si="6"/>
        <v>17170920151</v>
      </c>
      <c r="N172" s="3" t="s">
        <v>64</v>
      </c>
      <c r="O172" s="5" t="s">
        <v>310</v>
      </c>
      <c r="P172" s="3" t="s">
        <v>71</v>
      </c>
      <c r="Q172" s="3" t="s">
        <v>72</v>
      </c>
      <c r="R172" s="2">
        <v>1</v>
      </c>
      <c r="S172" s="3" t="s">
        <v>73</v>
      </c>
      <c r="T172" s="3" t="s">
        <v>84</v>
      </c>
      <c r="U172" s="3" t="s">
        <v>165</v>
      </c>
      <c r="V172" s="3" t="s">
        <v>165</v>
      </c>
      <c r="W172" s="3" t="s">
        <v>165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87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3" t="s">
        <v>66</v>
      </c>
      <c r="BC172" s="3" t="s">
        <v>66</v>
      </c>
      <c r="BD172" s="2">
        <v>730701.99999999895</v>
      </c>
      <c r="BE172" s="2">
        <v>3762014</v>
      </c>
      <c r="BF172" s="4"/>
      <c r="BG172" s="4"/>
      <c r="BH172" s="4"/>
      <c r="BI172" s="2">
        <v>0</v>
      </c>
      <c r="BJ172" s="2">
        <v>0</v>
      </c>
    </row>
    <row r="173" spans="1:62" hidden="1" x14ac:dyDescent="0.35">
      <c r="A173" s="2">
        <v>103541</v>
      </c>
      <c r="B173" s="2">
        <v>171</v>
      </c>
      <c r="C173" s="3" t="s">
        <v>57</v>
      </c>
      <c r="D173" s="3" t="s">
        <v>311</v>
      </c>
      <c r="E173" s="4"/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63</v>
      </c>
      <c r="K173" s="2">
        <v>17170920151</v>
      </c>
      <c r="L173" s="7">
        <f t="shared" si="5"/>
        <v>17170920151</v>
      </c>
      <c r="M173" s="7">
        <f t="shared" si="6"/>
        <v>17170920153</v>
      </c>
      <c r="N173" s="3" t="s">
        <v>64</v>
      </c>
      <c r="O173" s="5" t="s">
        <v>310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84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3" t="s">
        <v>66</v>
      </c>
      <c r="BC173" s="3" t="s">
        <v>66</v>
      </c>
      <c r="BD173" s="2">
        <v>730701.99999999895</v>
      </c>
      <c r="BE173" s="2">
        <v>3762014</v>
      </c>
      <c r="BF173" s="4"/>
      <c r="BG173" s="4"/>
      <c r="BH173" s="4"/>
      <c r="BI173" s="2">
        <v>0</v>
      </c>
      <c r="BJ173" s="2">
        <v>0</v>
      </c>
    </row>
    <row r="174" spans="1:62" hidden="1" x14ac:dyDescent="0.35">
      <c r="A174" s="2">
        <v>103542</v>
      </c>
      <c r="B174" s="2">
        <v>172</v>
      </c>
      <c r="C174" s="3" t="s">
        <v>57</v>
      </c>
      <c r="D174" s="3" t="s">
        <v>311</v>
      </c>
      <c r="E174" s="2">
        <v>0</v>
      </c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66</v>
      </c>
      <c r="K174" s="2">
        <v>17170920152</v>
      </c>
      <c r="L174" s="7">
        <f t="shared" si="5"/>
        <v>17170920151</v>
      </c>
      <c r="M174" s="7">
        <f t="shared" si="6"/>
        <v>17170920153</v>
      </c>
      <c r="N174" s="3" t="s">
        <v>64</v>
      </c>
      <c r="O174" s="5" t="s">
        <v>312</v>
      </c>
      <c r="P174" s="3" t="s">
        <v>66</v>
      </c>
      <c r="Q174" s="3" t="s">
        <v>72</v>
      </c>
      <c r="R174" s="2">
        <v>1</v>
      </c>
      <c r="S174" s="3" t="s">
        <v>73</v>
      </c>
      <c r="T174" s="3" t="s">
        <v>84</v>
      </c>
      <c r="U174" s="3" t="s">
        <v>66</v>
      </c>
      <c r="V174" s="3" t="s">
        <v>66</v>
      </c>
      <c r="W174" s="3" t="s">
        <v>66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3" t="s">
        <v>66</v>
      </c>
      <c r="BC174" s="3" t="s">
        <v>66</v>
      </c>
      <c r="BD174" s="2">
        <v>730744.00000000105</v>
      </c>
      <c r="BE174" s="2">
        <v>3761970</v>
      </c>
      <c r="BF174" s="4"/>
      <c r="BG174" s="4"/>
      <c r="BH174" s="4"/>
      <c r="BI174" s="2">
        <v>0</v>
      </c>
      <c r="BJ174" s="2">
        <v>0</v>
      </c>
    </row>
    <row r="175" spans="1:62" hidden="1" x14ac:dyDescent="0.35">
      <c r="A175" s="2">
        <v>103543</v>
      </c>
      <c r="B175" s="2">
        <v>173</v>
      </c>
      <c r="C175" s="3" t="s">
        <v>57</v>
      </c>
      <c r="D175" s="3" t="s">
        <v>311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69</v>
      </c>
      <c r="K175" s="2">
        <v>17170920153</v>
      </c>
      <c r="L175" s="7">
        <f t="shared" si="5"/>
        <v>17170920153</v>
      </c>
      <c r="M175" s="7">
        <f t="shared" si="6"/>
        <v>17170920153</v>
      </c>
      <c r="N175" s="3" t="s">
        <v>64</v>
      </c>
      <c r="O175" s="5" t="s">
        <v>313</v>
      </c>
      <c r="P175" s="3" t="s">
        <v>71</v>
      </c>
      <c r="Q175" s="3" t="s">
        <v>72</v>
      </c>
      <c r="R175" s="2">
        <v>1</v>
      </c>
      <c r="S175" s="3" t="s">
        <v>314</v>
      </c>
      <c r="T175" s="3" t="s">
        <v>126</v>
      </c>
      <c r="U175" s="3" t="s">
        <v>165</v>
      </c>
      <c r="V175" s="3" t="s">
        <v>165</v>
      </c>
      <c r="W175" s="3" t="s">
        <v>165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77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3" t="s">
        <v>66</v>
      </c>
      <c r="BC175" s="3" t="s">
        <v>66</v>
      </c>
      <c r="BD175" s="2">
        <v>730800.00000000105</v>
      </c>
      <c r="BE175" s="2">
        <v>3761917</v>
      </c>
      <c r="BF175" s="4"/>
      <c r="BG175" s="4"/>
      <c r="BH175" s="4"/>
      <c r="BI175" s="2">
        <v>0</v>
      </c>
      <c r="BJ175" s="2">
        <v>0</v>
      </c>
    </row>
    <row r="176" spans="1:62" hidden="1" x14ac:dyDescent="0.35">
      <c r="A176" s="2">
        <v>103544</v>
      </c>
      <c r="B176" s="2">
        <v>174</v>
      </c>
      <c r="C176" s="3" t="s">
        <v>57</v>
      </c>
      <c r="D176" s="3" t="s">
        <v>315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63</v>
      </c>
      <c r="K176" s="2">
        <v>17170920153</v>
      </c>
      <c r="L176" s="7">
        <f t="shared" si="5"/>
        <v>17170920153</v>
      </c>
      <c r="M176" s="7">
        <f t="shared" si="6"/>
        <v>17170920154</v>
      </c>
      <c r="N176" s="3" t="s">
        <v>64</v>
      </c>
      <c r="O176" s="5" t="s">
        <v>313</v>
      </c>
      <c r="P176" s="3" t="s">
        <v>66</v>
      </c>
      <c r="Q176" s="3" t="s">
        <v>72</v>
      </c>
      <c r="R176" s="2">
        <v>1</v>
      </c>
      <c r="S176" s="3" t="s">
        <v>314</v>
      </c>
      <c r="T176" s="3" t="s">
        <v>126</v>
      </c>
      <c r="U176" s="3" t="s">
        <v>66</v>
      </c>
      <c r="V176" s="3" t="s">
        <v>66</v>
      </c>
      <c r="W176" s="3" t="s">
        <v>66</v>
      </c>
      <c r="X176" s="3" t="s">
        <v>66</v>
      </c>
      <c r="Y176" s="3" t="s">
        <v>66</v>
      </c>
      <c r="Z176" s="3" t="s">
        <v>66</v>
      </c>
      <c r="AA176" s="3" t="s">
        <v>76</v>
      </c>
      <c r="AB176" s="3" t="s">
        <v>66</v>
      </c>
      <c r="AC176" s="2">
        <v>0</v>
      </c>
      <c r="AD176" s="3" t="s">
        <v>68</v>
      </c>
      <c r="AE176" s="3" t="s">
        <v>66</v>
      </c>
      <c r="AF176" s="3" t="s">
        <v>66</v>
      </c>
      <c r="AG176" s="3" t="s">
        <v>66</v>
      </c>
      <c r="AH176" s="3" t="s">
        <v>66</v>
      </c>
      <c r="AI176" s="3" t="s">
        <v>66</v>
      </c>
      <c r="AJ176" s="3" t="s">
        <v>66</v>
      </c>
      <c r="AK176" s="3" t="s">
        <v>66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3" t="s">
        <v>66</v>
      </c>
      <c r="BC176" s="3" t="s">
        <v>66</v>
      </c>
      <c r="BD176" s="2">
        <v>730800.00000000105</v>
      </c>
      <c r="BE176" s="2">
        <v>3761917</v>
      </c>
      <c r="BF176" s="4"/>
      <c r="BG176" s="4"/>
      <c r="BH176" s="4"/>
      <c r="BI176" s="2">
        <v>0</v>
      </c>
      <c r="BJ176" s="2">
        <v>0</v>
      </c>
    </row>
    <row r="177" spans="1:62" ht="58" hidden="1" x14ac:dyDescent="0.35">
      <c r="A177" s="2">
        <v>103545</v>
      </c>
      <c r="B177" s="2">
        <v>175</v>
      </c>
      <c r="C177" s="3" t="s">
        <v>57</v>
      </c>
      <c r="D177" s="3" t="s">
        <v>315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69</v>
      </c>
      <c r="K177" s="2">
        <v>17170920154</v>
      </c>
      <c r="L177" s="7">
        <f t="shared" si="5"/>
        <v>17170920154</v>
      </c>
      <c r="M177" s="7">
        <f t="shared" si="6"/>
        <v>17170920154</v>
      </c>
      <c r="N177" s="3" t="s">
        <v>64</v>
      </c>
      <c r="O177" s="5" t="s">
        <v>316</v>
      </c>
      <c r="P177" s="3" t="s">
        <v>71</v>
      </c>
      <c r="Q177" s="3" t="s">
        <v>72</v>
      </c>
      <c r="R177" s="2">
        <v>0</v>
      </c>
      <c r="S177" s="3" t="s">
        <v>66</v>
      </c>
      <c r="T177" s="3" t="s">
        <v>168</v>
      </c>
      <c r="U177" s="3" t="s">
        <v>187</v>
      </c>
      <c r="V177" s="3" t="s">
        <v>187</v>
      </c>
      <c r="W177" s="3" t="s">
        <v>187</v>
      </c>
      <c r="X177" s="3" t="s">
        <v>66</v>
      </c>
      <c r="Y177" s="3" t="s">
        <v>66</v>
      </c>
      <c r="Z177" s="3" t="s">
        <v>66</v>
      </c>
      <c r="AA177" s="3" t="s">
        <v>169</v>
      </c>
      <c r="AB177" s="3" t="s">
        <v>317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174</v>
      </c>
      <c r="AI177" s="3" t="s">
        <v>66</v>
      </c>
      <c r="AJ177" s="3" t="s">
        <v>66</v>
      </c>
      <c r="AK177" s="3" t="s">
        <v>318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3" t="s">
        <v>319</v>
      </c>
      <c r="BC177" s="3" t="s">
        <v>320</v>
      </c>
      <c r="BD177" s="2">
        <v>730800.00000000105</v>
      </c>
      <c r="BE177" s="2">
        <v>3761917</v>
      </c>
      <c r="BF177" s="4"/>
      <c r="BG177" s="4"/>
      <c r="BH177" s="4"/>
      <c r="BI177" s="2">
        <v>0</v>
      </c>
      <c r="BJ177" s="2">
        <v>0</v>
      </c>
    </row>
    <row r="178" spans="1:62" ht="58" hidden="1" x14ac:dyDescent="0.35">
      <c r="A178" s="2">
        <v>103546</v>
      </c>
      <c r="B178" s="2">
        <v>176</v>
      </c>
      <c r="C178" s="3" t="s">
        <v>57</v>
      </c>
      <c r="D178" s="3" t="s">
        <v>321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63</v>
      </c>
      <c r="K178" s="2">
        <v>17170920154</v>
      </c>
      <c r="L178" s="7">
        <f t="shared" si="5"/>
        <v>17170920154</v>
      </c>
      <c r="M178" s="7">
        <f t="shared" si="6"/>
        <v>17170920155</v>
      </c>
      <c r="N178" s="3" t="s">
        <v>179</v>
      </c>
      <c r="O178" s="5" t="s">
        <v>316</v>
      </c>
      <c r="P178" s="3" t="s">
        <v>66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66</v>
      </c>
      <c r="V178" s="3" t="s">
        <v>66</v>
      </c>
      <c r="W178" s="3" t="s">
        <v>66</v>
      </c>
      <c r="X178" s="3" t="s">
        <v>66</v>
      </c>
      <c r="Y178" s="3" t="s">
        <v>66</v>
      </c>
      <c r="Z178" s="3" t="s">
        <v>66</v>
      </c>
      <c r="AA178" s="3" t="s">
        <v>181</v>
      </c>
      <c r="AB178" s="3" t="s">
        <v>317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174</v>
      </c>
      <c r="AI178" s="3" t="s">
        <v>66</v>
      </c>
      <c r="AJ178" s="3" t="s">
        <v>66</v>
      </c>
      <c r="AK178" s="3" t="s">
        <v>318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3" t="s">
        <v>319</v>
      </c>
      <c r="BC178" s="3" t="s">
        <v>320</v>
      </c>
      <c r="BD178" s="2">
        <v>730800.00000000105</v>
      </c>
      <c r="BE178" s="2">
        <v>3761917</v>
      </c>
      <c r="BF178" s="4"/>
      <c r="BG178" s="4"/>
      <c r="BH178" s="4"/>
      <c r="BI178" s="2">
        <v>0</v>
      </c>
      <c r="BJ178" s="2">
        <v>0</v>
      </c>
    </row>
    <row r="179" spans="1:62" ht="58" hidden="1" x14ac:dyDescent="0.35">
      <c r="A179" s="2">
        <v>103547</v>
      </c>
      <c r="B179" s="2">
        <v>177</v>
      </c>
      <c r="C179" s="3" t="s">
        <v>57</v>
      </c>
      <c r="D179" s="3" t="s">
        <v>321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69</v>
      </c>
      <c r="K179" s="2">
        <v>17170920155</v>
      </c>
      <c r="L179" s="7">
        <f t="shared" si="5"/>
        <v>17170920155</v>
      </c>
      <c r="M179" s="7">
        <f t="shared" si="6"/>
        <v>17170920155</v>
      </c>
      <c r="N179" s="3" t="s">
        <v>179</v>
      </c>
      <c r="O179" s="5" t="s">
        <v>322</v>
      </c>
      <c r="P179" s="3" t="s">
        <v>183</v>
      </c>
      <c r="Q179" s="3" t="s">
        <v>180</v>
      </c>
      <c r="R179" s="2">
        <v>0</v>
      </c>
      <c r="S179" s="3" t="s">
        <v>66</v>
      </c>
      <c r="T179" s="3" t="s">
        <v>168</v>
      </c>
      <c r="U179" s="3" t="s">
        <v>195</v>
      </c>
      <c r="V179" s="3" t="s">
        <v>195</v>
      </c>
      <c r="W179" s="3" t="s">
        <v>195</v>
      </c>
      <c r="X179" s="3" t="s">
        <v>195</v>
      </c>
      <c r="Y179" s="3" t="s">
        <v>66</v>
      </c>
      <c r="Z179" s="3" t="s">
        <v>66</v>
      </c>
      <c r="AA179" s="3" t="s">
        <v>181</v>
      </c>
      <c r="AB179" s="3" t="s">
        <v>317</v>
      </c>
      <c r="AC179" s="2">
        <v>0</v>
      </c>
      <c r="AD179" s="3" t="s">
        <v>171</v>
      </c>
      <c r="AE179" s="3" t="s">
        <v>71</v>
      </c>
      <c r="AF179" s="3" t="s">
        <v>172</v>
      </c>
      <c r="AG179" s="3" t="s">
        <v>173</v>
      </c>
      <c r="AH179" s="3" t="s">
        <v>174</v>
      </c>
      <c r="AI179" s="3" t="s">
        <v>66</v>
      </c>
      <c r="AJ179" s="3" t="s">
        <v>66</v>
      </c>
      <c r="AK179" s="3" t="s">
        <v>318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3" t="s">
        <v>319</v>
      </c>
      <c r="BC179" s="3" t="s">
        <v>320</v>
      </c>
      <c r="BD179" s="2">
        <v>730800.00000000105</v>
      </c>
      <c r="BE179" s="2">
        <v>3761918</v>
      </c>
      <c r="BF179" s="4"/>
      <c r="BG179" s="4"/>
      <c r="BH179" s="4"/>
      <c r="BI179" s="2">
        <v>0</v>
      </c>
      <c r="BJ179" s="2">
        <v>0</v>
      </c>
    </row>
    <row r="180" spans="1:62" hidden="1" x14ac:dyDescent="0.35">
      <c r="A180" s="2">
        <v>103548</v>
      </c>
      <c r="B180" s="2">
        <v>178</v>
      </c>
      <c r="C180" s="3" t="s">
        <v>57</v>
      </c>
      <c r="D180" s="3" t="s">
        <v>323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63</v>
      </c>
      <c r="K180" s="2">
        <v>17170920153</v>
      </c>
      <c r="L180" s="7">
        <f t="shared" si="5"/>
        <v>17170920155</v>
      </c>
      <c r="M180" s="7">
        <f t="shared" si="6"/>
        <v>17170920161</v>
      </c>
      <c r="N180" s="3" t="s">
        <v>64</v>
      </c>
      <c r="O180" s="5" t="s">
        <v>313</v>
      </c>
      <c r="P180" s="3" t="s">
        <v>66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66</v>
      </c>
      <c r="V180" s="3" t="s">
        <v>66</v>
      </c>
      <c r="W180" s="3" t="s">
        <v>66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66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3" t="s">
        <v>66</v>
      </c>
      <c r="BC180" s="3" t="s">
        <v>66</v>
      </c>
      <c r="BD180" s="2">
        <v>730800.00000000105</v>
      </c>
      <c r="BE180" s="2">
        <v>3761917</v>
      </c>
      <c r="BF180" s="4"/>
      <c r="BG180" s="4"/>
      <c r="BH180" s="4"/>
      <c r="BI180" s="2">
        <v>0</v>
      </c>
      <c r="BJ180" s="2">
        <v>0</v>
      </c>
    </row>
    <row r="181" spans="1:62" hidden="1" x14ac:dyDescent="0.35">
      <c r="A181" s="2">
        <v>103549</v>
      </c>
      <c r="B181" s="2">
        <v>179</v>
      </c>
      <c r="C181" s="3" t="s">
        <v>57</v>
      </c>
      <c r="D181" s="3" t="s">
        <v>323</v>
      </c>
      <c r="E181" s="2">
        <v>0</v>
      </c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66</v>
      </c>
      <c r="K181" s="2">
        <v>17170920156</v>
      </c>
      <c r="L181" s="7">
        <f t="shared" si="5"/>
        <v>17170920155</v>
      </c>
      <c r="M181" s="7">
        <f t="shared" si="6"/>
        <v>17170920161</v>
      </c>
      <c r="N181" s="3" t="s">
        <v>64</v>
      </c>
      <c r="O181" s="5" t="s">
        <v>324</v>
      </c>
      <c r="P181" s="3" t="s">
        <v>66</v>
      </c>
      <c r="Q181" s="3" t="s">
        <v>72</v>
      </c>
      <c r="R181" s="2">
        <v>1</v>
      </c>
      <c r="S181" s="3" t="s">
        <v>314</v>
      </c>
      <c r="T181" s="3" t="s">
        <v>84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3" t="s">
        <v>66</v>
      </c>
      <c r="BC181" s="3" t="s">
        <v>66</v>
      </c>
      <c r="BD181" s="2">
        <v>730801</v>
      </c>
      <c r="BE181" s="2">
        <v>3761861</v>
      </c>
      <c r="BF181" s="4"/>
      <c r="BG181" s="4"/>
      <c r="BH181" s="4"/>
      <c r="BI181" s="2">
        <v>0</v>
      </c>
      <c r="BJ181" s="2">
        <v>0</v>
      </c>
    </row>
    <row r="182" spans="1:62" hidden="1" x14ac:dyDescent="0.35">
      <c r="A182" s="2">
        <v>103550</v>
      </c>
      <c r="B182" s="2">
        <v>180</v>
      </c>
      <c r="C182" s="3" t="s">
        <v>57</v>
      </c>
      <c r="D182" s="3" t="s">
        <v>323</v>
      </c>
      <c r="E182" s="2">
        <v>1</v>
      </c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66</v>
      </c>
      <c r="K182" s="2">
        <v>17170920157</v>
      </c>
      <c r="L182" s="7">
        <f t="shared" si="5"/>
        <v>17170920155</v>
      </c>
      <c r="M182" s="7">
        <f t="shared" si="6"/>
        <v>17170920161</v>
      </c>
      <c r="N182" s="3" t="s">
        <v>64</v>
      </c>
      <c r="O182" s="5" t="s">
        <v>325</v>
      </c>
      <c r="P182" s="3" t="s">
        <v>66</v>
      </c>
      <c r="Q182" s="3" t="s">
        <v>72</v>
      </c>
      <c r="R182" s="2">
        <v>1</v>
      </c>
      <c r="S182" s="3" t="s">
        <v>314</v>
      </c>
      <c r="T182" s="3" t="s">
        <v>84</v>
      </c>
      <c r="U182" s="3" t="s">
        <v>66</v>
      </c>
      <c r="V182" s="3" t="s">
        <v>66</v>
      </c>
      <c r="W182" s="3" t="s">
        <v>66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66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3" t="s">
        <v>66</v>
      </c>
      <c r="BC182" s="3" t="s">
        <v>66</v>
      </c>
      <c r="BD182" s="2">
        <v>730811.99999999895</v>
      </c>
      <c r="BE182" s="2">
        <v>3761830</v>
      </c>
      <c r="BF182" s="4"/>
      <c r="BG182" s="4"/>
      <c r="BH182" s="4"/>
      <c r="BI182" s="2">
        <v>0</v>
      </c>
      <c r="BJ182" s="2">
        <v>0</v>
      </c>
    </row>
    <row r="183" spans="1:62" hidden="1" x14ac:dyDescent="0.35">
      <c r="A183" s="2">
        <v>103551</v>
      </c>
      <c r="B183" s="2">
        <v>181</v>
      </c>
      <c r="C183" s="3" t="s">
        <v>57</v>
      </c>
      <c r="D183" s="3" t="s">
        <v>323</v>
      </c>
      <c r="E183" s="2">
        <v>2</v>
      </c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66</v>
      </c>
      <c r="K183" s="2">
        <v>17170920158</v>
      </c>
      <c r="L183" s="7">
        <f t="shared" si="5"/>
        <v>17170920155</v>
      </c>
      <c r="M183" s="7">
        <f t="shared" si="6"/>
        <v>17170920161</v>
      </c>
      <c r="N183" s="3" t="s">
        <v>64</v>
      </c>
      <c r="O183" s="5" t="s">
        <v>326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3" t="s">
        <v>66</v>
      </c>
      <c r="BC183" s="3" t="s">
        <v>66</v>
      </c>
      <c r="BD183" s="2">
        <v>730819</v>
      </c>
      <c r="BE183" s="2">
        <v>3761792</v>
      </c>
      <c r="BF183" s="4"/>
      <c r="BG183" s="4"/>
      <c r="BH183" s="4"/>
      <c r="BI183" s="2">
        <v>0</v>
      </c>
      <c r="BJ183" s="2">
        <v>0</v>
      </c>
    </row>
    <row r="184" spans="1:62" hidden="1" x14ac:dyDescent="0.35">
      <c r="A184" s="2">
        <v>103552</v>
      </c>
      <c r="B184" s="2">
        <v>182</v>
      </c>
      <c r="C184" s="3" t="s">
        <v>57</v>
      </c>
      <c r="D184" s="3" t="s">
        <v>323</v>
      </c>
      <c r="E184" s="2">
        <v>3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17170920159</v>
      </c>
      <c r="L184" s="7">
        <f t="shared" si="5"/>
        <v>17170920155</v>
      </c>
      <c r="M184" s="7">
        <f t="shared" si="6"/>
        <v>17170920161</v>
      </c>
      <c r="N184" s="3" t="s">
        <v>64</v>
      </c>
      <c r="O184" s="5" t="s">
        <v>327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3" t="s">
        <v>66</v>
      </c>
      <c r="BC184" s="3" t="s">
        <v>66</v>
      </c>
      <c r="BD184" s="2">
        <v>730839</v>
      </c>
      <c r="BE184" s="2">
        <v>3761752</v>
      </c>
      <c r="BF184" s="4"/>
      <c r="BG184" s="4"/>
      <c r="BH184" s="4"/>
      <c r="BI184" s="2">
        <v>0</v>
      </c>
      <c r="BJ184" s="2">
        <v>0</v>
      </c>
    </row>
    <row r="185" spans="1:62" hidden="1" x14ac:dyDescent="0.35">
      <c r="A185" s="2">
        <v>103553</v>
      </c>
      <c r="B185" s="2">
        <v>183</v>
      </c>
      <c r="C185" s="3" t="s">
        <v>57</v>
      </c>
      <c r="D185" s="3" t="s">
        <v>323</v>
      </c>
      <c r="E185" s="2">
        <v>4</v>
      </c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66</v>
      </c>
      <c r="K185" s="2">
        <v>17170920160</v>
      </c>
      <c r="L185" s="7">
        <f t="shared" si="5"/>
        <v>17170920155</v>
      </c>
      <c r="M185" s="7">
        <f t="shared" si="6"/>
        <v>17170920161</v>
      </c>
      <c r="N185" s="3" t="s">
        <v>64</v>
      </c>
      <c r="O185" s="5" t="s">
        <v>328</v>
      </c>
      <c r="P185" s="3" t="s">
        <v>66</v>
      </c>
      <c r="Q185" s="3" t="s">
        <v>72</v>
      </c>
      <c r="R185" s="2">
        <v>1</v>
      </c>
      <c r="S185" s="3" t="s">
        <v>73</v>
      </c>
      <c r="T185" s="3" t="s">
        <v>84</v>
      </c>
      <c r="U185" s="3" t="s">
        <v>66</v>
      </c>
      <c r="V185" s="3" t="s">
        <v>66</v>
      </c>
      <c r="W185" s="3" t="s">
        <v>66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66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3" t="s">
        <v>66</v>
      </c>
      <c r="BC185" s="3" t="s">
        <v>66</v>
      </c>
      <c r="BD185" s="2">
        <v>730856.00000000105</v>
      </c>
      <c r="BE185" s="2">
        <v>3761701</v>
      </c>
      <c r="BF185" s="4"/>
      <c r="BG185" s="4"/>
      <c r="BH185" s="4"/>
      <c r="BI185" s="2">
        <v>0</v>
      </c>
      <c r="BJ185" s="2">
        <v>0</v>
      </c>
    </row>
    <row r="186" spans="1:62" hidden="1" x14ac:dyDescent="0.35">
      <c r="A186" s="2">
        <v>103554</v>
      </c>
      <c r="B186" s="2">
        <v>184</v>
      </c>
      <c r="C186" s="3" t="s">
        <v>57</v>
      </c>
      <c r="D186" s="3" t="s">
        <v>323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69</v>
      </c>
      <c r="K186" s="2">
        <v>17170920161</v>
      </c>
      <c r="L186" s="7">
        <f t="shared" si="5"/>
        <v>17170920161</v>
      </c>
      <c r="M186" s="7">
        <f t="shared" si="6"/>
        <v>17170920161</v>
      </c>
      <c r="N186" s="3" t="s">
        <v>64</v>
      </c>
      <c r="O186" s="5" t="s">
        <v>329</v>
      </c>
      <c r="P186" s="3" t="s">
        <v>71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165</v>
      </c>
      <c r="V186" s="3" t="s">
        <v>165</v>
      </c>
      <c r="W186" s="3" t="s">
        <v>165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77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3" t="s">
        <v>66</v>
      </c>
      <c r="BC186" s="3" t="s">
        <v>66</v>
      </c>
      <c r="BD186" s="2">
        <v>730915.00000000105</v>
      </c>
      <c r="BE186" s="2">
        <v>3761672</v>
      </c>
      <c r="BF186" s="4"/>
      <c r="BG186" s="4"/>
      <c r="BH186" s="4"/>
      <c r="BI186" s="2">
        <v>0</v>
      </c>
      <c r="BJ186" s="2">
        <v>0</v>
      </c>
    </row>
    <row r="187" spans="1:62" hidden="1" x14ac:dyDescent="0.35">
      <c r="A187" s="2">
        <v>103555</v>
      </c>
      <c r="B187" s="2">
        <v>185</v>
      </c>
      <c r="C187" s="3" t="s">
        <v>57</v>
      </c>
      <c r="D187" s="3" t="s">
        <v>330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63</v>
      </c>
      <c r="K187" s="2">
        <v>17170920161</v>
      </c>
      <c r="L187" s="7">
        <f t="shared" si="5"/>
        <v>17170920161</v>
      </c>
      <c r="M187" s="7">
        <f t="shared" si="6"/>
        <v>17170920165</v>
      </c>
      <c r="N187" s="3" t="s">
        <v>64</v>
      </c>
      <c r="O187" s="5" t="s">
        <v>329</v>
      </c>
      <c r="P187" s="3" t="s">
        <v>66</v>
      </c>
      <c r="Q187" s="3" t="s">
        <v>72</v>
      </c>
      <c r="R187" s="2">
        <v>1</v>
      </c>
      <c r="S187" s="3" t="s">
        <v>314</v>
      </c>
      <c r="T187" s="3" t="s">
        <v>126</v>
      </c>
      <c r="U187" s="3" t="s">
        <v>66</v>
      </c>
      <c r="V187" s="3" t="s">
        <v>66</v>
      </c>
      <c r="W187" s="3" t="s">
        <v>66</v>
      </c>
      <c r="X187" s="3" t="s">
        <v>66</v>
      </c>
      <c r="Y187" s="3" t="s">
        <v>66</v>
      </c>
      <c r="Z187" s="3" t="s">
        <v>66</v>
      </c>
      <c r="AA187" s="3" t="s">
        <v>76</v>
      </c>
      <c r="AB187" s="3" t="s">
        <v>66</v>
      </c>
      <c r="AC187" s="2">
        <v>0</v>
      </c>
      <c r="AD187" s="3" t="s">
        <v>68</v>
      </c>
      <c r="AE187" s="3" t="s">
        <v>66</v>
      </c>
      <c r="AF187" s="3" t="s">
        <v>66</v>
      </c>
      <c r="AG187" s="3" t="s">
        <v>66</v>
      </c>
      <c r="AH187" s="3" t="s">
        <v>66</v>
      </c>
      <c r="AI187" s="3" t="s">
        <v>66</v>
      </c>
      <c r="AJ187" s="3" t="s">
        <v>66</v>
      </c>
      <c r="AK187" s="3" t="s">
        <v>66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3" t="s">
        <v>66</v>
      </c>
      <c r="BC187" s="3" t="s">
        <v>66</v>
      </c>
      <c r="BD187" s="2">
        <v>730915.00000000105</v>
      </c>
      <c r="BE187" s="2">
        <v>3761672</v>
      </c>
      <c r="BF187" s="4"/>
      <c r="BG187" s="4"/>
      <c r="BH187" s="4"/>
      <c r="BI187" s="2">
        <v>0</v>
      </c>
      <c r="BJ187" s="2">
        <v>0</v>
      </c>
    </row>
    <row r="188" spans="1:62" hidden="1" x14ac:dyDescent="0.35">
      <c r="A188" s="2">
        <v>103556</v>
      </c>
      <c r="B188" s="2">
        <v>186</v>
      </c>
      <c r="C188" s="3" t="s">
        <v>57</v>
      </c>
      <c r="D188" s="3" t="s">
        <v>330</v>
      </c>
      <c r="E188" s="2">
        <v>0</v>
      </c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66</v>
      </c>
      <c r="K188" s="2">
        <v>17170920162</v>
      </c>
      <c r="L188" s="7">
        <f t="shared" si="5"/>
        <v>17170920161</v>
      </c>
      <c r="M188" s="7">
        <f t="shared" si="6"/>
        <v>17170920165</v>
      </c>
      <c r="N188" s="3" t="s">
        <v>64</v>
      </c>
      <c r="O188" s="5" t="s">
        <v>331</v>
      </c>
      <c r="P188" s="3" t="s">
        <v>66</v>
      </c>
      <c r="Q188" s="3" t="s">
        <v>72</v>
      </c>
      <c r="R188" s="2">
        <v>1</v>
      </c>
      <c r="S188" s="3" t="s">
        <v>73</v>
      </c>
      <c r="T188" s="3" t="s">
        <v>84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76</v>
      </c>
      <c r="AB188" s="3" t="s">
        <v>66</v>
      </c>
      <c r="AC188" s="2">
        <v>0</v>
      </c>
      <c r="AD188" s="3" t="s">
        <v>68</v>
      </c>
      <c r="AE188" s="3" t="s">
        <v>66</v>
      </c>
      <c r="AF188" s="3" t="s">
        <v>66</v>
      </c>
      <c r="AG188" s="3" t="s">
        <v>66</v>
      </c>
      <c r="AH188" s="3" t="s">
        <v>66</v>
      </c>
      <c r="AI188" s="3" t="s">
        <v>66</v>
      </c>
      <c r="AJ188" s="3" t="s">
        <v>66</v>
      </c>
      <c r="AK188" s="3" t="s">
        <v>66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3" t="s">
        <v>66</v>
      </c>
      <c r="BC188" s="3" t="s">
        <v>66</v>
      </c>
      <c r="BD188" s="2">
        <v>730967.99999999895</v>
      </c>
      <c r="BE188" s="2">
        <v>3761626</v>
      </c>
      <c r="BF188" s="4"/>
      <c r="BG188" s="4"/>
      <c r="BH188" s="4"/>
      <c r="BI188" s="2">
        <v>0</v>
      </c>
      <c r="BJ188" s="2">
        <v>0</v>
      </c>
    </row>
    <row r="189" spans="1:62" hidden="1" x14ac:dyDescent="0.35">
      <c r="A189" s="2">
        <v>103557</v>
      </c>
      <c r="B189" s="2">
        <v>187</v>
      </c>
      <c r="C189" s="3" t="s">
        <v>57</v>
      </c>
      <c r="D189" s="3" t="s">
        <v>330</v>
      </c>
      <c r="E189" s="2">
        <v>1</v>
      </c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66</v>
      </c>
      <c r="K189" s="2">
        <v>17170920163</v>
      </c>
      <c r="L189" s="7">
        <f t="shared" si="5"/>
        <v>17170920161</v>
      </c>
      <c r="M189" s="7">
        <f t="shared" si="6"/>
        <v>17170920165</v>
      </c>
      <c r="N189" s="3" t="s">
        <v>64</v>
      </c>
      <c r="O189" s="5" t="s">
        <v>332</v>
      </c>
      <c r="P189" s="3" t="s">
        <v>66</v>
      </c>
      <c r="Q189" s="3" t="s">
        <v>72</v>
      </c>
      <c r="R189" s="2">
        <v>1</v>
      </c>
      <c r="S189" s="3" t="s">
        <v>73</v>
      </c>
      <c r="T189" s="3" t="s">
        <v>84</v>
      </c>
      <c r="U189" s="3" t="s">
        <v>66</v>
      </c>
      <c r="V189" s="3" t="s">
        <v>66</v>
      </c>
      <c r="W189" s="3" t="s">
        <v>66</v>
      </c>
      <c r="X189" s="3" t="s">
        <v>66</v>
      </c>
      <c r="Y189" s="3" t="s">
        <v>66</v>
      </c>
      <c r="Z189" s="3" t="s">
        <v>66</v>
      </c>
      <c r="AA189" s="3" t="s">
        <v>76</v>
      </c>
      <c r="AB189" s="3" t="s">
        <v>66</v>
      </c>
      <c r="AC189" s="2">
        <v>0</v>
      </c>
      <c r="AD189" s="3" t="s">
        <v>68</v>
      </c>
      <c r="AE189" s="3" t="s">
        <v>66</v>
      </c>
      <c r="AF189" s="3" t="s">
        <v>66</v>
      </c>
      <c r="AG189" s="3" t="s">
        <v>66</v>
      </c>
      <c r="AH189" s="3" t="s">
        <v>66</v>
      </c>
      <c r="AI189" s="3" t="s">
        <v>66</v>
      </c>
      <c r="AJ189" s="3" t="s">
        <v>66</v>
      </c>
      <c r="AK189" s="3" t="s">
        <v>66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3" t="s">
        <v>66</v>
      </c>
      <c r="BC189" s="3" t="s">
        <v>66</v>
      </c>
      <c r="BD189" s="2">
        <v>731025.00000000105</v>
      </c>
      <c r="BE189" s="2">
        <v>3761587</v>
      </c>
      <c r="BF189" s="4"/>
      <c r="BG189" s="4"/>
      <c r="BH189" s="4"/>
      <c r="BI189" s="2">
        <v>0</v>
      </c>
      <c r="BJ189" s="2">
        <v>0</v>
      </c>
    </row>
    <row r="190" spans="1:62" hidden="1" x14ac:dyDescent="0.35">
      <c r="A190" s="2">
        <v>103558</v>
      </c>
      <c r="B190" s="2">
        <v>188</v>
      </c>
      <c r="C190" s="3" t="s">
        <v>57</v>
      </c>
      <c r="D190" s="3" t="s">
        <v>330</v>
      </c>
      <c r="E190" s="2">
        <v>2</v>
      </c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66</v>
      </c>
      <c r="K190" s="2">
        <v>17170920164</v>
      </c>
      <c r="L190" s="7">
        <f t="shared" si="5"/>
        <v>17170920161</v>
      </c>
      <c r="M190" s="7">
        <f t="shared" si="6"/>
        <v>17170920165</v>
      </c>
      <c r="N190" s="3" t="s">
        <v>64</v>
      </c>
      <c r="O190" s="5" t="s">
        <v>333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84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3" t="s">
        <v>66</v>
      </c>
      <c r="BC190" s="3" t="s">
        <v>66</v>
      </c>
      <c r="BD190" s="2">
        <v>731075</v>
      </c>
      <c r="BE190" s="2">
        <v>3761556</v>
      </c>
      <c r="BF190" s="4"/>
      <c r="BG190" s="4"/>
      <c r="BH190" s="4"/>
      <c r="BI190" s="2">
        <v>0</v>
      </c>
      <c r="BJ190" s="2">
        <v>0</v>
      </c>
    </row>
    <row r="191" spans="1:62" hidden="1" x14ac:dyDescent="0.35">
      <c r="A191" s="2">
        <v>103559</v>
      </c>
      <c r="B191" s="2">
        <v>189</v>
      </c>
      <c r="C191" s="3" t="s">
        <v>57</v>
      </c>
      <c r="D191" s="3" t="s">
        <v>330</v>
      </c>
      <c r="E191" s="4"/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69</v>
      </c>
      <c r="K191" s="2">
        <v>17170920165</v>
      </c>
      <c r="L191" s="7">
        <f t="shared" si="5"/>
        <v>17170920165</v>
      </c>
      <c r="M191" s="7">
        <f t="shared" si="6"/>
        <v>17170920165</v>
      </c>
      <c r="N191" s="3" t="s">
        <v>64</v>
      </c>
      <c r="O191" s="5" t="s">
        <v>334</v>
      </c>
      <c r="P191" s="3" t="s">
        <v>71</v>
      </c>
      <c r="Q191" s="3" t="s">
        <v>72</v>
      </c>
      <c r="R191" s="2">
        <v>1</v>
      </c>
      <c r="S191" s="3" t="s">
        <v>73</v>
      </c>
      <c r="T191" s="3" t="s">
        <v>84</v>
      </c>
      <c r="U191" s="3" t="s">
        <v>165</v>
      </c>
      <c r="V191" s="3" t="s">
        <v>165</v>
      </c>
      <c r="W191" s="3" t="s">
        <v>165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77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3" t="s">
        <v>66</v>
      </c>
      <c r="BC191" s="3" t="s">
        <v>66</v>
      </c>
      <c r="BD191" s="2">
        <v>731112.00000000105</v>
      </c>
      <c r="BE191" s="2">
        <v>3761504</v>
      </c>
      <c r="BF191" s="4"/>
      <c r="BG191" s="4"/>
      <c r="BH191" s="4"/>
      <c r="BI191" s="2">
        <v>0</v>
      </c>
      <c r="BJ191" s="2">
        <v>0</v>
      </c>
    </row>
    <row r="192" spans="1:62" hidden="1" x14ac:dyDescent="0.35">
      <c r="A192" s="2">
        <v>103560</v>
      </c>
      <c r="B192" s="2">
        <v>190</v>
      </c>
      <c r="C192" s="3" t="s">
        <v>57</v>
      </c>
      <c r="D192" s="3" t="s">
        <v>335</v>
      </c>
      <c r="E192" s="4"/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63</v>
      </c>
      <c r="K192" s="2">
        <v>17170920165</v>
      </c>
      <c r="L192" s="7">
        <f t="shared" si="5"/>
        <v>17170920165</v>
      </c>
      <c r="M192" s="7">
        <f t="shared" si="6"/>
        <v>17170920166</v>
      </c>
      <c r="N192" s="3" t="s">
        <v>64</v>
      </c>
      <c r="O192" s="5" t="s">
        <v>334</v>
      </c>
      <c r="P192" s="3" t="s">
        <v>66</v>
      </c>
      <c r="Q192" s="3" t="s">
        <v>72</v>
      </c>
      <c r="R192" s="2">
        <v>1</v>
      </c>
      <c r="S192" s="3" t="s">
        <v>73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3" t="s">
        <v>66</v>
      </c>
      <c r="BC192" s="3" t="s">
        <v>66</v>
      </c>
      <c r="BD192" s="2">
        <v>731112.00000000105</v>
      </c>
      <c r="BE192" s="2">
        <v>3761504</v>
      </c>
      <c r="BF192" s="4"/>
      <c r="BG192" s="4"/>
      <c r="BH192" s="4"/>
      <c r="BI192" s="2">
        <v>0</v>
      </c>
      <c r="BJ192" s="2">
        <v>0</v>
      </c>
    </row>
    <row r="193" spans="1:62" ht="58" hidden="1" x14ac:dyDescent="0.35">
      <c r="A193" s="2">
        <v>103561</v>
      </c>
      <c r="B193" s="2">
        <v>191</v>
      </c>
      <c r="C193" s="3" t="s">
        <v>57</v>
      </c>
      <c r="D193" s="3" t="s">
        <v>335</v>
      </c>
      <c r="E193" s="4"/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69</v>
      </c>
      <c r="K193" s="2">
        <v>17170920166</v>
      </c>
      <c r="L193" s="7">
        <f t="shared" si="5"/>
        <v>17170920166</v>
      </c>
      <c r="M193" s="7">
        <f t="shared" si="6"/>
        <v>17170920166</v>
      </c>
      <c r="N193" s="3" t="s">
        <v>64</v>
      </c>
      <c r="O193" s="5" t="s">
        <v>336</v>
      </c>
      <c r="P193" s="3" t="s">
        <v>71</v>
      </c>
      <c r="Q193" s="3" t="s">
        <v>72</v>
      </c>
      <c r="R193" s="2">
        <v>0</v>
      </c>
      <c r="S193" s="3" t="s">
        <v>66</v>
      </c>
      <c r="T193" s="3" t="s">
        <v>168</v>
      </c>
      <c r="U193" s="3" t="s">
        <v>165</v>
      </c>
      <c r="V193" s="3" t="s">
        <v>165</v>
      </c>
      <c r="W193" s="3" t="s">
        <v>165</v>
      </c>
      <c r="X193" s="3" t="s">
        <v>66</v>
      </c>
      <c r="Y193" s="3" t="s">
        <v>66</v>
      </c>
      <c r="Z193" s="3" t="s">
        <v>66</v>
      </c>
      <c r="AA193" s="3" t="s">
        <v>169</v>
      </c>
      <c r="AB193" s="3" t="s">
        <v>337</v>
      </c>
      <c r="AC193" s="2">
        <v>0</v>
      </c>
      <c r="AD193" s="3" t="s">
        <v>191</v>
      </c>
      <c r="AE193" s="3" t="s">
        <v>71</v>
      </c>
      <c r="AF193" s="3" t="s">
        <v>172</v>
      </c>
      <c r="AG193" s="3" t="s">
        <v>173</v>
      </c>
      <c r="AH193" s="3" t="s">
        <v>338</v>
      </c>
      <c r="AI193" s="3" t="s">
        <v>66</v>
      </c>
      <c r="AJ193" s="3" t="s">
        <v>66</v>
      </c>
      <c r="AK193" s="3" t="s">
        <v>205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3" t="s">
        <v>339</v>
      </c>
      <c r="BC193" s="3" t="s">
        <v>340</v>
      </c>
      <c r="BD193" s="2">
        <v>731112.00000000105</v>
      </c>
      <c r="BE193" s="2">
        <v>3761506</v>
      </c>
      <c r="BF193" s="4"/>
      <c r="BG193" s="4"/>
      <c r="BH193" s="4"/>
      <c r="BI193" s="2">
        <v>0</v>
      </c>
      <c r="BJ193" s="2">
        <v>0</v>
      </c>
    </row>
    <row r="194" spans="1:62" ht="58" hidden="1" x14ac:dyDescent="0.35">
      <c r="A194" s="2">
        <v>103562</v>
      </c>
      <c r="B194" s="2">
        <v>192</v>
      </c>
      <c r="C194" s="3" t="s">
        <v>57</v>
      </c>
      <c r="D194" s="3" t="s">
        <v>341</v>
      </c>
      <c r="E194" s="4"/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63</v>
      </c>
      <c r="K194" s="2">
        <v>17170920166</v>
      </c>
      <c r="L194" s="7">
        <f t="shared" si="5"/>
        <v>17170920166</v>
      </c>
      <c r="M194" s="7">
        <f t="shared" si="6"/>
        <v>17170920167</v>
      </c>
      <c r="N194" s="3" t="s">
        <v>179</v>
      </c>
      <c r="O194" s="5" t="s">
        <v>336</v>
      </c>
      <c r="P194" s="3" t="s">
        <v>66</v>
      </c>
      <c r="Q194" s="3" t="s">
        <v>180</v>
      </c>
      <c r="R194" s="2">
        <v>0</v>
      </c>
      <c r="S194" s="3" t="s">
        <v>66</v>
      </c>
      <c r="T194" s="3" t="s">
        <v>168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181</v>
      </c>
      <c r="AB194" s="3" t="s">
        <v>337</v>
      </c>
      <c r="AC194" s="2">
        <v>0</v>
      </c>
      <c r="AD194" s="3" t="s">
        <v>191</v>
      </c>
      <c r="AE194" s="3" t="s">
        <v>71</v>
      </c>
      <c r="AF194" s="3" t="s">
        <v>172</v>
      </c>
      <c r="AG194" s="3" t="s">
        <v>173</v>
      </c>
      <c r="AH194" s="3" t="s">
        <v>338</v>
      </c>
      <c r="AI194" s="3" t="s">
        <v>66</v>
      </c>
      <c r="AJ194" s="3" t="s">
        <v>66</v>
      </c>
      <c r="AK194" s="3" t="s">
        <v>205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3" t="s">
        <v>339</v>
      </c>
      <c r="BC194" s="3" t="s">
        <v>340</v>
      </c>
      <c r="BD194" s="2">
        <v>731112.00000000105</v>
      </c>
      <c r="BE194" s="2">
        <v>3761506</v>
      </c>
      <c r="BF194" s="4"/>
      <c r="BG194" s="4"/>
      <c r="BH194" s="4"/>
      <c r="BI194" s="2">
        <v>0</v>
      </c>
      <c r="BJ194" s="2">
        <v>0</v>
      </c>
    </row>
    <row r="195" spans="1:62" ht="58" hidden="1" x14ac:dyDescent="0.35">
      <c r="A195" s="2">
        <v>103563</v>
      </c>
      <c r="B195" s="2">
        <v>193</v>
      </c>
      <c r="C195" s="3" t="s">
        <v>57</v>
      </c>
      <c r="D195" s="3" t="s">
        <v>341</v>
      </c>
      <c r="E195" s="4"/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69</v>
      </c>
      <c r="K195" s="2">
        <v>17170920167</v>
      </c>
      <c r="L195" s="7">
        <f t="shared" si="5"/>
        <v>17170920167</v>
      </c>
      <c r="M195" s="7">
        <f t="shared" si="6"/>
        <v>17170920167</v>
      </c>
      <c r="N195" s="3" t="s">
        <v>179</v>
      </c>
      <c r="O195" s="5" t="s">
        <v>342</v>
      </c>
      <c r="P195" s="3" t="s">
        <v>183</v>
      </c>
      <c r="Q195" s="3" t="s">
        <v>180</v>
      </c>
      <c r="R195" s="2">
        <v>0</v>
      </c>
      <c r="S195" s="3" t="s">
        <v>66</v>
      </c>
      <c r="T195" s="3" t="s">
        <v>168</v>
      </c>
      <c r="U195" s="3" t="s">
        <v>248</v>
      </c>
      <c r="V195" s="3" t="s">
        <v>248</v>
      </c>
      <c r="W195" s="3" t="s">
        <v>248</v>
      </c>
      <c r="X195" s="3" t="s">
        <v>248</v>
      </c>
      <c r="Y195" s="3" t="s">
        <v>66</v>
      </c>
      <c r="Z195" s="3" t="s">
        <v>66</v>
      </c>
      <c r="AA195" s="3" t="s">
        <v>181</v>
      </c>
      <c r="AB195" s="3" t="s">
        <v>337</v>
      </c>
      <c r="AC195" s="2">
        <v>0</v>
      </c>
      <c r="AD195" s="3" t="s">
        <v>191</v>
      </c>
      <c r="AE195" s="3" t="s">
        <v>71</v>
      </c>
      <c r="AF195" s="3" t="s">
        <v>172</v>
      </c>
      <c r="AG195" s="3" t="s">
        <v>173</v>
      </c>
      <c r="AH195" s="3" t="s">
        <v>338</v>
      </c>
      <c r="AI195" s="3" t="s">
        <v>66</v>
      </c>
      <c r="AJ195" s="3" t="s">
        <v>66</v>
      </c>
      <c r="AK195" s="3" t="s">
        <v>205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3" t="s">
        <v>339</v>
      </c>
      <c r="BC195" s="3" t="s">
        <v>340</v>
      </c>
      <c r="BD195" s="2">
        <v>731114.00000000198</v>
      </c>
      <c r="BE195" s="2">
        <v>3761507</v>
      </c>
      <c r="BF195" s="4"/>
      <c r="BG195" s="4"/>
      <c r="BH195" s="4"/>
      <c r="BI195" s="2">
        <v>0</v>
      </c>
      <c r="BJ195" s="2">
        <v>0</v>
      </c>
    </row>
    <row r="196" spans="1:62" hidden="1" x14ac:dyDescent="0.35">
      <c r="A196" s="2">
        <v>103564</v>
      </c>
      <c r="B196" s="2">
        <v>194</v>
      </c>
      <c r="C196" s="3" t="s">
        <v>57</v>
      </c>
      <c r="D196" s="3" t="s">
        <v>343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63</v>
      </c>
      <c r="K196" s="2">
        <v>17170920165</v>
      </c>
      <c r="L196" s="7">
        <f t="shared" ref="L196:L259" si="7">IF(J196="E",K196,L195)</f>
        <v>17170920167</v>
      </c>
      <c r="M196" s="7">
        <f t="shared" si="6"/>
        <v>17170920170</v>
      </c>
      <c r="N196" s="3" t="s">
        <v>64</v>
      </c>
      <c r="O196" s="5" t="s">
        <v>334</v>
      </c>
      <c r="P196" s="3" t="s">
        <v>66</v>
      </c>
      <c r="Q196" s="3" t="s">
        <v>72</v>
      </c>
      <c r="R196" s="2">
        <v>1</v>
      </c>
      <c r="S196" s="3" t="s">
        <v>73</v>
      </c>
      <c r="T196" s="3" t="s">
        <v>84</v>
      </c>
      <c r="U196" s="3" t="s">
        <v>66</v>
      </c>
      <c r="V196" s="3" t="s">
        <v>66</v>
      </c>
      <c r="W196" s="3" t="s">
        <v>66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66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3" t="s">
        <v>66</v>
      </c>
      <c r="BC196" s="3" t="s">
        <v>66</v>
      </c>
      <c r="BD196" s="2">
        <v>731112.00000000105</v>
      </c>
      <c r="BE196" s="2">
        <v>3761504</v>
      </c>
      <c r="BF196" s="4"/>
      <c r="BG196" s="4"/>
      <c r="BH196" s="4"/>
      <c r="BI196" s="2">
        <v>0</v>
      </c>
      <c r="BJ196" s="2">
        <v>0</v>
      </c>
    </row>
    <row r="197" spans="1:62" hidden="1" x14ac:dyDescent="0.35">
      <c r="A197" s="2">
        <v>103565</v>
      </c>
      <c r="B197" s="2">
        <v>195</v>
      </c>
      <c r="C197" s="3" t="s">
        <v>57</v>
      </c>
      <c r="D197" s="3" t="s">
        <v>343</v>
      </c>
      <c r="E197" s="2">
        <v>0</v>
      </c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66</v>
      </c>
      <c r="K197" s="2">
        <v>17170920168</v>
      </c>
      <c r="L197" s="7">
        <f t="shared" si="7"/>
        <v>17170920167</v>
      </c>
      <c r="M197" s="7">
        <f t="shared" si="6"/>
        <v>17170920170</v>
      </c>
      <c r="N197" s="3" t="s">
        <v>64</v>
      </c>
      <c r="O197" s="5" t="s">
        <v>344</v>
      </c>
      <c r="P197" s="3" t="s">
        <v>66</v>
      </c>
      <c r="Q197" s="3" t="s">
        <v>72</v>
      </c>
      <c r="R197" s="2">
        <v>1</v>
      </c>
      <c r="S197" s="3" t="s">
        <v>73</v>
      </c>
      <c r="T197" s="3" t="s">
        <v>84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3" t="s">
        <v>66</v>
      </c>
      <c r="BC197" s="3" t="s">
        <v>66</v>
      </c>
      <c r="BD197" s="2">
        <v>731137.00000000198</v>
      </c>
      <c r="BE197" s="2">
        <v>3761463</v>
      </c>
      <c r="BF197" s="4"/>
      <c r="BG197" s="4"/>
      <c r="BH197" s="4"/>
      <c r="BI197" s="2">
        <v>0</v>
      </c>
      <c r="BJ197" s="2">
        <v>0</v>
      </c>
    </row>
    <row r="198" spans="1:62" hidden="1" x14ac:dyDescent="0.35">
      <c r="A198" s="2">
        <v>103566</v>
      </c>
      <c r="B198" s="2">
        <v>196</v>
      </c>
      <c r="C198" s="3" t="s">
        <v>57</v>
      </c>
      <c r="D198" s="3" t="s">
        <v>343</v>
      </c>
      <c r="E198" s="2">
        <v>1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17170920169</v>
      </c>
      <c r="L198" s="7">
        <f t="shared" si="7"/>
        <v>17170920167</v>
      </c>
      <c r="M198" s="7">
        <f t="shared" si="6"/>
        <v>17170920170</v>
      </c>
      <c r="N198" s="3" t="s">
        <v>64</v>
      </c>
      <c r="O198" s="5" t="s">
        <v>345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3" t="s">
        <v>66</v>
      </c>
      <c r="BC198" s="3" t="s">
        <v>66</v>
      </c>
      <c r="BD198" s="2">
        <v>731154</v>
      </c>
      <c r="BE198" s="2">
        <v>3761433</v>
      </c>
      <c r="BF198" s="4"/>
      <c r="BG198" s="4"/>
      <c r="BH198" s="4"/>
      <c r="BI198" s="2">
        <v>0</v>
      </c>
      <c r="BJ198" s="2">
        <v>0</v>
      </c>
    </row>
    <row r="199" spans="1:62" hidden="1" x14ac:dyDescent="0.35">
      <c r="A199" s="2">
        <v>103567</v>
      </c>
      <c r="B199" s="2">
        <v>197</v>
      </c>
      <c r="C199" s="3" t="s">
        <v>57</v>
      </c>
      <c r="D199" s="3" t="s">
        <v>343</v>
      </c>
      <c r="E199" s="4"/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69</v>
      </c>
      <c r="K199" s="2">
        <v>17170920170</v>
      </c>
      <c r="L199" s="7">
        <f t="shared" si="7"/>
        <v>17170920170</v>
      </c>
      <c r="M199" s="7">
        <f t="shared" si="6"/>
        <v>17170920170</v>
      </c>
      <c r="N199" s="3" t="s">
        <v>64</v>
      </c>
      <c r="O199" s="5" t="s">
        <v>346</v>
      </c>
      <c r="P199" s="3" t="s">
        <v>71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165</v>
      </c>
      <c r="V199" s="3" t="s">
        <v>165</v>
      </c>
      <c r="W199" s="3" t="s">
        <v>165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77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3" t="s">
        <v>66</v>
      </c>
      <c r="BC199" s="3" t="s">
        <v>66</v>
      </c>
      <c r="BD199" s="2">
        <v>731159</v>
      </c>
      <c r="BE199" s="2">
        <v>3761399</v>
      </c>
      <c r="BF199" s="4"/>
      <c r="BG199" s="4"/>
      <c r="BH199" s="4"/>
      <c r="BI199" s="2">
        <v>0</v>
      </c>
      <c r="BJ199" s="2">
        <v>0</v>
      </c>
    </row>
    <row r="200" spans="1:62" hidden="1" x14ac:dyDescent="0.35">
      <c r="A200" s="2">
        <v>103568</v>
      </c>
      <c r="B200" s="2">
        <v>198</v>
      </c>
      <c r="C200" s="3" t="s">
        <v>57</v>
      </c>
      <c r="D200" s="3" t="s">
        <v>347</v>
      </c>
      <c r="E200" s="4"/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63</v>
      </c>
      <c r="K200" s="2">
        <v>17170920170</v>
      </c>
      <c r="L200" s="7">
        <f t="shared" si="7"/>
        <v>17170920170</v>
      </c>
      <c r="M200" s="7">
        <f t="shared" si="6"/>
        <v>17170920171</v>
      </c>
      <c r="N200" s="3" t="s">
        <v>64</v>
      </c>
      <c r="O200" s="5" t="s">
        <v>346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3" t="s">
        <v>66</v>
      </c>
      <c r="BC200" s="3" t="s">
        <v>66</v>
      </c>
      <c r="BD200" s="2">
        <v>731159</v>
      </c>
      <c r="BE200" s="2">
        <v>3761399</v>
      </c>
      <c r="BF200" s="4"/>
      <c r="BG200" s="4"/>
      <c r="BH200" s="4"/>
      <c r="BI200" s="2">
        <v>0</v>
      </c>
      <c r="BJ200" s="2">
        <v>0</v>
      </c>
    </row>
    <row r="201" spans="1:62" ht="58" hidden="1" x14ac:dyDescent="0.35">
      <c r="A201" s="2">
        <v>103569</v>
      </c>
      <c r="B201" s="2">
        <v>199</v>
      </c>
      <c r="C201" s="3" t="s">
        <v>57</v>
      </c>
      <c r="D201" s="3" t="s">
        <v>347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17170920171</v>
      </c>
      <c r="L201" s="7">
        <f t="shared" si="7"/>
        <v>17170920171</v>
      </c>
      <c r="M201" s="7">
        <f t="shared" si="6"/>
        <v>17170920171</v>
      </c>
      <c r="N201" s="3" t="s">
        <v>64</v>
      </c>
      <c r="O201" s="5" t="s">
        <v>348</v>
      </c>
      <c r="P201" s="3" t="s">
        <v>71</v>
      </c>
      <c r="Q201" s="3" t="s">
        <v>72</v>
      </c>
      <c r="R201" s="2">
        <v>0</v>
      </c>
      <c r="S201" s="3" t="s">
        <v>66</v>
      </c>
      <c r="T201" s="3" t="s">
        <v>168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169</v>
      </c>
      <c r="AB201" s="3" t="s">
        <v>349</v>
      </c>
      <c r="AC201" s="2">
        <v>0</v>
      </c>
      <c r="AD201" s="3" t="s">
        <v>191</v>
      </c>
      <c r="AE201" s="3" t="s">
        <v>71</v>
      </c>
      <c r="AF201" s="3" t="s">
        <v>172</v>
      </c>
      <c r="AG201" s="3" t="s">
        <v>173</v>
      </c>
      <c r="AH201" s="3" t="s">
        <v>350</v>
      </c>
      <c r="AI201" s="3" t="s">
        <v>66</v>
      </c>
      <c r="AJ201" s="3" t="s">
        <v>66</v>
      </c>
      <c r="AK201" s="3" t="s">
        <v>205</v>
      </c>
      <c r="AL201" s="3" t="s">
        <v>66</v>
      </c>
      <c r="AM201" s="3" t="s">
        <v>66</v>
      </c>
      <c r="AN201" s="3" t="s">
        <v>66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3" t="s">
        <v>351</v>
      </c>
      <c r="BC201" s="3" t="s">
        <v>352</v>
      </c>
      <c r="BD201" s="2">
        <v>731160.00000000198</v>
      </c>
      <c r="BE201" s="2">
        <v>3761400</v>
      </c>
      <c r="BF201" s="4"/>
      <c r="BG201" s="4"/>
      <c r="BH201" s="4"/>
      <c r="BI201" s="2">
        <v>0</v>
      </c>
      <c r="BJ201" s="2">
        <v>0</v>
      </c>
    </row>
    <row r="202" spans="1:62" ht="58" hidden="1" x14ac:dyDescent="0.35">
      <c r="A202" s="2">
        <v>103570</v>
      </c>
      <c r="B202" s="2">
        <v>200</v>
      </c>
      <c r="C202" s="3" t="s">
        <v>57</v>
      </c>
      <c r="D202" s="3" t="s">
        <v>353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17170920171</v>
      </c>
      <c r="L202" s="7">
        <f t="shared" si="7"/>
        <v>17170920171</v>
      </c>
      <c r="M202" s="7">
        <f t="shared" si="6"/>
        <v>17170920172</v>
      </c>
      <c r="N202" s="3" t="s">
        <v>179</v>
      </c>
      <c r="O202" s="5" t="s">
        <v>348</v>
      </c>
      <c r="P202" s="3" t="s">
        <v>66</v>
      </c>
      <c r="Q202" s="3" t="s">
        <v>180</v>
      </c>
      <c r="R202" s="2">
        <v>0</v>
      </c>
      <c r="S202" s="3" t="s">
        <v>66</v>
      </c>
      <c r="T202" s="3" t="s">
        <v>168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181</v>
      </c>
      <c r="AB202" s="3" t="s">
        <v>349</v>
      </c>
      <c r="AC202" s="2">
        <v>0</v>
      </c>
      <c r="AD202" s="3" t="s">
        <v>191</v>
      </c>
      <c r="AE202" s="3" t="s">
        <v>71</v>
      </c>
      <c r="AF202" s="3" t="s">
        <v>172</v>
      </c>
      <c r="AG202" s="3" t="s">
        <v>173</v>
      </c>
      <c r="AH202" s="3" t="s">
        <v>350</v>
      </c>
      <c r="AI202" s="3" t="s">
        <v>66</v>
      </c>
      <c r="AJ202" s="3" t="s">
        <v>66</v>
      </c>
      <c r="AK202" s="3" t="s">
        <v>205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3" t="s">
        <v>351</v>
      </c>
      <c r="BC202" s="3" t="s">
        <v>352</v>
      </c>
      <c r="BD202" s="2">
        <v>731160.00000000198</v>
      </c>
      <c r="BE202" s="2">
        <v>3761400</v>
      </c>
      <c r="BF202" s="4"/>
      <c r="BG202" s="4"/>
      <c r="BH202" s="4"/>
      <c r="BI202" s="2">
        <v>0</v>
      </c>
      <c r="BJ202" s="2">
        <v>0</v>
      </c>
    </row>
    <row r="203" spans="1:62" ht="58" hidden="1" x14ac:dyDescent="0.35">
      <c r="A203" s="2">
        <v>103571</v>
      </c>
      <c r="B203" s="2">
        <v>201</v>
      </c>
      <c r="C203" s="3" t="s">
        <v>57</v>
      </c>
      <c r="D203" s="3" t="s">
        <v>353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17170920172</v>
      </c>
      <c r="L203" s="7">
        <f t="shared" si="7"/>
        <v>17170920172</v>
      </c>
      <c r="M203" s="7">
        <f t="shared" si="6"/>
        <v>17170920172</v>
      </c>
      <c r="N203" s="3" t="s">
        <v>179</v>
      </c>
      <c r="O203" s="5" t="s">
        <v>354</v>
      </c>
      <c r="P203" s="3" t="s">
        <v>183</v>
      </c>
      <c r="Q203" s="3" t="s">
        <v>180</v>
      </c>
      <c r="R203" s="2">
        <v>0</v>
      </c>
      <c r="S203" s="3" t="s">
        <v>66</v>
      </c>
      <c r="T203" s="3" t="s">
        <v>168</v>
      </c>
      <c r="U203" s="3" t="s">
        <v>355</v>
      </c>
      <c r="V203" s="3" t="s">
        <v>355</v>
      </c>
      <c r="W203" s="3" t="s">
        <v>355</v>
      </c>
      <c r="X203" s="3" t="s">
        <v>195</v>
      </c>
      <c r="Y203" s="3" t="s">
        <v>66</v>
      </c>
      <c r="Z203" s="3" t="s">
        <v>66</v>
      </c>
      <c r="AA203" s="3" t="s">
        <v>181</v>
      </c>
      <c r="AB203" s="3" t="s">
        <v>349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350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3" t="s">
        <v>351</v>
      </c>
      <c r="BC203" s="3" t="s">
        <v>352</v>
      </c>
      <c r="BD203" s="2">
        <v>731161.00000000105</v>
      </c>
      <c r="BE203" s="2">
        <v>3761400</v>
      </c>
      <c r="BF203" s="4"/>
      <c r="BG203" s="4"/>
      <c r="BH203" s="4"/>
      <c r="BI203" s="2">
        <v>0</v>
      </c>
      <c r="BJ203" s="2">
        <v>0</v>
      </c>
    </row>
    <row r="204" spans="1:62" hidden="1" x14ac:dyDescent="0.35">
      <c r="A204" s="2">
        <v>103572</v>
      </c>
      <c r="B204" s="2">
        <v>202</v>
      </c>
      <c r="C204" s="3" t="s">
        <v>57</v>
      </c>
      <c r="D204" s="3" t="s">
        <v>356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17170920137</v>
      </c>
      <c r="L204" s="7">
        <f t="shared" si="7"/>
        <v>17170920172</v>
      </c>
      <c r="M204" s="7">
        <f t="shared" si="6"/>
        <v>17170920173</v>
      </c>
      <c r="N204" s="3" t="s">
        <v>64</v>
      </c>
      <c r="O204" s="5" t="s">
        <v>282</v>
      </c>
      <c r="P204" s="3" t="s">
        <v>66</v>
      </c>
      <c r="Q204" s="3" t="s">
        <v>72</v>
      </c>
      <c r="R204" s="2">
        <v>1</v>
      </c>
      <c r="S204" s="3" t="s">
        <v>73</v>
      </c>
      <c r="T204" s="3" t="s">
        <v>126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76</v>
      </c>
      <c r="AB204" s="3" t="s">
        <v>66</v>
      </c>
      <c r="AC204" s="2">
        <v>0</v>
      </c>
      <c r="AD204" s="3" t="s">
        <v>68</v>
      </c>
      <c r="AE204" s="3" t="s">
        <v>66</v>
      </c>
      <c r="AF204" s="3" t="s">
        <v>66</v>
      </c>
      <c r="AG204" s="3" t="s">
        <v>66</v>
      </c>
      <c r="AH204" s="3" t="s">
        <v>66</v>
      </c>
      <c r="AI204" s="3" t="s">
        <v>66</v>
      </c>
      <c r="AJ204" s="3" t="s">
        <v>66</v>
      </c>
      <c r="AK204" s="3" t="s">
        <v>66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3" t="s">
        <v>66</v>
      </c>
      <c r="BC204" s="3" t="s">
        <v>66</v>
      </c>
      <c r="BD204" s="2">
        <v>730840</v>
      </c>
      <c r="BE204" s="2">
        <v>3762530</v>
      </c>
      <c r="BF204" s="4"/>
      <c r="BG204" s="4"/>
      <c r="BH204" s="4"/>
      <c r="BI204" s="2">
        <v>0</v>
      </c>
      <c r="BJ204" s="2">
        <v>0</v>
      </c>
    </row>
    <row r="205" spans="1:62" hidden="1" x14ac:dyDescent="0.35">
      <c r="A205" s="2">
        <v>103573</v>
      </c>
      <c r="B205" s="2">
        <v>203</v>
      </c>
      <c r="C205" s="3" t="s">
        <v>57</v>
      </c>
      <c r="D205" s="3" t="s">
        <v>356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17170920173</v>
      </c>
      <c r="L205" s="7">
        <f t="shared" si="7"/>
        <v>17170920173</v>
      </c>
      <c r="M205" s="7">
        <f t="shared" si="6"/>
        <v>17170920173</v>
      </c>
      <c r="N205" s="3" t="s">
        <v>64</v>
      </c>
      <c r="O205" s="5" t="s">
        <v>357</v>
      </c>
      <c r="P205" s="3" t="s">
        <v>71</v>
      </c>
      <c r="Q205" s="3" t="s">
        <v>72</v>
      </c>
      <c r="R205" s="2">
        <v>1</v>
      </c>
      <c r="S205" s="3" t="s">
        <v>73</v>
      </c>
      <c r="T205" s="3" t="s">
        <v>126</v>
      </c>
      <c r="U205" s="3" t="s">
        <v>165</v>
      </c>
      <c r="V205" s="3" t="s">
        <v>165</v>
      </c>
      <c r="W205" s="3" t="s">
        <v>165</v>
      </c>
      <c r="X205" s="3" t="s">
        <v>66</v>
      </c>
      <c r="Y205" s="3" t="s">
        <v>66</v>
      </c>
      <c r="Z205" s="3" t="s">
        <v>66</v>
      </c>
      <c r="AA205" s="3" t="s">
        <v>76</v>
      </c>
      <c r="AB205" s="3" t="s">
        <v>66</v>
      </c>
      <c r="AC205" s="2">
        <v>0</v>
      </c>
      <c r="AD205" s="3" t="s">
        <v>68</v>
      </c>
      <c r="AE205" s="3" t="s">
        <v>66</v>
      </c>
      <c r="AF205" s="3" t="s">
        <v>66</v>
      </c>
      <c r="AG205" s="3" t="s">
        <v>66</v>
      </c>
      <c r="AH205" s="3" t="s">
        <v>66</v>
      </c>
      <c r="AI205" s="3" t="s">
        <v>66</v>
      </c>
      <c r="AJ205" s="3" t="s">
        <v>66</v>
      </c>
      <c r="AK205" s="3" t="s">
        <v>66</v>
      </c>
      <c r="AL205" s="3" t="s">
        <v>66</v>
      </c>
      <c r="AM205" s="3" t="s">
        <v>66</v>
      </c>
      <c r="AN205" s="3" t="s">
        <v>87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3" t="s">
        <v>66</v>
      </c>
      <c r="BC205" s="3" t="s">
        <v>66</v>
      </c>
      <c r="BD205" s="2">
        <v>730883</v>
      </c>
      <c r="BE205" s="2">
        <v>3762523</v>
      </c>
      <c r="BF205" s="4"/>
      <c r="BG205" s="4"/>
      <c r="BH205" s="4"/>
      <c r="BI205" s="2">
        <v>0</v>
      </c>
      <c r="BJ205" s="2">
        <v>0</v>
      </c>
    </row>
    <row r="206" spans="1:62" hidden="1" x14ac:dyDescent="0.35">
      <c r="A206" s="2">
        <v>103574</v>
      </c>
      <c r="B206" s="2">
        <v>204</v>
      </c>
      <c r="C206" s="3" t="s">
        <v>57</v>
      </c>
      <c r="D206" s="3" t="s">
        <v>358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17170920173</v>
      </c>
      <c r="L206" s="7">
        <f t="shared" si="7"/>
        <v>17170920173</v>
      </c>
      <c r="M206" s="7">
        <f t="shared" si="6"/>
        <v>17170920174</v>
      </c>
      <c r="N206" s="3" t="s">
        <v>64</v>
      </c>
      <c r="O206" s="5" t="s">
        <v>357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126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3" t="s">
        <v>66</v>
      </c>
      <c r="BC206" s="3" t="s">
        <v>66</v>
      </c>
      <c r="BD206" s="2">
        <v>730883</v>
      </c>
      <c r="BE206" s="2">
        <v>3762523</v>
      </c>
      <c r="BF206" s="4"/>
      <c r="BG206" s="4"/>
      <c r="BH206" s="4"/>
      <c r="BI206" s="2">
        <v>0</v>
      </c>
      <c r="BJ206" s="2">
        <v>0</v>
      </c>
    </row>
    <row r="207" spans="1:62" hidden="1" x14ac:dyDescent="0.35">
      <c r="A207" s="2">
        <v>103575</v>
      </c>
      <c r="B207" s="2">
        <v>205</v>
      </c>
      <c r="C207" s="3" t="s">
        <v>57</v>
      </c>
      <c r="D207" s="3" t="s">
        <v>358</v>
      </c>
      <c r="E207" s="4"/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69</v>
      </c>
      <c r="K207" s="2">
        <v>17170920174</v>
      </c>
      <c r="L207" s="7">
        <f t="shared" si="7"/>
        <v>17170920174</v>
      </c>
      <c r="M207" s="7">
        <f t="shared" si="6"/>
        <v>17170920174</v>
      </c>
      <c r="N207" s="3" t="s">
        <v>64</v>
      </c>
      <c r="O207" s="5" t="s">
        <v>359</v>
      </c>
      <c r="P207" s="3" t="s">
        <v>71</v>
      </c>
      <c r="Q207" s="3" t="s">
        <v>72</v>
      </c>
      <c r="R207" s="2">
        <v>1</v>
      </c>
      <c r="S207" s="3" t="s">
        <v>73</v>
      </c>
      <c r="T207" s="3" t="s">
        <v>74</v>
      </c>
      <c r="U207" s="3" t="s">
        <v>165</v>
      </c>
      <c r="V207" s="3" t="s">
        <v>165</v>
      </c>
      <c r="W207" s="3" t="s">
        <v>165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87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3" t="s">
        <v>66</v>
      </c>
      <c r="BC207" s="3" t="s">
        <v>66</v>
      </c>
      <c r="BD207" s="2">
        <v>730868</v>
      </c>
      <c r="BE207" s="2">
        <v>3762484</v>
      </c>
      <c r="BF207" s="4"/>
      <c r="BG207" s="4"/>
      <c r="BH207" s="4"/>
      <c r="BI207" s="2">
        <v>0</v>
      </c>
      <c r="BJ207" s="2">
        <v>0</v>
      </c>
    </row>
    <row r="208" spans="1:62" hidden="1" x14ac:dyDescent="0.35">
      <c r="A208" s="2">
        <v>103576</v>
      </c>
      <c r="B208" s="2">
        <v>206</v>
      </c>
      <c r="C208" s="3" t="s">
        <v>57</v>
      </c>
      <c r="D208" s="3" t="s">
        <v>360</v>
      </c>
      <c r="E208" s="4"/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63</v>
      </c>
      <c r="K208" s="2">
        <v>17170920174</v>
      </c>
      <c r="L208" s="7">
        <f t="shared" si="7"/>
        <v>17170920174</v>
      </c>
      <c r="M208" s="7">
        <f t="shared" si="6"/>
        <v>17170920177</v>
      </c>
      <c r="N208" s="3" t="s">
        <v>64</v>
      </c>
      <c r="O208" s="5" t="s">
        <v>359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74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3" t="s">
        <v>66</v>
      </c>
      <c r="BC208" s="3" t="s">
        <v>66</v>
      </c>
      <c r="BD208" s="2">
        <v>730868</v>
      </c>
      <c r="BE208" s="2">
        <v>3762484</v>
      </c>
      <c r="BF208" s="4"/>
      <c r="BG208" s="4"/>
      <c r="BH208" s="4"/>
      <c r="BI208" s="2">
        <v>0</v>
      </c>
      <c r="BJ208" s="2">
        <v>0</v>
      </c>
    </row>
    <row r="209" spans="1:62" hidden="1" x14ac:dyDescent="0.35">
      <c r="A209" s="2">
        <v>103577</v>
      </c>
      <c r="B209" s="2">
        <v>207</v>
      </c>
      <c r="C209" s="3" t="s">
        <v>57</v>
      </c>
      <c r="D209" s="3" t="s">
        <v>360</v>
      </c>
      <c r="E209" s="2">
        <v>0</v>
      </c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66</v>
      </c>
      <c r="K209" s="2">
        <v>17170920175</v>
      </c>
      <c r="L209" s="7">
        <f t="shared" si="7"/>
        <v>17170920174</v>
      </c>
      <c r="M209" s="7">
        <f t="shared" si="6"/>
        <v>17170920177</v>
      </c>
      <c r="N209" s="3" t="s">
        <v>64</v>
      </c>
      <c r="O209" s="5" t="s">
        <v>361</v>
      </c>
      <c r="P209" s="3" t="s">
        <v>66</v>
      </c>
      <c r="Q209" s="3" t="s">
        <v>72</v>
      </c>
      <c r="R209" s="2">
        <v>1</v>
      </c>
      <c r="S209" s="3" t="s">
        <v>73</v>
      </c>
      <c r="T209" s="3" t="s">
        <v>74</v>
      </c>
      <c r="U209" s="3" t="s">
        <v>66</v>
      </c>
      <c r="V209" s="3" t="s">
        <v>66</v>
      </c>
      <c r="W209" s="3" t="s">
        <v>66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66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3" t="s">
        <v>66</v>
      </c>
      <c r="BC209" s="3" t="s">
        <v>66</v>
      </c>
      <c r="BD209" s="2">
        <v>730963.00000000198</v>
      </c>
      <c r="BE209" s="2">
        <v>3762403</v>
      </c>
      <c r="BF209" s="4"/>
      <c r="BG209" s="4"/>
      <c r="BH209" s="4"/>
      <c r="BI209" s="2">
        <v>0</v>
      </c>
      <c r="BJ209" s="2">
        <v>0</v>
      </c>
    </row>
    <row r="210" spans="1:62" hidden="1" x14ac:dyDescent="0.35">
      <c r="A210" s="2">
        <v>103578</v>
      </c>
      <c r="B210" s="2">
        <v>208</v>
      </c>
      <c r="C210" s="3" t="s">
        <v>57</v>
      </c>
      <c r="D210" s="3" t="s">
        <v>360</v>
      </c>
      <c r="E210" s="2">
        <v>1</v>
      </c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66</v>
      </c>
      <c r="K210" s="2">
        <v>17170920176</v>
      </c>
      <c r="L210" s="7">
        <f t="shared" si="7"/>
        <v>17170920174</v>
      </c>
      <c r="M210" s="7">
        <f t="shared" si="6"/>
        <v>17170920177</v>
      </c>
      <c r="N210" s="3" t="s">
        <v>64</v>
      </c>
      <c r="O210" s="5" t="s">
        <v>362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74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3" t="s">
        <v>66</v>
      </c>
      <c r="BC210" s="3" t="s">
        <v>66</v>
      </c>
      <c r="BD210" s="2">
        <v>731059</v>
      </c>
      <c r="BE210" s="2">
        <v>3762329</v>
      </c>
      <c r="BF210" s="4"/>
      <c r="BG210" s="4"/>
      <c r="BH210" s="4"/>
      <c r="BI210" s="2">
        <v>0</v>
      </c>
      <c r="BJ210" s="2">
        <v>0</v>
      </c>
    </row>
    <row r="211" spans="1:62" hidden="1" x14ac:dyDescent="0.35">
      <c r="A211" s="2">
        <v>103579</v>
      </c>
      <c r="B211" s="2">
        <v>209</v>
      </c>
      <c r="C211" s="3" t="s">
        <v>57</v>
      </c>
      <c r="D211" s="3" t="s">
        <v>360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17170920177</v>
      </c>
      <c r="L211" s="7">
        <f t="shared" si="7"/>
        <v>17170920177</v>
      </c>
      <c r="M211" s="7">
        <f t="shared" ref="M211:M274" si="8">IF(J211="E",K211,M212)</f>
        <v>17170920177</v>
      </c>
      <c r="N211" s="3" t="s">
        <v>64</v>
      </c>
      <c r="O211" s="5" t="s">
        <v>363</v>
      </c>
      <c r="P211" s="3" t="s">
        <v>71</v>
      </c>
      <c r="Q211" s="3" t="s">
        <v>72</v>
      </c>
      <c r="R211" s="2">
        <v>1</v>
      </c>
      <c r="S211" s="3" t="s">
        <v>73</v>
      </c>
      <c r="T211" s="3" t="s">
        <v>84</v>
      </c>
      <c r="U211" s="3" t="s">
        <v>269</v>
      </c>
      <c r="V211" s="3" t="s">
        <v>269</v>
      </c>
      <c r="W211" s="3" t="s">
        <v>269</v>
      </c>
      <c r="X211" s="3" t="s">
        <v>66</v>
      </c>
      <c r="Y211" s="3" t="s">
        <v>66</v>
      </c>
      <c r="Z211" s="3" t="s">
        <v>66</v>
      </c>
      <c r="AA211" s="3" t="s">
        <v>76</v>
      </c>
      <c r="AB211" s="3" t="s">
        <v>66</v>
      </c>
      <c r="AC211" s="2">
        <v>0</v>
      </c>
      <c r="AD211" s="3" t="s">
        <v>68</v>
      </c>
      <c r="AE211" s="3" t="s">
        <v>66</v>
      </c>
      <c r="AF211" s="3" t="s">
        <v>66</v>
      </c>
      <c r="AG211" s="3" t="s">
        <v>66</v>
      </c>
      <c r="AH211" s="3" t="s">
        <v>66</v>
      </c>
      <c r="AI211" s="3" t="s">
        <v>66</v>
      </c>
      <c r="AJ211" s="3" t="s">
        <v>66</v>
      </c>
      <c r="AK211" s="3" t="s">
        <v>66</v>
      </c>
      <c r="AL211" s="3" t="s">
        <v>66</v>
      </c>
      <c r="AM211" s="3" t="s">
        <v>66</v>
      </c>
      <c r="AN211" s="3" t="s">
        <v>87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3" t="s">
        <v>66</v>
      </c>
      <c r="BC211" s="3" t="s">
        <v>66</v>
      </c>
      <c r="BD211" s="2">
        <v>731151</v>
      </c>
      <c r="BE211" s="2">
        <v>3762260</v>
      </c>
      <c r="BF211" s="4"/>
      <c r="BG211" s="4"/>
      <c r="BH211" s="4"/>
      <c r="BI211" s="2">
        <v>0</v>
      </c>
      <c r="BJ211" s="2">
        <v>0</v>
      </c>
    </row>
    <row r="212" spans="1:62" hidden="1" x14ac:dyDescent="0.35">
      <c r="A212" s="2">
        <v>103580</v>
      </c>
      <c r="B212" s="2">
        <v>210</v>
      </c>
      <c r="C212" s="3" t="s">
        <v>57</v>
      </c>
      <c r="D212" s="3" t="s">
        <v>364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17170920177</v>
      </c>
      <c r="L212" s="7">
        <f t="shared" si="7"/>
        <v>17170920177</v>
      </c>
      <c r="M212" s="7">
        <f t="shared" si="8"/>
        <v>17170920178</v>
      </c>
      <c r="N212" s="3" t="s">
        <v>64</v>
      </c>
      <c r="O212" s="5" t="s">
        <v>363</v>
      </c>
      <c r="P212" s="3" t="s">
        <v>66</v>
      </c>
      <c r="Q212" s="3" t="s">
        <v>72</v>
      </c>
      <c r="R212" s="2">
        <v>1</v>
      </c>
      <c r="S212" s="3" t="s">
        <v>73</v>
      </c>
      <c r="T212" s="3" t="s">
        <v>84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76</v>
      </c>
      <c r="AB212" s="3" t="s">
        <v>66</v>
      </c>
      <c r="AC212" s="2">
        <v>0</v>
      </c>
      <c r="AD212" s="3" t="s">
        <v>68</v>
      </c>
      <c r="AE212" s="3" t="s">
        <v>66</v>
      </c>
      <c r="AF212" s="3" t="s">
        <v>66</v>
      </c>
      <c r="AG212" s="3" t="s">
        <v>66</v>
      </c>
      <c r="AH212" s="3" t="s">
        <v>66</v>
      </c>
      <c r="AI212" s="3" t="s">
        <v>66</v>
      </c>
      <c r="AJ212" s="3" t="s">
        <v>66</v>
      </c>
      <c r="AK212" s="3" t="s">
        <v>66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3" t="s">
        <v>66</v>
      </c>
      <c r="BC212" s="3" t="s">
        <v>66</v>
      </c>
      <c r="BD212" s="2">
        <v>731151</v>
      </c>
      <c r="BE212" s="2">
        <v>3762260</v>
      </c>
      <c r="BF212" s="4"/>
      <c r="BG212" s="4"/>
      <c r="BH212" s="4"/>
      <c r="BI212" s="2">
        <v>0</v>
      </c>
      <c r="BJ212" s="2">
        <v>0</v>
      </c>
    </row>
    <row r="213" spans="1:62" ht="58" hidden="1" x14ac:dyDescent="0.35">
      <c r="A213" s="2">
        <v>103581</v>
      </c>
      <c r="B213" s="2">
        <v>211</v>
      </c>
      <c r="C213" s="3" t="s">
        <v>57</v>
      </c>
      <c r="D213" s="3" t="s">
        <v>364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17170920178</v>
      </c>
      <c r="L213" s="7">
        <f t="shared" si="7"/>
        <v>17170920178</v>
      </c>
      <c r="M213" s="7">
        <f t="shared" si="8"/>
        <v>17170920178</v>
      </c>
      <c r="N213" s="3" t="s">
        <v>64</v>
      </c>
      <c r="O213" s="5" t="s">
        <v>365</v>
      </c>
      <c r="P213" s="3" t="s">
        <v>71</v>
      </c>
      <c r="Q213" s="3" t="s">
        <v>72</v>
      </c>
      <c r="R213" s="2">
        <v>0</v>
      </c>
      <c r="S213" s="3" t="s">
        <v>66</v>
      </c>
      <c r="T213" s="3" t="s">
        <v>168</v>
      </c>
      <c r="U213" s="3" t="s">
        <v>165</v>
      </c>
      <c r="V213" s="3" t="s">
        <v>165</v>
      </c>
      <c r="W213" s="3" t="s">
        <v>165</v>
      </c>
      <c r="X213" s="3" t="s">
        <v>66</v>
      </c>
      <c r="Y213" s="3" t="s">
        <v>66</v>
      </c>
      <c r="Z213" s="3" t="s">
        <v>66</v>
      </c>
      <c r="AA213" s="3" t="s">
        <v>169</v>
      </c>
      <c r="AB213" s="3" t="s">
        <v>366</v>
      </c>
      <c r="AC213" s="2">
        <v>0</v>
      </c>
      <c r="AD213" s="3" t="s">
        <v>171</v>
      </c>
      <c r="AE213" s="3" t="s">
        <v>71</v>
      </c>
      <c r="AF213" s="3" t="s">
        <v>172</v>
      </c>
      <c r="AG213" s="3" t="s">
        <v>173</v>
      </c>
      <c r="AH213" s="3" t="s">
        <v>338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3" t="s">
        <v>351</v>
      </c>
      <c r="BC213" s="3" t="s">
        <v>367</v>
      </c>
      <c r="BD213" s="2">
        <v>731149</v>
      </c>
      <c r="BE213" s="2">
        <v>3762260</v>
      </c>
      <c r="BF213" s="4"/>
      <c r="BG213" s="4"/>
      <c r="BH213" s="4"/>
      <c r="BI213" s="2">
        <v>0</v>
      </c>
      <c r="BJ213" s="2">
        <v>0</v>
      </c>
    </row>
    <row r="214" spans="1:62" ht="58" hidden="1" x14ac:dyDescent="0.35">
      <c r="A214" s="2">
        <v>103582</v>
      </c>
      <c r="B214" s="2">
        <v>212</v>
      </c>
      <c r="C214" s="3" t="s">
        <v>57</v>
      </c>
      <c r="D214" s="3" t="s">
        <v>368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17170920178</v>
      </c>
      <c r="L214" s="7">
        <f t="shared" si="7"/>
        <v>17170920178</v>
      </c>
      <c r="M214" s="7">
        <f t="shared" si="8"/>
        <v>17170920179</v>
      </c>
      <c r="N214" s="3" t="s">
        <v>179</v>
      </c>
      <c r="O214" s="5" t="s">
        <v>365</v>
      </c>
      <c r="P214" s="3" t="s">
        <v>66</v>
      </c>
      <c r="Q214" s="3" t="s">
        <v>180</v>
      </c>
      <c r="R214" s="2">
        <v>0</v>
      </c>
      <c r="S214" s="3" t="s">
        <v>66</v>
      </c>
      <c r="T214" s="3" t="s">
        <v>168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181</v>
      </c>
      <c r="AB214" s="3" t="s">
        <v>366</v>
      </c>
      <c r="AC214" s="2">
        <v>0</v>
      </c>
      <c r="AD214" s="3" t="s">
        <v>171</v>
      </c>
      <c r="AE214" s="3" t="s">
        <v>71</v>
      </c>
      <c r="AF214" s="3" t="s">
        <v>172</v>
      </c>
      <c r="AG214" s="3" t="s">
        <v>173</v>
      </c>
      <c r="AH214" s="3" t="s">
        <v>338</v>
      </c>
      <c r="AI214" s="3" t="s">
        <v>66</v>
      </c>
      <c r="AJ214" s="3" t="s">
        <v>66</v>
      </c>
      <c r="AK214" s="3" t="s">
        <v>205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3" t="s">
        <v>351</v>
      </c>
      <c r="BC214" s="3" t="s">
        <v>367</v>
      </c>
      <c r="BD214" s="2">
        <v>731149</v>
      </c>
      <c r="BE214" s="2">
        <v>3762260</v>
      </c>
      <c r="BF214" s="4"/>
      <c r="BG214" s="4"/>
      <c r="BH214" s="4"/>
      <c r="BI214" s="2">
        <v>0</v>
      </c>
      <c r="BJ214" s="2">
        <v>0</v>
      </c>
    </row>
    <row r="215" spans="1:62" ht="58" hidden="1" x14ac:dyDescent="0.35">
      <c r="A215" s="2">
        <v>103583</v>
      </c>
      <c r="B215" s="2">
        <v>213</v>
      </c>
      <c r="C215" s="3" t="s">
        <v>57</v>
      </c>
      <c r="D215" s="3" t="s">
        <v>368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17170920179</v>
      </c>
      <c r="L215" s="7">
        <f t="shared" si="7"/>
        <v>17170920179</v>
      </c>
      <c r="M215" s="7">
        <f t="shared" si="8"/>
        <v>17170920179</v>
      </c>
      <c r="N215" s="3" t="s">
        <v>179</v>
      </c>
      <c r="O215" s="5" t="s">
        <v>369</v>
      </c>
      <c r="P215" s="3" t="s">
        <v>183</v>
      </c>
      <c r="Q215" s="3" t="s">
        <v>180</v>
      </c>
      <c r="R215" s="2">
        <v>0</v>
      </c>
      <c r="S215" s="3" t="s">
        <v>66</v>
      </c>
      <c r="T215" s="3" t="s">
        <v>168</v>
      </c>
      <c r="U215" s="3" t="s">
        <v>223</v>
      </c>
      <c r="V215" s="3" t="s">
        <v>223</v>
      </c>
      <c r="W215" s="3" t="s">
        <v>223</v>
      </c>
      <c r="X215" s="3" t="s">
        <v>223</v>
      </c>
      <c r="Y215" s="3" t="s">
        <v>66</v>
      </c>
      <c r="Z215" s="3" t="s">
        <v>66</v>
      </c>
      <c r="AA215" s="3" t="s">
        <v>181</v>
      </c>
      <c r="AB215" s="3" t="s">
        <v>366</v>
      </c>
      <c r="AC215" s="2">
        <v>0</v>
      </c>
      <c r="AD215" s="3" t="s">
        <v>171</v>
      </c>
      <c r="AE215" s="3" t="s">
        <v>71</v>
      </c>
      <c r="AF215" s="3" t="s">
        <v>172</v>
      </c>
      <c r="AG215" s="3" t="s">
        <v>173</v>
      </c>
      <c r="AH215" s="3" t="s">
        <v>338</v>
      </c>
      <c r="AI215" s="3" t="s">
        <v>66</v>
      </c>
      <c r="AJ215" s="3" t="s">
        <v>66</v>
      </c>
      <c r="AK215" s="3" t="s">
        <v>205</v>
      </c>
      <c r="AL215" s="3" t="s">
        <v>66</v>
      </c>
      <c r="AM215" s="3" t="s">
        <v>66</v>
      </c>
      <c r="AN215" s="3" t="s">
        <v>66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3" t="s">
        <v>351</v>
      </c>
      <c r="BC215" s="3" t="s">
        <v>367</v>
      </c>
      <c r="BD215" s="2">
        <v>731149</v>
      </c>
      <c r="BE215" s="2">
        <v>3762258</v>
      </c>
      <c r="BF215" s="4"/>
      <c r="BG215" s="4"/>
      <c r="BH215" s="4"/>
      <c r="BI215" s="2">
        <v>0</v>
      </c>
      <c r="BJ215" s="2">
        <v>0</v>
      </c>
    </row>
    <row r="216" spans="1:62" hidden="1" x14ac:dyDescent="0.35">
      <c r="A216" s="2">
        <v>103584</v>
      </c>
      <c r="B216" s="2">
        <v>214</v>
      </c>
      <c r="C216" s="3" t="s">
        <v>57</v>
      </c>
      <c r="D216" s="3" t="s">
        <v>370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17170920177</v>
      </c>
      <c r="L216" s="7">
        <f t="shared" si="7"/>
        <v>17170920179</v>
      </c>
      <c r="M216" s="7">
        <f t="shared" si="8"/>
        <v>17170920180</v>
      </c>
      <c r="N216" s="3" t="s">
        <v>64</v>
      </c>
      <c r="O216" s="5" t="s">
        <v>363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84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3" t="s">
        <v>66</v>
      </c>
      <c r="BC216" s="3" t="s">
        <v>66</v>
      </c>
      <c r="BD216" s="2">
        <v>731151</v>
      </c>
      <c r="BE216" s="2">
        <v>3762260</v>
      </c>
      <c r="BF216" s="4"/>
      <c r="BG216" s="4"/>
      <c r="BH216" s="4"/>
      <c r="BI216" s="2">
        <v>0</v>
      </c>
      <c r="BJ216" s="2">
        <v>0</v>
      </c>
    </row>
    <row r="217" spans="1:62" hidden="1" x14ac:dyDescent="0.35">
      <c r="A217" s="2">
        <v>103585</v>
      </c>
      <c r="B217" s="2">
        <v>215</v>
      </c>
      <c r="C217" s="3" t="s">
        <v>57</v>
      </c>
      <c r="D217" s="3" t="s">
        <v>370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17170920180</v>
      </c>
      <c r="L217" s="7">
        <f t="shared" si="7"/>
        <v>17170920180</v>
      </c>
      <c r="M217" s="7">
        <f t="shared" si="8"/>
        <v>17170920180</v>
      </c>
      <c r="N217" s="3" t="s">
        <v>64</v>
      </c>
      <c r="O217" s="5" t="s">
        <v>371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126</v>
      </c>
      <c r="U217" s="3" t="s">
        <v>269</v>
      </c>
      <c r="V217" s="3" t="s">
        <v>269</v>
      </c>
      <c r="W217" s="3" t="s">
        <v>269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66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3" t="s">
        <v>66</v>
      </c>
      <c r="BC217" s="3" t="s">
        <v>66</v>
      </c>
      <c r="BD217" s="2">
        <v>731222.00000000105</v>
      </c>
      <c r="BE217" s="2">
        <v>3762206</v>
      </c>
      <c r="BF217" s="4"/>
      <c r="BG217" s="4"/>
      <c r="BH217" s="4"/>
      <c r="BI217" s="2">
        <v>0</v>
      </c>
      <c r="BJ217" s="2">
        <v>0</v>
      </c>
    </row>
    <row r="218" spans="1:62" hidden="1" x14ac:dyDescent="0.35">
      <c r="A218" s="2">
        <v>103586</v>
      </c>
      <c r="B218" s="2">
        <v>216</v>
      </c>
      <c r="C218" s="3" t="s">
        <v>57</v>
      </c>
      <c r="D218" s="3" t="s">
        <v>372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17170920180</v>
      </c>
      <c r="L218" s="7">
        <f t="shared" si="7"/>
        <v>17170920180</v>
      </c>
      <c r="M218" s="7">
        <f t="shared" si="8"/>
        <v>17170920181</v>
      </c>
      <c r="N218" s="3" t="s">
        <v>64</v>
      </c>
      <c r="O218" s="5" t="s">
        <v>371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126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3" t="s">
        <v>66</v>
      </c>
      <c r="BC218" s="3" t="s">
        <v>66</v>
      </c>
      <c r="BD218" s="2">
        <v>731222.00000000105</v>
      </c>
      <c r="BE218" s="2">
        <v>3762206</v>
      </c>
      <c r="BF218" s="4"/>
      <c r="BG218" s="4"/>
      <c r="BH218" s="4"/>
      <c r="BI218" s="2">
        <v>0</v>
      </c>
      <c r="BJ218" s="2">
        <v>0</v>
      </c>
    </row>
    <row r="219" spans="1:62" ht="58" hidden="1" x14ac:dyDescent="0.35">
      <c r="A219" s="2">
        <v>103587</v>
      </c>
      <c r="B219" s="2">
        <v>217</v>
      </c>
      <c r="C219" s="3" t="s">
        <v>57</v>
      </c>
      <c r="D219" s="3" t="s">
        <v>372</v>
      </c>
      <c r="E219" s="4"/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69</v>
      </c>
      <c r="K219" s="2">
        <v>17170920181</v>
      </c>
      <c r="L219" s="7">
        <f t="shared" si="7"/>
        <v>17170920181</v>
      </c>
      <c r="M219" s="7">
        <f t="shared" si="8"/>
        <v>17170920181</v>
      </c>
      <c r="N219" s="3" t="s">
        <v>64</v>
      </c>
      <c r="O219" s="5" t="s">
        <v>373</v>
      </c>
      <c r="P219" s="3" t="s">
        <v>71</v>
      </c>
      <c r="Q219" s="3" t="s">
        <v>72</v>
      </c>
      <c r="R219" s="2">
        <v>0</v>
      </c>
      <c r="S219" s="3" t="s">
        <v>66</v>
      </c>
      <c r="T219" s="3" t="s">
        <v>168</v>
      </c>
      <c r="U219" s="3" t="s">
        <v>165</v>
      </c>
      <c r="V219" s="3" t="s">
        <v>165</v>
      </c>
      <c r="W219" s="3" t="s">
        <v>165</v>
      </c>
      <c r="X219" s="3" t="s">
        <v>66</v>
      </c>
      <c r="Y219" s="3" t="s">
        <v>66</v>
      </c>
      <c r="Z219" s="3" t="s">
        <v>66</v>
      </c>
      <c r="AA219" s="3" t="s">
        <v>169</v>
      </c>
      <c r="AB219" s="3" t="s">
        <v>374</v>
      </c>
      <c r="AC219" s="2">
        <v>0</v>
      </c>
      <c r="AD219" s="3" t="s">
        <v>191</v>
      </c>
      <c r="AE219" s="3" t="s">
        <v>71</v>
      </c>
      <c r="AF219" s="3" t="s">
        <v>172</v>
      </c>
      <c r="AG219" s="3" t="s">
        <v>173</v>
      </c>
      <c r="AH219" s="3" t="s">
        <v>375</v>
      </c>
      <c r="AI219" s="3" t="s">
        <v>66</v>
      </c>
      <c r="AJ219" s="3" t="s">
        <v>66</v>
      </c>
      <c r="AK219" s="3" t="s">
        <v>205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3" t="s">
        <v>376</v>
      </c>
      <c r="BC219" s="3" t="s">
        <v>377</v>
      </c>
      <c r="BD219" s="2">
        <v>731220.00000000105</v>
      </c>
      <c r="BE219" s="2">
        <v>3762207</v>
      </c>
      <c r="BF219" s="4"/>
      <c r="BG219" s="4"/>
      <c r="BH219" s="4"/>
      <c r="BI219" s="2">
        <v>0</v>
      </c>
      <c r="BJ219" s="2">
        <v>0</v>
      </c>
    </row>
    <row r="220" spans="1:62" ht="58" hidden="1" x14ac:dyDescent="0.35">
      <c r="A220" s="2">
        <v>103588</v>
      </c>
      <c r="B220" s="2">
        <v>218</v>
      </c>
      <c r="C220" s="3" t="s">
        <v>57</v>
      </c>
      <c r="D220" s="3" t="s">
        <v>378</v>
      </c>
      <c r="E220" s="4"/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63</v>
      </c>
      <c r="K220" s="2">
        <v>17170920181</v>
      </c>
      <c r="L220" s="7">
        <f t="shared" si="7"/>
        <v>17170920181</v>
      </c>
      <c r="M220" s="7">
        <f t="shared" si="8"/>
        <v>17170920182</v>
      </c>
      <c r="N220" s="3" t="s">
        <v>179</v>
      </c>
      <c r="O220" s="5" t="s">
        <v>373</v>
      </c>
      <c r="P220" s="3" t="s">
        <v>66</v>
      </c>
      <c r="Q220" s="3" t="s">
        <v>180</v>
      </c>
      <c r="R220" s="2">
        <v>0</v>
      </c>
      <c r="S220" s="3" t="s">
        <v>66</v>
      </c>
      <c r="T220" s="3" t="s">
        <v>168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181</v>
      </c>
      <c r="AB220" s="3" t="s">
        <v>374</v>
      </c>
      <c r="AC220" s="2">
        <v>0</v>
      </c>
      <c r="AD220" s="3" t="s">
        <v>191</v>
      </c>
      <c r="AE220" s="3" t="s">
        <v>71</v>
      </c>
      <c r="AF220" s="3" t="s">
        <v>172</v>
      </c>
      <c r="AG220" s="3" t="s">
        <v>173</v>
      </c>
      <c r="AH220" s="3" t="s">
        <v>375</v>
      </c>
      <c r="AI220" s="3" t="s">
        <v>66</v>
      </c>
      <c r="AJ220" s="3" t="s">
        <v>66</v>
      </c>
      <c r="AK220" s="3" t="s">
        <v>205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3" t="s">
        <v>376</v>
      </c>
      <c r="BC220" s="3" t="s">
        <v>377</v>
      </c>
      <c r="BD220" s="2">
        <v>731220.00000000105</v>
      </c>
      <c r="BE220" s="2">
        <v>3762207</v>
      </c>
      <c r="BF220" s="4"/>
      <c r="BG220" s="4"/>
      <c r="BH220" s="4"/>
      <c r="BI220" s="2">
        <v>0</v>
      </c>
      <c r="BJ220" s="2">
        <v>0</v>
      </c>
    </row>
    <row r="221" spans="1:62" ht="58" hidden="1" x14ac:dyDescent="0.35">
      <c r="A221" s="2">
        <v>103589</v>
      </c>
      <c r="B221" s="2">
        <v>219</v>
      </c>
      <c r="C221" s="3" t="s">
        <v>57</v>
      </c>
      <c r="D221" s="3" t="s">
        <v>378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17170920182</v>
      </c>
      <c r="L221" s="7">
        <f t="shared" si="7"/>
        <v>17170920182</v>
      </c>
      <c r="M221" s="7">
        <f t="shared" si="8"/>
        <v>17170920182</v>
      </c>
      <c r="N221" s="3" t="s">
        <v>179</v>
      </c>
      <c r="O221" s="5" t="s">
        <v>379</v>
      </c>
      <c r="P221" s="3" t="s">
        <v>183</v>
      </c>
      <c r="Q221" s="3" t="s">
        <v>180</v>
      </c>
      <c r="R221" s="2">
        <v>0</v>
      </c>
      <c r="S221" s="3" t="s">
        <v>66</v>
      </c>
      <c r="T221" s="3" t="s">
        <v>168</v>
      </c>
      <c r="U221" s="3" t="s">
        <v>184</v>
      </c>
      <c r="V221" s="3" t="s">
        <v>184</v>
      </c>
      <c r="W221" s="3" t="s">
        <v>184</v>
      </c>
      <c r="X221" s="3" t="s">
        <v>184</v>
      </c>
      <c r="Y221" s="3" t="s">
        <v>66</v>
      </c>
      <c r="Z221" s="3" t="s">
        <v>66</v>
      </c>
      <c r="AA221" s="3" t="s">
        <v>181</v>
      </c>
      <c r="AB221" s="3" t="s">
        <v>374</v>
      </c>
      <c r="AC221" s="2">
        <v>0</v>
      </c>
      <c r="AD221" s="3" t="s">
        <v>191</v>
      </c>
      <c r="AE221" s="3" t="s">
        <v>71</v>
      </c>
      <c r="AF221" s="3" t="s">
        <v>172</v>
      </c>
      <c r="AG221" s="3" t="s">
        <v>173</v>
      </c>
      <c r="AH221" s="3" t="s">
        <v>375</v>
      </c>
      <c r="AI221" s="3" t="s">
        <v>66</v>
      </c>
      <c r="AJ221" s="3" t="s">
        <v>66</v>
      </c>
      <c r="AK221" s="3" t="s">
        <v>205</v>
      </c>
      <c r="AL221" s="3" t="s">
        <v>66</v>
      </c>
      <c r="AM221" s="3" t="s">
        <v>66</v>
      </c>
      <c r="AN221" s="3" t="s">
        <v>66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3" t="s">
        <v>376</v>
      </c>
      <c r="BC221" s="3" t="s">
        <v>377</v>
      </c>
      <c r="BD221" s="2">
        <v>731221</v>
      </c>
      <c r="BE221" s="2">
        <v>3762206</v>
      </c>
      <c r="BF221" s="4"/>
      <c r="BG221" s="4"/>
      <c r="BH221" s="4"/>
      <c r="BI221" s="2">
        <v>0</v>
      </c>
      <c r="BJ221" s="2">
        <v>0</v>
      </c>
    </row>
    <row r="222" spans="1:62" hidden="1" x14ac:dyDescent="0.35">
      <c r="A222" s="2">
        <v>103590</v>
      </c>
      <c r="B222" s="2">
        <v>220</v>
      </c>
      <c r="C222" s="3" t="s">
        <v>57</v>
      </c>
      <c r="D222" s="3" t="s">
        <v>380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17170920180</v>
      </c>
      <c r="L222" s="7">
        <f t="shared" si="7"/>
        <v>17170920182</v>
      </c>
      <c r="M222" s="7">
        <f t="shared" si="8"/>
        <v>17170920186</v>
      </c>
      <c r="N222" s="3" t="s">
        <v>64</v>
      </c>
      <c r="O222" s="5" t="s">
        <v>371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126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3" t="s">
        <v>66</v>
      </c>
      <c r="BC222" s="3" t="s">
        <v>66</v>
      </c>
      <c r="BD222" s="2">
        <v>731222.00000000105</v>
      </c>
      <c r="BE222" s="2">
        <v>3762206</v>
      </c>
      <c r="BF222" s="4"/>
      <c r="BG222" s="4"/>
      <c r="BH222" s="4"/>
      <c r="BI222" s="2">
        <v>0</v>
      </c>
      <c r="BJ222" s="2">
        <v>0</v>
      </c>
    </row>
    <row r="223" spans="1:62" hidden="1" x14ac:dyDescent="0.35">
      <c r="A223" s="2">
        <v>103591</v>
      </c>
      <c r="B223" s="2">
        <v>221</v>
      </c>
      <c r="C223" s="3" t="s">
        <v>57</v>
      </c>
      <c r="D223" s="3" t="s">
        <v>380</v>
      </c>
      <c r="E223" s="2">
        <v>0</v>
      </c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66</v>
      </c>
      <c r="K223" s="2">
        <v>17170920183</v>
      </c>
      <c r="L223" s="7">
        <f t="shared" si="7"/>
        <v>17170920182</v>
      </c>
      <c r="M223" s="7">
        <f t="shared" si="8"/>
        <v>17170920186</v>
      </c>
      <c r="N223" s="3" t="s">
        <v>64</v>
      </c>
      <c r="O223" s="5" t="s">
        <v>381</v>
      </c>
      <c r="P223" s="3" t="s">
        <v>66</v>
      </c>
      <c r="Q223" s="3" t="s">
        <v>72</v>
      </c>
      <c r="R223" s="2">
        <v>1</v>
      </c>
      <c r="S223" s="3" t="s">
        <v>73</v>
      </c>
      <c r="T223" s="3" t="s">
        <v>126</v>
      </c>
      <c r="U223" s="3" t="s">
        <v>66</v>
      </c>
      <c r="V223" s="3" t="s">
        <v>66</v>
      </c>
      <c r="W223" s="3" t="s">
        <v>66</v>
      </c>
      <c r="X223" s="3" t="s">
        <v>66</v>
      </c>
      <c r="Y223" s="3" t="s">
        <v>66</v>
      </c>
      <c r="Z223" s="3" t="s">
        <v>66</v>
      </c>
      <c r="AA223" s="3" t="s">
        <v>76</v>
      </c>
      <c r="AB223" s="3" t="s">
        <v>66</v>
      </c>
      <c r="AC223" s="2">
        <v>0</v>
      </c>
      <c r="AD223" s="3" t="s">
        <v>68</v>
      </c>
      <c r="AE223" s="3" t="s">
        <v>66</v>
      </c>
      <c r="AF223" s="3" t="s">
        <v>66</v>
      </c>
      <c r="AG223" s="3" t="s">
        <v>66</v>
      </c>
      <c r="AH223" s="3" t="s">
        <v>66</v>
      </c>
      <c r="AI223" s="3" t="s">
        <v>66</v>
      </c>
      <c r="AJ223" s="3" t="s">
        <v>66</v>
      </c>
      <c r="AK223" s="3" t="s">
        <v>66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3" t="s">
        <v>66</v>
      </c>
      <c r="BC223" s="3" t="s">
        <v>66</v>
      </c>
      <c r="BD223" s="2">
        <v>731261</v>
      </c>
      <c r="BE223" s="2">
        <v>3762250</v>
      </c>
      <c r="BF223" s="4"/>
      <c r="BG223" s="4"/>
      <c r="BH223" s="4"/>
      <c r="BI223" s="2">
        <v>0</v>
      </c>
      <c r="BJ223" s="2">
        <v>0</v>
      </c>
    </row>
    <row r="224" spans="1:62" hidden="1" x14ac:dyDescent="0.35">
      <c r="A224" s="2">
        <v>103592</v>
      </c>
      <c r="B224" s="2">
        <v>222</v>
      </c>
      <c r="C224" s="3" t="s">
        <v>57</v>
      </c>
      <c r="D224" s="3" t="s">
        <v>380</v>
      </c>
      <c r="E224" s="2">
        <v>1</v>
      </c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66</v>
      </c>
      <c r="K224" s="2">
        <v>17170920184</v>
      </c>
      <c r="L224" s="7">
        <f t="shared" si="7"/>
        <v>17170920182</v>
      </c>
      <c r="M224" s="7">
        <f t="shared" si="8"/>
        <v>17170920186</v>
      </c>
      <c r="N224" s="3" t="s">
        <v>64</v>
      </c>
      <c r="O224" s="5" t="s">
        <v>382</v>
      </c>
      <c r="P224" s="3" t="s">
        <v>66</v>
      </c>
      <c r="Q224" s="3" t="s">
        <v>72</v>
      </c>
      <c r="R224" s="2">
        <v>1</v>
      </c>
      <c r="S224" s="3" t="s">
        <v>73</v>
      </c>
      <c r="T224" s="3" t="s">
        <v>126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76</v>
      </c>
      <c r="AB224" s="3" t="s">
        <v>66</v>
      </c>
      <c r="AC224" s="2">
        <v>0</v>
      </c>
      <c r="AD224" s="3" t="s">
        <v>68</v>
      </c>
      <c r="AE224" s="3" t="s">
        <v>66</v>
      </c>
      <c r="AF224" s="3" t="s">
        <v>66</v>
      </c>
      <c r="AG224" s="3" t="s">
        <v>66</v>
      </c>
      <c r="AH224" s="3" t="s">
        <v>66</v>
      </c>
      <c r="AI224" s="3" t="s">
        <v>66</v>
      </c>
      <c r="AJ224" s="3" t="s">
        <v>66</v>
      </c>
      <c r="AK224" s="3" t="s">
        <v>66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3" t="s">
        <v>66</v>
      </c>
      <c r="BC224" s="3" t="s">
        <v>66</v>
      </c>
      <c r="BD224" s="2">
        <v>731290</v>
      </c>
      <c r="BE224" s="2">
        <v>3762281</v>
      </c>
      <c r="BF224" s="4"/>
      <c r="BG224" s="4"/>
      <c r="BH224" s="4"/>
      <c r="BI224" s="2">
        <v>0</v>
      </c>
      <c r="BJ224" s="2">
        <v>0</v>
      </c>
    </row>
    <row r="225" spans="1:62" hidden="1" x14ac:dyDescent="0.35">
      <c r="A225" s="2">
        <v>103593</v>
      </c>
      <c r="B225" s="2">
        <v>223</v>
      </c>
      <c r="C225" s="3" t="s">
        <v>57</v>
      </c>
      <c r="D225" s="3" t="s">
        <v>380</v>
      </c>
      <c r="E225" s="2">
        <v>2</v>
      </c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66</v>
      </c>
      <c r="K225" s="2">
        <v>17170920185</v>
      </c>
      <c r="L225" s="7">
        <f t="shared" si="7"/>
        <v>17170920182</v>
      </c>
      <c r="M225" s="7">
        <f t="shared" si="8"/>
        <v>17170920186</v>
      </c>
      <c r="N225" s="3" t="s">
        <v>64</v>
      </c>
      <c r="O225" s="5" t="s">
        <v>383</v>
      </c>
      <c r="P225" s="3" t="s">
        <v>66</v>
      </c>
      <c r="Q225" s="3" t="s">
        <v>72</v>
      </c>
      <c r="R225" s="2">
        <v>1</v>
      </c>
      <c r="S225" s="3" t="s">
        <v>73</v>
      </c>
      <c r="T225" s="3" t="s">
        <v>126</v>
      </c>
      <c r="U225" s="3" t="s">
        <v>66</v>
      </c>
      <c r="V225" s="3" t="s">
        <v>66</v>
      </c>
      <c r="W225" s="3" t="s">
        <v>66</v>
      </c>
      <c r="X225" s="3" t="s">
        <v>66</v>
      </c>
      <c r="Y225" s="3" t="s">
        <v>66</v>
      </c>
      <c r="Z225" s="3" t="s">
        <v>66</v>
      </c>
      <c r="AA225" s="3" t="s">
        <v>76</v>
      </c>
      <c r="AB225" s="3" t="s">
        <v>66</v>
      </c>
      <c r="AC225" s="2">
        <v>0</v>
      </c>
      <c r="AD225" s="3" t="s">
        <v>68</v>
      </c>
      <c r="AE225" s="3" t="s">
        <v>66</v>
      </c>
      <c r="AF225" s="3" t="s">
        <v>66</v>
      </c>
      <c r="AG225" s="3" t="s">
        <v>66</v>
      </c>
      <c r="AH225" s="3" t="s">
        <v>66</v>
      </c>
      <c r="AI225" s="3" t="s">
        <v>66</v>
      </c>
      <c r="AJ225" s="3" t="s">
        <v>66</v>
      </c>
      <c r="AK225" s="3" t="s">
        <v>66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3" t="s">
        <v>66</v>
      </c>
      <c r="BC225" s="3" t="s">
        <v>66</v>
      </c>
      <c r="BD225" s="2">
        <v>731327.00000000105</v>
      </c>
      <c r="BE225" s="2">
        <v>3762317</v>
      </c>
      <c r="BF225" s="4"/>
      <c r="BG225" s="4"/>
      <c r="BH225" s="4"/>
      <c r="BI225" s="2">
        <v>0</v>
      </c>
      <c r="BJ225" s="2">
        <v>0</v>
      </c>
    </row>
    <row r="226" spans="1:62" hidden="1" x14ac:dyDescent="0.35">
      <c r="A226" s="2">
        <v>103594</v>
      </c>
      <c r="B226" s="2">
        <v>224</v>
      </c>
      <c r="C226" s="3" t="s">
        <v>57</v>
      </c>
      <c r="D226" s="3" t="s">
        <v>380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69</v>
      </c>
      <c r="K226" s="2">
        <v>17170920186</v>
      </c>
      <c r="L226" s="7">
        <f t="shared" si="7"/>
        <v>17170920186</v>
      </c>
      <c r="M226" s="7">
        <f t="shared" si="8"/>
        <v>17170920186</v>
      </c>
      <c r="N226" s="3" t="s">
        <v>64</v>
      </c>
      <c r="O226" s="5" t="s">
        <v>384</v>
      </c>
      <c r="P226" s="3" t="s">
        <v>71</v>
      </c>
      <c r="Q226" s="3" t="s">
        <v>72</v>
      </c>
      <c r="R226" s="2">
        <v>1</v>
      </c>
      <c r="S226" s="3" t="s">
        <v>73</v>
      </c>
      <c r="T226" s="3" t="s">
        <v>126</v>
      </c>
      <c r="U226" s="3" t="s">
        <v>165</v>
      </c>
      <c r="V226" s="3" t="s">
        <v>165</v>
      </c>
      <c r="W226" s="3" t="s">
        <v>165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77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3" t="s">
        <v>66</v>
      </c>
      <c r="BC226" s="3" t="s">
        <v>66</v>
      </c>
      <c r="BD226" s="2">
        <v>731360.00000000105</v>
      </c>
      <c r="BE226" s="2">
        <v>3762354</v>
      </c>
      <c r="BF226" s="4"/>
      <c r="BG226" s="4"/>
      <c r="BH226" s="4"/>
      <c r="BI226" s="2">
        <v>0</v>
      </c>
      <c r="BJ226" s="2">
        <v>0</v>
      </c>
    </row>
    <row r="227" spans="1:62" hidden="1" x14ac:dyDescent="0.35">
      <c r="A227" s="2">
        <v>103595</v>
      </c>
      <c r="B227" s="2">
        <v>225</v>
      </c>
      <c r="C227" s="3" t="s">
        <v>57</v>
      </c>
      <c r="D227" s="3" t="s">
        <v>385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63</v>
      </c>
      <c r="K227" s="2">
        <v>17170920186</v>
      </c>
      <c r="L227" s="7">
        <f t="shared" si="7"/>
        <v>17170920186</v>
      </c>
      <c r="M227" s="7">
        <f t="shared" si="8"/>
        <v>17170920187</v>
      </c>
      <c r="N227" s="3" t="s">
        <v>64</v>
      </c>
      <c r="O227" s="5" t="s">
        <v>384</v>
      </c>
      <c r="P227" s="3" t="s">
        <v>66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66</v>
      </c>
      <c r="V227" s="3" t="s">
        <v>66</v>
      </c>
      <c r="W227" s="3" t="s">
        <v>66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3" t="s">
        <v>66</v>
      </c>
      <c r="BC227" s="3" t="s">
        <v>66</v>
      </c>
      <c r="BD227" s="2">
        <v>731360.00000000105</v>
      </c>
      <c r="BE227" s="2">
        <v>3762354</v>
      </c>
      <c r="BF227" s="4"/>
      <c r="BG227" s="4"/>
      <c r="BH227" s="4"/>
      <c r="BI227" s="2">
        <v>0</v>
      </c>
      <c r="BJ227" s="2">
        <v>0</v>
      </c>
    </row>
    <row r="228" spans="1:62" ht="58" hidden="1" x14ac:dyDescent="0.35">
      <c r="A228" s="2">
        <v>103596</v>
      </c>
      <c r="B228" s="2">
        <v>226</v>
      </c>
      <c r="C228" s="3" t="s">
        <v>57</v>
      </c>
      <c r="D228" s="3" t="s">
        <v>385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69</v>
      </c>
      <c r="K228" s="2">
        <v>17170920187</v>
      </c>
      <c r="L228" s="7">
        <f t="shared" si="7"/>
        <v>17170920187</v>
      </c>
      <c r="M228" s="7">
        <f t="shared" si="8"/>
        <v>17170920187</v>
      </c>
      <c r="N228" s="3" t="s">
        <v>64</v>
      </c>
      <c r="O228" s="5" t="s">
        <v>386</v>
      </c>
      <c r="P228" s="3" t="s">
        <v>71</v>
      </c>
      <c r="Q228" s="3" t="s">
        <v>72</v>
      </c>
      <c r="R228" s="2">
        <v>0</v>
      </c>
      <c r="S228" s="3" t="s">
        <v>66</v>
      </c>
      <c r="T228" s="3" t="s">
        <v>168</v>
      </c>
      <c r="U228" s="3" t="s">
        <v>165</v>
      </c>
      <c r="V228" s="3" t="s">
        <v>165</v>
      </c>
      <c r="W228" s="3" t="s">
        <v>165</v>
      </c>
      <c r="X228" s="3" t="s">
        <v>66</v>
      </c>
      <c r="Y228" s="3" t="s">
        <v>66</v>
      </c>
      <c r="Z228" s="3" t="s">
        <v>66</v>
      </c>
      <c r="AA228" s="3" t="s">
        <v>169</v>
      </c>
      <c r="AB228" s="3" t="s">
        <v>387</v>
      </c>
      <c r="AC228" s="2">
        <v>0</v>
      </c>
      <c r="AD228" s="3" t="s">
        <v>191</v>
      </c>
      <c r="AE228" s="3" t="s">
        <v>71</v>
      </c>
      <c r="AF228" s="3" t="s">
        <v>172</v>
      </c>
      <c r="AG228" s="3" t="s">
        <v>173</v>
      </c>
      <c r="AH228" s="3" t="s">
        <v>217</v>
      </c>
      <c r="AI228" s="3" t="s">
        <v>66</v>
      </c>
      <c r="AJ228" s="3" t="s">
        <v>66</v>
      </c>
      <c r="AK228" s="3" t="s">
        <v>175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3" t="s">
        <v>388</v>
      </c>
      <c r="BC228" s="3" t="s">
        <v>389</v>
      </c>
      <c r="BD228" s="2">
        <v>731360.00000000105</v>
      </c>
      <c r="BE228" s="2">
        <v>3762355</v>
      </c>
      <c r="BF228" s="4"/>
      <c r="BG228" s="4"/>
      <c r="BH228" s="4"/>
      <c r="BI228" s="2">
        <v>0</v>
      </c>
      <c r="BJ228" s="2">
        <v>0</v>
      </c>
    </row>
    <row r="229" spans="1:62" ht="58" hidden="1" x14ac:dyDescent="0.35">
      <c r="A229" s="2">
        <v>103597</v>
      </c>
      <c r="B229" s="2">
        <v>227</v>
      </c>
      <c r="C229" s="3" t="s">
        <v>57</v>
      </c>
      <c r="D229" s="3" t="s">
        <v>390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63</v>
      </c>
      <c r="K229" s="2">
        <v>17170920187</v>
      </c>
      <c r="L229" s="7">
        <f t="shared" si="7"/>
        <v>17170920187</v>
      </c>
      <c r="M229" s="7">
        <f t="shared" si="8"/>
        <v>17170920188</v>
      </c>
      <c r="N229" s="3" t="s">
        <v>179</v>
      </c>
      <c r="O229" s="5" t="s">
        <v>386</v>
      </c>
      <c r="P229" s="3" t="s">
        <v>66</v>
      </c>
      <c r="Q229" s="3" t="s">
        <v>180</v>
      </c>
      <c r="R229" s="2">
        <v>0</v>
      </c>
      <c r="S229" s="3" t="s">
        <v>66</v>
      </c>
      <c r="T229" s="3" t="s">
        <v>168</v>
      </c>
      <c r="U229" s="3" t="s">
        <v>66</v>
      </c>
      <c r="V229" s="3" t="s">
        <v>66</v>
      </c>
      <c r="W229" s="3" t="s">
        <v>66</v>
      </c>
      <c r="X229" s="3" t="s">
        <v>66</v>
      </c>
      <c r="Y229" s="3" t="s">
        <v>66</v>
      </c>
      <c r="Z229" s="3" t="s">
        <v>66</v>
      </c>
      <c r="AA229" s="3" t="s">
        <v>181</v>
      </c>
      <c r="AB229" s="3" t="s">
        <v>387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217</v>
      </c>
      <c r="AI229" s="3" t="s">
        <v>66</v>
      </c>
      <c r="AJ229" s="3" t="s">
        <v>66</v>
      </c>
      <c r="AK229" s="3" t="s">
        <v>175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3" t="s">
        <v>388</v>
      </c>
      <c r="BC229" s="3" t="s">
        <v>389</v>
      </c>
      <c r="BD229" s="2">
        <v>731360.00000000105</v>
      </c>
      <c r="BE229" s="2">
        <v>3762355</v>
      </c>
      <c r="BF229" s="4"/>
      <c r="BG229" s="4"/>
      <c r="BH229" s="4"/>
      <c r="BI229" s="2">
        <v>0</v>
      </c>
      <c r="BJ229" s="2">
        <v>0</v>
      </c>
    </row>
    <row r="230" spans="1:62" ht="58" hidden="1" x14ac:dyDescent="0.35">
      <c r="A230" s="2">
        <v>103598</v>
      </c>
      <c r="B230" s="2">
        <v>228</v>
      </c>
      <c r="C230" s="3" t="s">
        <v>57</v>
      </c>
      <c r="D230" s="3" t="s">
        <v>390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69</v>
      </c>
      <c r="K230" s="2">
        <v>17170920188</v>
      </c>
      <c r="L230" s="7">
        <f t="shared" si="7"/>
        <v>17170920188</v>
      </c>
      <c r="M230" s="7">
        <f t="shared" si="8"/>
        <v>17170920188</v>
      </c>
      <c r="N230" s="3" t="s">
        <v>179</v>
      </c>
      <c r="O230" s="5" t="s">
        <v>391</v>
      </c>
      <c r="P230" s="3" t="s">
        <v>183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392</v>
      </c>
      <c r="V230" s="3" t="s">
        <v>392</v>
      </c>
      <c r="W230" s="3" t="s">
        <v>392</v>
      </c>
      <c r="X230" s="3" t="s">
        <v>392</v>
      </c>
      <c r="Y230" s="3" t="s">
        <v>66</v>
      </c>
      <c r="Z230" s="3" t="s">
        <v>66</v>
      </c>
      <c r="AA230" s="3" t="s">
        <v>181</v>
      </c>
      <c r="AB230" s="3" t="s">
        <v>387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217</v>
      </c>
      <c r="AI230" s="3" t="s">
        <v>66</v>
      </c>
      <c r="AJ230" s="3" t="s">
        <v>66</v>
      </c>
      <c r="AK230" s="3" t="s">
        <v>175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3" t="s">
        <v>388</v>
      </c>
      <c r="BC230" s="3" t="s">
        <v>389</v>
      </c>
      <c r="BD230" s="2">
        <v>731358.00000000105</v>
      </c>
      <c r="BE230" s="2">
        <v>3762355</v>
      </c>
      <c r="BF230" s="4"/>
      <c r="BG230" s="4"/>
      <c r="BH230" s="4"/>
      <c r="BI230" s="2">
        <v>0</v>
      </c>
      <c r="BJ230" s="2">
        <v>0</v>
      </c>
    </row>
    <row r="231" spans="1:62" hidden="1" x14ac:dyDescent="0.35">
      <c r="A231" s="2">
        <v>103599</v>
      </c>
      <c r="B231" s="2">
        <v>229</v>
      </c>
      <c r="C231" s="3" t="s">
        <v>57</v>
      </c>
      <c r="D231" s="3" t="s">
        <v>393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63</v>
      </c>
      <c r="K231" s="2">
        <v>17170920186</v>
      </c>
      <c r="L231" s="7">
        <f t="shared" si="7"/>
        <v>17170920188</v>
      </c>
      <c r="M231" s="7">
        <f t="shared" si="8"/>
        <v>17170920189</v>
      </c>
      <c r="N231" s="3" t="s">
        <v>64</v>
      </c>
      <c r="O231" s="5" t="s">
        <v>384</v>
      </c>
      <c r="P231" s="3" t="s">
        <v>66</v>
      </c>
      <c r="Q231" s="3" t="s">
        <v>72</v>
      </c>
      <c r="R231" s="2">
        <v>1</v>
      </c>
      <c r="S231" s="3" t="s">
        <v>73</v>
      </c>
      <c r="T231" s="3" t="s">
        <v>126</v>
      </c>
      <c r="U231" s="3" t="s">
        <v>66</v>
      </c>
      <c r="V231" s="3" t="s">
        <v>66</v>
      </c>
      <c r="W231" s="3" t="s">
        <v>66</v>
      </c>
      <c r="X231" s="3" t="s">
        <v>66</v>
      </c>
      <c r="Y231" s="3" t="s">
        <v>66</v>
      </c>
      <c r="Z231" s="3" t="s">
        <v>66</v>
      </c>
      <c r="AA231" s="3" t="s">
        <v>76</v>
      </c>
      <c r="AB231" s="3" t="s">
        <v>66</v>
      </c>
      <c r="AC231" s="2">
        <v>0</v>
      </c>
      <c r="AD231" s="3" t="s">
        <v>68</v>
      </c>
      <c r="AE231" s="3" t="s">
        <v>66</v>
      </c>
      <c r="AF231" s="3" t="s">
        <v>66</v>
      </c>
      <c r="AG231" s="3" t="s">
        <v>66</v>
      </c>
      <c r="AH231" s="3" t="s">
        <v>66</v>
      </c>
      <c r="AI231" s="3" t="s">
        <v>66</v>
      </c>
      <c r="AJ231" s="3" t="s">
        <v>66</v>
      </c>
      <c r="AK231" s="3" t="s">
        <v>66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3" t="s">
        <v>66</v>
      </c>
      <c r="BC231" s="3" t="s">
        <v>66</v>
      </c>
      <c r="BD231" s="2">
        <v>731360.00000000105</v>
      </c>
      <c r="BE231" s="2">
        <v>3762354</v>
      </c>
      <c r="BF231" s="4"/>
      <c r="BG231" s="4"/>
      <c r="BH231" s="4"/>
      <c r="BI231" s="2">
        <v>0</v>
      </c>
      <c r="BJ231" s="2">
        <v>0</v>
      </c>
    </row>
    <row r="232" spans="1:62" hidden="1" x14ac:dyDescent="0.35">
      <c r="A232" s="2">
        <v>103600</v>
      </c>
      <c r="B232" s="2">
        <v>230</v>
      </c>
      <c r="C232" s="3" t="s">
        <v>57</v>
      </c>
      <c r="D232" s="3" t="s">
        <v>393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69</v>
      </c>
      <c r="K232" s="2">
        <v>17170920189</v>
      </c>
      <c r="L232" s="7">
        <f t="shared" si="7"/>
        <v>17170920189</v>
      </c>
      <c r="M232" s="7">
        <f t="shared" si="8"/>
        <v>17170920189</v>
      </c>
      <c r="N232" s="3" t="s">
        <v>64</v>
      </c>
      <c r="O232" s="5" t="s">
        <v>394</v>
      </c>
      <c r="P232" s="3" t="s">
        <v>71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165</v>
      </c>
      <c r="V232" s="3" t="s">
        <v>165</v>
      </c>
      <c r="W232" s="3" t="s">
        <v>165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77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3" t="s">
        <v>66</v>
      </c>
      <c r="BC232" s="3" t="s">
        <v>66</v>
      </c>
      <c r="BD232" s="2">
        <v>731391.00000000105</v>
      </c>
      <c r="BE232" s="2">
        <v>3762373</v>
      </c>
      <c r="BF232" s="4"/>
      <c r="BG232" s="4"/>
      <c r="BH232" s="4"/>
      <c r="BI232" s="2">
        <v>0</v>
      </c>
      <c r="BJ232" s="2">
        <v>0</v>
      </c>
    </row>
    <row r="233" spans="1:62" hidden="1" x14ac:dyDescent="0.35">
      <c r="A233" s="2">
        <v>103601</v>
      </c>
      <c r="B233" s="2">
        <v>231</v>
      </c>
      <c r="C233" s="3" t="s">
        <v>57</v>
      </c>
      <c r="D233" s="3" t="s">
        <v>395</v>
      </c>
      <c r="E233" s="4"/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63</v>
      </c>
      <c r="K233" s="2">
        <v>17170920189</v>
      </c>
      <c r="L233" s="7">
        <f t="shared" si="7"/>
        <v>17170920189</v>
      </c>
      <c r="M233" s="7">
        <f t="shared" si="8"/>
        <v>17170920190</v>
      </c>
      <c r="N233" s="3" t="s">
        <v>64</v>
      </c>
      <c r="O233" s="5" t="s">
        <v>394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3" t="s">
        <v>66</v>
      </c>
      <c r="BC233" s="3" t="s">
        <v>66</v>
      </c>
      <c r="BD233" s="2">
        <v>731391.00000000105</v>
      </c>
      <c r="BE233" s="2">
        <v>3762373</v>
      </c>
      <c r="BF233" s="4"/>
      <c r="BG233" s="4"/>
      <c r="BH233" s="4"/>
      <c r="BI233" s="2">
        <v>0</v>
      </c>
      <c r="BJ233" s="2">
        <v>0</v>
      </c>
    </row>
    <row r="234" spans="1:62" ht="58" hidden="1" x14ac:dyDescent="0.35">
      <c r="A234" s="2">
        <v>103602</v>
      </c>
      <c r="B234" s="2">
        <v>232</v>
      </c>
      <c r="C234" s="3" t="s">
        <v>57</v>
      </c>
      <c r="D234" s="3" t="s">
        <v>395</v>
      </c>
      <c r="E234" s="4"/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69</v>
      </c>
      <c r="K234" s="2">
        <v>17170920190</v>
      </c>
      <c r="L234" s="7">
        <f t="shared" si="7"/>
        <v>17170920190</v>
      </c>
      <c r="M234" s="7">
        <f t="shared" si="8"/>
        <v>17170920190</v>
      </c>
      <c r="N234" s="3" t="s">
        <v>64</v>
      </c>
      <c r="O234" s="5" t="s">
        <v>396</v>
      </c>
      <c r="P234" s="3" t="s">
        <v>71</v>
      </c>
      <c r="Q234" s="3" t="s">
        <v>72</v>
      </c>
      <c r="R234" s="2">
        <v>0</v>
      </c>
      <c r="S234" s="3" t="s">
        <v>66</v>
      </c>
      <c r="T234" s="3" t="s">
        <v>168</v>
      </c>
      <c r="U234" s="3" t="s">
        <v>165</v>
      </c>
      <c r="V234" s="3" t="s">
        <v>165</v>
      </c>
      <c r="W234" s="3" t="s">
        <v>165</v>
      </c>
      <c r="X234" s="3" t="s">
        <v>66</v>
      </c>
      <c r="Y234" s="3" t="s">
        <v>66</v>
      </c>
      <c r="Z234" s="3" t="s">
        <v>66</v>
      </c>
      <c r="AA234" s="3" t="s">
        <v>169</v>
      </c>
      <c r="AB234" s="3" t="s">
        <v>397</v>
      </c>
      <c r="AC234" s="2">
        <v>0</v>
      </c>
      <c r="AD234" s="3" t="s">
        <v>171</v>
      </c>
      <c r="AE234" s="3" t="s">
        <v>71</v>
      </c>
      <c r="AF234" s="3" t="s">
        <v>172</v>
      </c>
      <c r="AG234" s="3" t="s">
        <v>173</v>
      </c>
      <c r="AH234" s="3" t="s">
        <v>398</v>
      </c>
      <c r="AI234" s="3" t="s">
        <v>66</v>
      </c>
      <c r="AJ234" s="3" t="s">
        <v>66</v>
      </c>
      <c r="AK234" s="3" t="s">
        <v>205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3" t="s">
        <v>388</v>
      </c>
      <c r="BC234" s="3" t="s">
        <v>399</v>
      </c>
      <c r="BD234" s="2">
        <v>731392</v>
      </c>
      <c r="BE234" s="2">
        <v>3762374</v>
      </c>
      <c r="BF234" s="4"/>
      <c r="BG234" s="4"/>
      <c r="BH234" s="4"/>
      <c r="BI234" s="2">
        <v>0</v>
      </c>
      <c r="BJ234" s="2">
        <v>0</v>
      </c>
    </row>
    <row r="235" spans="1:62" ht="58" hidden="1" x14ac:dyDescent="0.35">
      <c r="A235" s="2">
        <v>103603</v>
      </c>
      <c r="B235" s="2">
        <v>233</v>
      </c>
      <c r="C235" s="3" t="s">
        <v>57</v>
      </c>
      <c r="D235" s="3" t="s">
        <v>400</v>
      </c>
      <c r="E235" s="4"/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63</v>
      </c>
      <c r="K235" s="2">
        <v>17170920190</v>
      </c>
      <c r="L235" s="7">
        <f t="shared" si="7"/>
        <v>17170920190</v>
      </c>
      <c r="M235" s="7">
        <f t="shared" si="8"/>
        <v>17170920191</v>
      </c>
      <c r="N235" s="3" t="s">
        <v>179</v>
      </c>
      <c r="O235" s="5" t="s">
        <v>396</v>
      </c>
      <c r="P235" s="3" t="s">
        <v>66</v>
      </c>
      <c r="Q235" s="3" t="s">
        <v>180</v>
      </c>
      <c r="R235" s="2">
        <v>0</v>
      </c>
      <c r="S235" s="3" t="s">
        <v>66</v>
      </c>
      <c r="T235" s="3" t="s">
        <v>168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181</v>
      </c>
      <c r="AB235" s="3" t="s">
        <v>397</v>
      </c>
      <c r="AC235" s="2">
        <v>0</v>
      </c>
      <c r="AD235" s="3" t="s">
        <v>171</v>
      </c>
      <c r="AE235" s="3" t="s">
        <v>71</v>
      </c>
      <c r="AF235" s="3" t="s">
        <v>172</v>
      </c>
      <c r="AG235" s="3" t="s">
        <v>173</v>
      </c>
      <c r="AH235" s="3" t="s">
        <v>398</v>
      </c>
      <c r="AI235" s="3" t="s">
        <v>66</v>
      </c>
      <c r="AJ235" s="3" t="s">
        <v>66</v>
      </c>
      <c r="AK235" s="3" t="s">
        <v>205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3" t="s">
        <v>388</v>
      </c>
      <c r="BC235" s="3" t="s">
        <v>399</v>
      </c>
      <c r="BD235" s="2">
        <v>731392</v>
      </c>
      <c r="BE235" s="2">
        <v>3762374</v>
      </c>
      <c r="BF235" s="4"/>
      <c r="BG235" s="4"/>
      <c r="BH235" s="4"/>
      <c r="BI235" s="2">
        <v>0</v>
      </c>
      <c r="BJ235" s="2">
        <v>0</v>
      </c>
    </row>
    <row r="236" spans="1:62" ht="58" hidden="1" x14ac:dyDescent="0.35">
      <c r="A236" s="2">
        <v>103604</v>
      </c>
      <c r="B236" s="2">
        <v>234</v>
      </c>
      <c r="C236" s="3" t="s">
        <v>57</v>
      </c>
      <c r="D236" s="3" t="s">
        <v>400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17170920191</v>
      </c>
      <c r="L236" s="7">
        <f t="shared" si="7"/>
        <v>17170920191</v>
      </c>
      <c r="M236" s="7">
        <f t="shared" si="8"/>
        <v>17170920191</v>
      </c>
      <c r="N236" s="3" t="s">
        <v>179</v>
      </c>
      <c r="O236" s="5" t="s">
        <v>401</v>
      </c>
      <c r="P236" s="3" t="s">
        <v>183</v>
      </c>
      <c r="Q236" s="3" t="s">
        <v>180</v>
      </c>
      <c r="R236" s="2">
        <v>0</v>
      </c>
      <c r="S236" s="3" t="s">
        <v>66</v>
      </c>
      <c r="T236" s="3" t="s">
        <v>168</v>
      </c>
      <c r="U236" s="3" t="s">
        <v>195</v>
      </c>
      <c r="V236" s="3" t="s">
        <v>195</v>
      </c>
      <c r="W236" s="3" t="s">
        <v>195</v>
      </c>
      <c r="X236" s="3" t="s">
        <v>195</v>
      </c>
      <c r="Y236" s="3" t="s">
        <v>66</v>
      </c>
      <c r="Z236" s="3" t="s">
        <v>66</v>
      </c>
      <c r="AA236" s="3" t="s">
        <v>181</v>
      </c>
      <c r="AB236" s="3" t="s">
        <v>397</v>
      </c>
      <c r="AC236" s="2">
        <v>0</v>
      </c>
      <c r="AD236" s="3" t="s">
        <v>171</v>
      </c>
      <c r="AE236" s="3" t="s">
        <v>71</v>
      </c>
      <c r="AF236" s="3" t="s">
        <v>172</v>
      </c>
      <c r="AG236" s="3" t="s">
        <v>173</v>
      </c>
      <c r="AH236" s="3" t="s">
        <v>398</v>
      </c>
      <c r="AI236" s="3" t="s">
        <v>66</v>
      </c>
      <c r="AJ236" s="3" t="s">
        <v>66</v>
      </c>
      <c r="AK236" s="3" t="s">
        <v>205</v>
      </c>
      <c r="AL236" s="3" t="s">
        <v>66</v>
      </c>
      <c r="AM236" s="3" t="s">
        <v>66</v>
      </c>
      <c r="AN236" s="3" t="s">
        <v>66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3" t="s">
        <v>388</v>
      </c>
      <c r="BC236" s="3" t="s">
        <v>399</v>
      </c>
      <c r="BD236" s="2">
        <v>731391.00000000105</v>
      </c>
      <c r="BE236" s="2">
        <v>3762374</v>
      </c>
      <c r="BF236" s="4"/>
      <c r="BG236" s="4"/>
      <c r="BH236" s="4"/>
      <c r="BI236" s="2">
        <v>0</v>
      </c>
      <c r="BJ236" s="2">
        <v>0</v>
      </c>
    </row>
    <row r="237" spans="1:62" hidden="1" x14ac:dyDescent="0.35">
      <c r="A237" s="2">
        <v>103605</v>
      </c>
      <c r="B237" s="2">
        <v>235</v>
      </c>
      <c r="C237" s="3" t="s">
        <v>57</v>
      </c>
      <c r="D237" s="3" t="s">
        <v>402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17170920180</v>
      </c>
      <c r="L237" s="7">
        <f t="shared" si="7"/>
        <v>17170920191</v>
      </c>
      <c r="M237" s="7">
        <f t="shared" si="8"/>
        <v>17240920194</v>
      </c>
      <c r="N237" s="3" t="s">
        <v>64</v>
      </c>
      <c r="O237" s="5" t="s">
        <v>371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3" t="s">
        <v>66</v>
      </c>
      <c r="BC237" s="3" t="s">
        <v>66</v>
      </c>
      <c r="BD237" s="2">
        <v>731222.00000000105</v>
      </c>
      <c r="BE237" s="2">
        <v>3762206</v>
      </c>
      <c r="BF237" s="4"/>
      <c r="BG237" s="4"/>
      <c r="BH237" s="4"/>
      <c r="BI237" s="2">
        <v>0</v>
      </c>
      <c r="BJ237" s="2">
        <v>0</v>
      </c>
    </row>
    <row r="238" spans="1:62" hidden="1" x14ac:dyDescent="0.35">
      <c r="A238" s="2">
        <v>103606</v>
      </c>
      <c r="B238" s="2">
        <v>236</v>
      </c>
      <c r="C238" s="3" t="s">
        <v>57</v>
      </c>
      <c r="D238" s="3" t="s">
        <v>402</v>
      </c>
      <c r="E238" s="2">
        <v>0</v>
      </c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66</v>
      </c>
      <c r="K238" s="2">
        <v>17240920192</v>
      </c>
      <c r="L238" s="7">
        <f t="shared" si="7"/>
        <v>17170920191</v>
      </c>
      <c r="M238" s="7">
        <f t="shared" si="8"/>
        <v>17240920194</v>
      </c>
      <c r="N238" s="3" t="s">
        <v>64</v>
      </c>
      <c r="O238" s="5" t="s">
        <v>403</v>
      </c>
      <c r="P238" s="3" t="s">
        <v>66</v>
      </c>
      <c r="Q238" s="3" t="s">
        <v>72</v>
      </c>
      <c r="R238" s="2">
        <v>1</v>
      </c>
      <c r="S238" s="3" t="s">
        <v>73</v>
      </c>
      <c r="T238" s="3" t="s">
        <v>74</v>
      </c>
      <c r="U238" s="3" t="s">
        <v>66</v>
      </c>
      <c r="V238" s="3" t="s">
        <v>66</v>
      </c>
      <c r="W238" s="3" t="s">
        <v>66</v>
      </c>
      <c r="X238" s="3" t="s">
        <v>66</v>
      </c>
      <c r="Y238" s="3" t="s">
        <v>66</v>
      </c>
      <c r="Z238" s="3" t="s">
        <v>66</v>
      </c>
      <c r="AA238" s="3" t="s">
        <v>76</v>
      </c>
      <c r="AB238" s="3" t="s">
        <v>66</v>
      </c>
      <c r="AC238" s="2">
        <v>0</v>
      </c>
      <c r="AD238" s="3" t="s">
        <v>68</v>
      </c>
      <c r="AE238" s="3" t="s">
        <v>66</v>
      </c>
      <c r="AF238" s="3" t="s">
        <v>66</v>
      </c>
      <c r="AG238" s="3" t="s">
        <v>66</v>
      </c>
      <c r="AH238" s="3" t="s">
        <v>66</v>
      </c>
      <c r="AI238" s="3" t="s">
        <v>66</v>
      </c>
      <c r="AJ238" s="3" t="s">
        <v>66</v>
      </c>
      <c r="AK238" s="3" t="s">
        <v>66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3" t="s">
        <v>66</v>
      </c>
      <c r="BC238" s="3" t="s">
        <v>66</v>
      </c>
      <c r="BD238" s="2">
        <v>731245.00000000105</v>
      </c>
      <c r="BE238" s="2">
        <v>3762186</v>
      </c>
      <c r="BF238" s="4"/>
      <c r="BG238" s="4"/>
      <c r="BH238" s="4"/>
      <c r="BI238" s="2">
        <v>0</v>
      </c>
      <c r="BJ238" s="2">
        <v>0</v>
      </c>
    </row>
    <row r="239" spans="1:62" hidden="1" x14ac:dyDescent="0.35">
      <c r="A239" s="2">
        <v>103607</v>
      </c>
      <c r="B239" s="2">
        <v>237</v>
      </c>
      <c r="C239" s="3" t="s">
        <v>57</v>
      </c>
      <c r="D239" s="3" t="s">
        <v>402</v>
      </c>
      <c r="E239" s="2">
        <v>1</v>
      </c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66</v>
      </c>
      <c r="K239" s="2">
        <v>17240920193</v>
      </c>
      <c r="L239" s="7">
        <f t="shared" si="7"/>
        <v>17170920191</v>
      </c>
      <c r="M239" s="7">
        <f t="shared" si="8"/>
        <v>17240920194</v>
      </c>
      <c r="N239" s="3" t="s">
        <v>64</v>
      </c>
      <c r="O239" s="5" t="s">
        <v>404</v>
      </c>
      <c r="P239" s="3" t="s">
        <v>66</v>
      </c>
      <c r="Q239" s="3" t="s">
        <v>72</v>
      </c>
      <c r="R239" s="2">
        <v>1</v>
      </c>
      <c r="S239" s="3" t="s">
        <v>73</v>
      </c>
      <c r="T239" s="3" t="s">
        <v>74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76</v>
      </c>
      <c r="AB239" s="3" t="s">
        <v>66</v>
      </c>
      <c r="AC239" s="2">
        <v>0</v>
      </c>
      <c r="AD239" s="3" t="s">
        <v>68</v>
      </c>
      <c r="AE239" s="3" t="s">
        <v>66</v>
      </c>
      <c r="AF239" s="3" t="s">
        <v>66</v>
      </c>
      <c r="AG239" s="3" t="s">
        <v>66</v>
      </c>
      <c r="AH239" s="3" t="s">
        <v>66</v>
      </c>
      <c r="AI239" s="3" t="s">
        <v>66</v>
      </c>
      <c r="AJ239" s="3" t="s">
        <v>66</v>
      </c>
      <c r="AK239" s="3" t="s">
        <v>66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3" t="s">
        <v>66</v>
      </c>
      <c r="BC239" s="3" t="s">
        <v>66</v>
      </c>
      <c r="BD239" s="2">
        <v>731342.00000000105</v>
      </c>
      <c r="BE239" s="2">
        <v>3762108</v>
      </c>
      <c r="BF239" s="4"/>
      <c r="BG239" s="4"/>
      <c r="BH239" s="4"/>
      <c r="BI239" s="2">
        <v>0</v>
      </c>
      <c r="BJ239" s="2">
        <v>0</v>
      </c>
    </row>
    <row r="240" spans="1:62" hidden="1" x14ac:dyDescent="0.35">
      <c r="A240" s="2">
        <v>103608</v>
      </c>
      <c r="B240" s="2">
        <v>238</v>
      </c>
      <c r="C240" s="3" t="s">
        <v>57</v>
      </c>
      <c r="D240" s="3" t="s">
        <v>402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17240920194</v>
      </c>
      <c r="L240" s="7">
        <f t="shared" si="7"/>
        <v>17240920194</v>
      </c>
      <c r="M240" s="7">
        <f t="shared" si="8"/>
        <v>17240920194</v>
      </c>
      <c r="N240" s="3" t="s">
        <v>64</v>
      </c>
      <c r="O240" s="5" t="s">
        <v>405</v>
      </c>
      <c r="P240" s="3" t="s">
        <v>71</v>
      </c>
      <c r="Q240" s="3" t="s">
        <v>72</v>
      </c>
      <c r="R240" s="2">
        <v>1</v>
      </c>
      <c r="S240" s="3" t="s">
        <v>73</v>
      </c>
      <c r="T240" s="3" t="s">
        <v>84</v>
      </c>
      <c r="U240" s="3" t="s">
        <v>269</v>
      </c>
      <c r="V240" s="3" t="s">
        <v>269</v>
      </c>
      <c r="W240" s="3" t="s">
        <v>269</v>
      </c>
      <c r="X240" s="3" t="s">
        <v>66</v>
      </c>
      <c r="Y240" s="3" t="s">
        <v>66</v>
      </c>
      <c r="Z240" s="3" t="s">
        <v>66</v>
      </c>
      <c r="AA240" s="3" t="s">
        <v>76</v>
      </c>
      <c r="AB240" s="3" t="s">
        <v>66</v>
      </c>
      <c r="AC240" s="2">
        <v>0</v>
      </c>
      <c r="AD240" s="3" t="s">
        <v>68</v>
      </c>
      <c r="AE240" s="3" t="s">
        <v>66</v>
      </c>
      <c r="AF240" s="3" t="s">
        <v>66</v>
      </c>
      <c r="AG240" s="3" t="s">
        <v>66</v>
      </c>
      <c r="AH240" s="3" t="s">
        <v>66</v>
      </c>
      <c r="AI240" s="3" t="s">
        <v>66</v>
      </c>
      <c r="AJ240" s="3" t="s">
        <v>66</v>
      </c>
      <c r="AK240" s="3" t="s">
        <v>66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3" t="s">
        <v>66</v>
      </c>
      <c r="BC240" s="3" t="s">
        <v>66</v>
      </c>
      <c r="BD240" s="2">
        <v>731415</v>
      </c>
      <c r="BE240" s="2">
        <v>3762052</v>
      </c>
      <c r="BF240" s="4"/>
      <c r="BG240" s="4"/>
      <c r="BH240" s="4"/>
      <c r="BI240" s="2">
        <v>0</v>
      </c>
      <c r="BJ240" s="2">
        <v>0</v>
      </c>
    </row>
    <row r="241" spans="1:62" hidden="1" x14ac:dyDescent="0.35">
      <c r="A241" s="2">
        <v>103609</v>
      </c>
      <c r="B241" s="2">
        <v>239</v>
      </c>
      <c r="C241" s="3" t="s">
        <v>57</v>
      </c>
      <c r="D241" s="3" t="s">
        <v>406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17240920194</v>
      </c>
      <c r="L241" s="7">
        <f t="shared" si="7"/>
        <v>17240920194</v>
      </c>
      <c r="M241" s="7">
        <f t="shared" si="8"/>
        <v>17240920195</v>
      </c>
      <c r="N241" s="3" t="s">
        <v>64</v>
      </c>
      <c r="O241" s="5" t="s">
        <v>405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84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3" t="s">
        <v>66</v>
      </c>
      <c r="BC241" s="3" t="s">
        <v>66</v>
      </c>
      <c r="BD241" s="2">
        <v>731415</v>
      </c>
      <c r="BE241" s="2">
        <v>3762052</v>
      </c>
      <c r="BF241" s="4"/>
      <c r="BG241" s="4"/>
      <c r="BH241" s="4"/>
      <c r="BI241" s="2">
        <v>0</v>
      </c>
      <c r="BJ241" s="2">
        <v>0</v>
      </c>
    </row>
    <row r="242" spans="1:62" ht="58" hidden="1" x14ac:dyDescent="0.35">
      <c r="A242" s="2">
        <v>103610</v>
      </c>
      <c r="B242" s="2">
        <v>240</v>
      </c>
      <c r="C242" s="3" t="s">
        <v>57</v>
      </c>
      <c r="D242" s="3" t="s">
        <v>406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17240920195</v>
      </c>
      <c r="L242" s="7">
        <f t="shared" si="7"/>
        <v>17240920195</v>
      </c>
      <c r="M242" s="7">
        <f t="shared" si="8"/>
        <v>17240920195</v>
      </c>
      <c r="N242" s="3" t="s">
        <v>64</v>
      </c>
      <c r="O242" s="5" t="s">
        <v>407</v>
      </c>
      <c r="P242" s="3" t="s">
        <v>71</v>
      </c>
      <c r="Q242" s="3" t="s">
        <v>72</v>
      </c>
      <c r="R242" s="2">
        <v>0</v>
      </c>
      <c r="S242" s="3" t="s">
        <v>66</v>
      </c>
      <c r="T242" s="3" t="s">
        <v>168</v>
      </c>
      <c r="U242" s="3" t="s">
        <v>187</v>
      </c>
      <c r="V242" s="3" t="s">
        <v>187</v>
      </c>
      <c r="W242" s="3" t="s">
        <v>187</v>
      </c>
      <c r="X242" s="3" t="s">
        <v>66</v>
      </c>
      <c r="Y242" s="3" t="s">
        <v>66</v>
      </c>
      <c r="Z242" s="3" t="s">
        <v>66</v>
      </c>
      <c r="AA242" s="3" t="s">
        <v>169</v>
      </c>
      <c r="AB242" s="3" t="s">
        <v>408</v>
      </c>
      <c r="AC242" s="2">
        <v>0</v>
      </c>
      <c r="AD242" s="3" t="s">
        <v>409</v>
      </c>
      <c r="AE242" s="3" t="s">
        <v>71</v>
      </c>
      <c r="AF242" s="3" t="s">
        <v>216</v>
      </c>
      <c r="AG242" s="3" t="s">
        <v>173</v>
      </c>
      <c r="AH242" s="3" t="s">
        <v>174</v>
      </c>
      <c r="AI242" s="3" t="s">
        <v>66</v>
      </c>
      <c r="AJ242" s="3" t="s">
        <v>66</v>
      </c>
      <c r="AK242" s="3" t="s">
        <v>205</v>
      </c>
      <c r="AL242" s="3" t="s">
        <v>244</v>
      </c>
      <c r="AM242" s="3" t="s">
        <v>66</v>
      </c>
      <c r="AN242" s="3" t="s">
        <v>66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3" t="s">
        <v>410</v>
      </c>
      <c r="BC242" s="3" t="s">
        <v>411</v>
      </c>
      <c r="BD242" s="2">
        <v>731416.00000000105</v>
      </c>
      <c r="BE242" s="2">
        <v>3762054</v>
      </c>
      <c r="BF242" s="4"/>
      <c r="BG242" s="4"/>
      <c r="BH242" s="4"/>
      <c r="BI242" s="2">
        <v>0</v>
      </c>
      <c r="BJ242" s="2">
        <v>0</v>
      </c>
    </row>
    <row r="243" spans="1:62" ht="58" hidden="1" x14ac:dyDescent="0.35">
      <c r="A243" s="2">
        <v>103611</v>
      </c>
      <c r="B243" s="2">
        <v>241</v>
      </c>
      <c r="C243" s="3" t="s">
        <v>57</v>
      </c>
      <c r="D243" s="3" t="s">
        <v>412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17240920195</v>
      </c>
      <c r="L243" s="7">
        <f t="shared" si="7"/>
        <v>17240920195</v>
      </c>
      <c r="M243" s="7">
        <f t="shared" si="8"/>
        <v>17240920196</v>
      </c>
      <c r="N243" s="3" t="s">
        <v>179</v>
      </c>
      <c r="O243" s="5" t="s">
        <v>407</v>
      </c>
      <c r="P243" s="3" t="s">
        <v>66</v>
      </c>
      <c r="Q243" s="3" t="s">
        <v>180</v>
      </c>
      <c r="R243" s="2">
        <v>0</v>
      </c>
      <c r="S243" s="3" t="s">
        <v>66</v>
      </c>
      <c r="T243" s="3" t="s">
        <v>168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181</v>
      </c>
      <c r="AB243" s="3" t="s">
        <v>408</v>
      </c>
      <c r="AC243" s="2">
        <v>0</v>
      </c>
      <c r="AD243" s="3" t="s">
        <v>409</v>
      </c>
      <c r="AE243" s="3" t="s">
        <v>71</v>
      </c>
      <c r="AF243" s="3" t="s">
        <v>216</v>
      </c>
      <c r="AG243" s="3" t="s">
        <v>173</v>
      </c>
      <c r="AH243" s="3" t="s">
        <v>174</v>
      </c>
      <c r="AI243" s="3" t="s">
        <v>66</v>
      </c>
      <c r="AJ243" s="3" t="s">
        <v>66</v>
      </c>
      <c r="AK243" s="3" t="s">
        <v>205</v>
      </c>
      <c r="AL243" s="3" t="s">
        <v>244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3" t="s">
        <v>410</v>
      </c>
      <c r="BC243" s="3" t="s">
        <v>411</v>
      </c>
      <c r="BD243" s="2">
        <v>731416.00000000105</v>
      </c>
      <c r="BE243" s="2">
        <v>3762054</v>
      </c>
      <c r="BF243" s="4"/>
      <c r="BG243" s="4"/>
      <c r="BH243" s="4"/>
      <c r="BI243" s="2">
        <v>0</v>
      </c>
      <c r="BJ243" s="2">
        <v>0</v>
      </c>
    </row>
    <row r="244" spans="1:62" ht="58" hidden="1" x14ac:dyDescent="0.35">
      <c r="A244" s="2">
        <v>103612</v>
      </c>
      <c r="B244" s="2">
        <v>242</v>
      </c>
      <c r="C244" s="3" t="s">
        <v>57</v>
      </c>
      <c r="D244" s="3" t="s">
        <v>412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17240920196</v>
      </c>
      <c r="L244" s="7">
        <f t="shared" si="7"/>
        <v>17240920196</v>
      </c>
      <c r="M244" s="7">
        <f t="shared" si="8"/>
        <v>17240920196</v>
      </c>
      <c r="N244" s="3" t="s">
        <v>179</v>
      </c>
      <c r="O244" s="5" t="s">
        <v>413</v>
      </c>
      <c r="P244" s="3" t="s">
        <v>183</v>
      </c>
      <c r="Q244" s="3" t="s">
        <v>180</v>
      </c>
      <c r="R244" s="2">
        <v>0</v>
      </c>
      <c r="S244" s="3" t="s">
        <v>66</v>
      </c>
      <c r="T244" s="3" t="s">
        <v>168</v>
      </c>
      <c r="U244" s="3" t="s">
        <v>223</v>
      </c>
      <c r="V244" s="3" t="s">
        <v>223</v>
      </c>
      <c r="W244" s="3" t="s">
        <v>223</v>
      </c>
      <c r="X244" s="3" t="s">
        <v>223</v>
      </c>
      <c r="Y244" s="3" t="s">
        <v>66</v>
      </c>
      <c r="Z244" s="3" t="s">
        <v>66</v>
      </c>
      <c r="AA244" s="3" t="s">
        <v>181</v>
      </c>
      <c r="AB244" s="3" t="s">
        <v>408</v>
      </c>
      <c r="AC244" s="2">
        <v>0</v>
      </c>
      <c r="AD244" s="3" t="s">
        <v>409</v>
      </c>
      <c r="AE244" s="3" t="s">
        <v>71</v>
      </c>
      <c r="AF244" s="3" t="s">
        <v>216</v>
      </c>
      <c r="AG244" s="3" t="s">
        <v>173</v>
      </c>
      <c r="AH244" s="3" t="s">
        <v>174</v>
      </c>
      <c r="AI244" s="3" t="s">
        <v>66</v>
      </c>
      <c r="AJ244" s="3" t="s">
        <v>66</v>
      </c>
      <c r="AK244" s="3" t="s">
        <v>205</v>
      </c>
      <c r="AL244" s="3" t="s">
        <v>244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3" t="s">
        <v>410</v>
      </c>
      <c r="BC244" s="3" t="s">
        <v>411</v>
      </c>
      <c r="BD244" s="2">
        <v>731414.00000000105</v>
      </c>
      <c r="BE244" s="2">
        <v>3762053</v>
      </c>
      <c r="BF244" s="4"/>
      <c r="BG244" s="4"/>
      <c r="BH244" s="4"/>
      <c r="BI244" s="2">
        <v>0</v>
      </c>
      <c r="BJ244" s="2">
        <v>0</v>
      </c>
    </row>
    <row r="245" spans="1:62" hidden="1" x14ac:dyDescent="0.35">
      <c r="A245" s="2">
        <v>103613</v>
      </c>
      <c r="B245" s="2">
        <v>243</v>
      </c>
      <c r="C245" s="3" t="s">
        <v>57</v>
      </c>
      <c r="D245" s="3" t="s">
        <v>414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17240920194</v>
      </c>
      <c r="L245" s="7">
        <f t="shared" si="7"/>
        <v>17240920196</v>
      </c>
      <c r="M245" s="7">
        <f t="shared" si="8"/>
        <v>17240920198</v>
      </c>
      <c r="N245" s="3" t="s">
        <v>64</v>
      </c>
      <c r="O245" s="5" t="s">
        <v>405</v>
      </c>
      <c r="P245" s="3" t="s">
        <v>66</v>
      </c>
      <c r="Q245" s="3" t="s">
        <v>72</v>
      </c>
      <c r="R245" s="2">
        <v>1</v>
      </c>
      <c r="S245" s="3" t="s">
        <v>73</v>
      </c>
      <c r="T245" s="3" t="s">
        <v>84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76</v>
      </c>
      <c r="AB245" s="3" t="s">
        <v>66</v>
      </c>
      <c r="AC245" s="2">
        <v>0</v>
      </c>
      <c r="AD245" s="3" t="s">
        <v>68</v>
      </c>
      <c r="AE245" s="3" t="s">
        <v>66</v>
      </c>
      <c r="AF245" s="3" t="s">
        <v>66</v>
      </c>
      <c r="AG245" s="3" t="s">
        <v>66</v>
      </c>
      <c r="AH245" s="3" t="s">
        <v>66</v>
      </c>
      <c r="AI245" s="3" t="s">
        <v>66</v>
      </c>
      <c r="AJ245" s="3" t="s">
        <v>66</v>
      </c>
      <c r="AK245" s="3" t="s">
        <v>66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3" t="s">
        <v>66</v>
      </c>
      <c r="BC245" s="3" t="s">
        <v>66</v>
      </c>
      <c r="BD245" s="2">
        <v>731415</v>
      </c>
      <c r="BE245" s="2">
        <v>3762052</v>
      </c>
      <c r="BF245" s="4"/>
      <c r="BG245" s="4"/>
      <c r="BH245" s="4"/>
      <c r="BI245" s="2">
        <v>0</v>
      </c>
      <c r="BJ245" s="2">
        <v>0</v>
      </c>
    </row>
    <row r="246" spans="1:62" hidden="1" x14ac:dyDescent="0.35">
      <c r="A246" s="2">
        <v>103614</v>
      </c>
      <c r="B246" s="2">
        <v>244</v>
      </c>
      <c r="C246" s="3" t="s">
        <v>57</v>
      </c>
      <c r="D246" s="3" t="s">
        <v>414</v>
      </c>
      <c r="E246" s="2">
        <v>0</v>
      </c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66</v>
      </c>
      <c r="K246" s="2">
        <v>17240920197</v>
      </c>
      <c r="L246" s="7">
        <f t="shared" si="7"/>
        <v>17240920196</v>
      </c>
      <c r="M246" s="7">
        <f t="shared" si="8"/>
        <v>17240920198</v>
      </c>
      <c r="N246" s="3" t="s">
        <v>64</v>
      </c>
      <c r="O246" s="5" t="s">
        <v>415</v>
      </c>
      <c r="P246" s="3" t="s">
        <v>66</v>
      </c>
      <c r="Q246" s="3" t="s">
        <v>72</v>
      </c>
      <c r="R246" s="2">
        <v>1</v>
      </c>
      <c r="S246" s="3" t="s">
        <v>73</v>
      </c>
      <c r="T246" s="3" t="s">
        <v>74</v>
      </c>
      <c r="U246" s="3" t="s">
        <v>66</v>
      </c>
      <c r="V246" s="3" t="s">
        <v>66</v>
      </c>
      <c r="W246" s="3" t="s">
        <v>66</v>
      </c>
      <c r="X246" s="3" t="s">
        <v>66</v>
      </c>
      <c r="Y246" s="3" t="s">
        <v>66</v>
      </c>
      <c r="Z246" s="3" t="s">
        <v>66</v>
      </c>
      <c r="AA246" s="3" t="s">
        <v>76</v>
      </c>
      <c r="AB246" s="3" t="s">
        <v>66</v>
      </c>
      <c r="AC246" s="2">
        <v>0</v>
      </c>
      <c r="AD246" s="3" t="s">
        <v>68</v>
      </c>
      <c r="AE246" s="3" t="s">
        <v>66</v>
      </c>
      <c r="AF246" s="3" t="s">
        <v>66</v>
      </c>
      <c r="AG246" s="3" t="s">
        <v>66</v>
      </c>
      <c r="AH246" s="3" t="s">
        <v>66</v>
      </c>
      <c r="AI246" s="3" t="s">
        <v>66</v>
      </c>
      <c r="AJ246" s="3" t="s">
        <v>66</v>
      </c>
      <c r="AK246" s="3" t="s">
        <v>66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3" t="s">
        <v>66</v>
      </c>
      <c r="BC246" s="3" t="s">
        <v>66</v>
      </c>
      <c r="BD246" s="2">
        <v>731429.00000000105</v>
      </c>
      <c r="BE246" s="2">
        <v>3762037</v>
      </c>
      <c r="BF246" s="4"/>
      <c r="BG246" s="4"/>
      <c r="BH246" s="4"/>
      <c r="BI246" s="2">
        <v>0</v>
      </c>
      <c r="BJ246" s="2">
        <v>0</v>
      </c>
    </row>
    <row r="247" spans="1:62" hidden="1" x14ac:dyDescent="0.35">
      <c r="A247" s="2">
        <v>103615</v>
      </c>
      <c r="B247" s="2">
        <v>245</v>
      </c>
      <c r="C247" s="3" t="s">
        <v>57</v>
      </c>
      <c r="D247" s="3" t="s">
        <v>414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69</v>
      </c>
      <c r="K247" s="2">
        <v>17240920198</v>
      </c>
      <c r="L247" s="7">
        <f t="shared" si="7"/>
        <v>17240920198</v>
      </c>
      <c r="M247" s="7">
        <f t="shared" si="8"/>
        <v>17240920198</v>
      </c>
      <c r="N247" s="3" t="s">
        <v>64</v>
      </c>
      <c r="O247" s="5" t="s">
        <v>416</v>
      </c>
      <c r="P247" s="3" t="s">
        <v>71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269</v>
      </c>
      <c r="V247" s="3" t="s">
        <v>269</v>
      </c>
      <c r="W247" s="3" t="s">
        <v>269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77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3" t="s">
        <v>66</v>
      </c>
      <c r="BC247" s="3" t="s">
        <v>66</v>
      </c>
      <c r="BD247" s="2">
        <v>731467.00000000105</v>
      </c>
      <c r="BE247" s="2">
        <v>3762012</v>
      </c>
      <c r="BF247" s="4"/>
      <c r="BG247" s="4"/>
      <c r="BH247" s="4"/>
      <c r="BI247" s="2">
        <v>0</v>
      </c>
      <c r="BJ247" s="2">
        <v>0</v>
      </c>
    </row>
    <row r="248" spans="1:62" hidden="1" x14ac:dyDescent="0.35">
      <c r="A248" s="2">
        <v>103616</v>
      </c>
      <c r="B248" s="2">
        <v>246</v>
      </c>
      <c r="C248" s="3" t="s">
        <v>57</v>
      </c>
      <c r="D248" s="3" t="s">
        <v>417</v>
      </c>
      <c r="E248" s="4"/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63</v>
      </c>
      <c r="K248" s="2">
        <v>17240920198</v>
      </c>
      <c r="L248" s="7">
        <f t="shared" si="7"/>
        <v>17240920198</v>
      </c>
      <c r="M248" s="7">
        <f t="shared" si="8"/>
        <v>17240920200</v>
      </c>
      <c r="N248" s="3" t="s">
        <v>64</v>
      </c>
      <c r="O248" s="5" t="s">
        <v>416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126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3" t="s">
        <v>66</v>
      </c>
      <c r="BC248" s="3" t="s">
        <v>66</v>
      </c>
      <c r="BD248" s="2">
        <v>731467.00000000105</v>
      </c>
      <c r="BE248" s="2">
        <v>3762012</v>
      </c>
      <c r="BF248" s="4"/>
      <c r="BG248" s="4"/>
      <c r="BH248" s="4"/>
      <c r="BI248" s="2">
        <v>0</v>
      </c>
      <c r="BJ248" s="2">
        <v>0</v>
      </c>
    </row>
    <row r="249" spans="1:62" hidden="1" x14ac:dyDescent="0.35">
      <c r="A249" s="2">
        <v>103617</v>
      </c>
      <c r="B249" s="2">
        <v>247</v>
      </c>
      <c r="C249" s="3" t="s">
        <v>57</v>
      </c>
      <c r="D249" s="3" t="s">
        <v>417</v>
      </c>
      <c r="E249" s="2">
        <v>0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17240920199</v>
      </c>
      <c r="L249" s="7">
        <f t="shared" si="7"/>
        <v>17240920198</v>
      </c>
      <c r="M249" s="7">
        <f t="shared" si="8"/>
        <v>17240920200</v>
      </c>
      <c r="N249" s="3" t="s">
        <v>64</v>
      </c>
      <c r="O249" s="5" t="s">
        <v>418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126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3" t="s">
        <v>66</v>
      </c>
      <c r="BC249" s="3" t="s">
        <v>66</v>
      </c>
      <c r="BD249" s="2">
        <v>731488.00000000105</v>
      </c>
      <c r="BE249" s="2">
        <v>3762033</v>
      </c>
      <c r="BF249" s="4"/>
      <c r="BG249" s="4"/>
      <c r="BH249" s="4"/>
      <c r="BI249" s="2">
        <v>0</v>
      </c>
      <c r="BJ249" s="2">
        <v>0</v>
      </c>
    </row>
    <row r="250" spans="1:62" hidden="1" x14ac:dyDescent="0.35">
      <c r="A250" s="2">
        <v>103618</v>
      </c>
      <c r="B250" s="2">
        <v>248</v>
      </c>
      <c r="C250" s="3" t="s">
        <v>57</v>
      </c>
      <c r="D250" s="3" t="s">
        <v>417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17240920200</v>
      </c>
      <c r="L250" s="7">
        <f t="shared" si="7"/>
        <v>17240920200</v>
      </c>
      <c r="M250" s="7">
        <f t="shared" si="8"/>
        <v>17240920200</v>
      </c>
      <c r="N250" s="3" t="s">
        <v>64</v>
      </c>
      <c r="O250" s="5" t="s">
        <v>419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126</v>
      </c>
      <c r="U250" s="3" t="s">
        <v>165</v>
      </c>
      <c r="V250" s="3" t="s">
        <v>165</v>
      </c>
      <c r="W250" s="3" t="s">
        <v>165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77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3" t="s">
        <v>66</v>
      </c>
      <c r="BC250" s="3" t="s">
        <v>66</v>
      </c>
      <c r="BD250" s="2">
        <v>731506.00000000105</v>
      </c>
      <c r="BE250" s="2">
        <v>3762067</v>
      </c>
      <c r="BF250" s="4"/>
      <c r="BG250" s="4"/>
      <c r="BH250" s="4"/>
      <c r="BI250" s="2">
        <v>0</v>
      </c>
      <c r="BJ250" s="2">
        <v>0</v>
      </c>
    </row>
    <row r="251" spans="1:62" hidden="1" x14ac:dyDescent="0.35">
      <c r="A251" s="2">
        <v>103619</v>
      </c>
      <c r="B251" s="2">
        <v>249</v>
      </c>
      <c r="C251" s="3" t="s">
        <v>57</v>
      </c>
      <c r="D251" s="3" t="s">
        <v>420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17240920200</v>
      </c>
      <c r="L251" s="7">
        <f t="shared" si="7"/>
        <v>17240920200</v>
      </c>
      <c r="M251" s="7">
        <f t="shared" si="8"/>
        <v>17240920201</v>
      </c>
      <c r="N251" s="3" t="s">
        <v>64</v>
      </c>
      <c r="O251" s="5" t="s">
        <v>419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126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3" t="s">
        <v>66</v>
      </c>
      <c r="BC251" s="3" t="s">
        <v>66</v>
      </c>
      <c r="BD251" s="2">
        <v>731506.00000000105</v>
      </c>
      <c r="BE251" s="2">
        <v>3762067</v>
      </c>
      <c r="BF251" s="4"/>
      <c r="BG251" s="4"/>
      <c r="BH251" s="4"/>
      <c r="BI251" s="2">
        <v>0</v>
      </c>
      <c r="BJ251" s="2">
        <v>0</v>
      </c>
    </row>
    <row r="252" spans="1:62" ht="58" hidden="1" x14ac:dyDescent="0.35">
      <c r="A252" s="2">
        <v>103620</v>
      </c>
      <c r="B252" s="2">
        <v>250</v>
      </c>
      <c r="C252" s="3" t="s">
        <v>57</v>
      </c>
      <c r="D252" s="3" t="s">
        <v>420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17240920201</v>
      </c>
      <c r="L252" s="7">
        <f t="shared" si="7"/>
        <v>17240920201</v>
      </c>
      <c r="M252" s="7">
        <f t="shared" si="8"/>
        <v>17240920201</v>
      </c>
      <c r="N252" s="3" t="s">
        <v>64</v>
      </c>
      <c r="O252" s="5" t="s">
        <v>421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165</v>
      </c>
      <c r="V252" s="3" t="s">
        <v>165</v>
      </c>
      <c r="W252" s="3" t="s">
        <v>165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422</v>
      </c>
      <c r="AC252" s="2">
        <v>0</v>
      </c>
      <c r="AD252" s="3" t="s">
        <v>191</v>
      </c>
      <c r="AE252" s="3" t="s">
        <v>71</v>
      </c>
      <c r="AF252" s="3" t="s">
        <v>172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175</v>
      </c>
      <c r="AL252" s="3" t="s">
        <v>66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3" t="s">
        <v>410</v>
      </c>
      <c r="BC252" s="3" t="s">
        <v>423</v>
      </c>
      <c r="BD252" s="2">
        <v>731506.00000000105</v>
      </c>
      <c r="BE252" s="2">
        <v>3762068</v>
      </c>
      <c r="BF252" s="4"/>
      <c r="BG252" s="4"/>
      <c r="BH252" s="4"/>
      <c r="BI252" s="2">
        <v>0</v>
      </c>
      <c r="BJ252" s="2">
        <v>0</v>
      </c>
    </row>
    <row r="253" spans="1:62" ht="58" hidden="1" x14ac:dyDescent="0.35">
      <c r="A253" s="2">
        <v>103621</v>
      </c>
      <c r="B253" s="2">
        <v>251</v>
      </c>
      <c r="C253" s="3" t="s">
        <v>57</v>
      </c>
      <c r="D253" s="3" t="s">
        <v>424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17240920201</v>
      </c>
      <c r="L253" s="7">
        <f t="shared" si="7"/>
        <v>17240920201</v>
      </c>
      <c r="M253" s="7">
        <f t="shared" si="8"/>
        <v>17240920202</v>
      </c>
      <c r="N253" s="3" t="s">
        <v>179</v>
      </c>
      <c r="O253" s="5" t="s">
        <v>421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422</v>
      </c>
      <c r="AC253" s="2">
        <v>0</v>
      </c>
      <c r="AD253" s="3" t="s">
        <v>191</v>
      </c>
      <c r="AE253" s="3" t="s">
        <v>71</v>
      </c>
      <c r="AF253" s="3" t="s">
        <v>172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175</v>
      </c>
      <c r="AL253" s="3" t="s">
        <v>66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3" t="s">
        <v>410</v>
      </c>
      <c r="BC253" s="3" t="s">
        <v>423</v>
      </c>
      <c r="BD253" s="2">
        <v>731506.00000000105</v>
      </c>
      <c r="BE253" s="2">
        <v>3762068</v>
      </c>
      <c r="BF253" s="4"/>
      <c r="BG253" s="4"/>
      <c r="BH253" s="4"/>
      <c r="BI253" s="2">
        <v>0</v>
      </c>
      <c r="BJ253" s="2">
        <v>0</v>
      </c>
    </row>
    <row r="254" spans="1:62" ht="58" hidden="1" x14ac:dyDescent="0.35">
      <c r="A254" s="2">
        <v>103622</v>
      </c>
      <c r="B254" s="2">
        <v>252</v>
      </c>
      <c r="C254" s="3" t="s">
        <v>57</v>
      </c>
      <c r="D254" s="3" t="s">
        <v>424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17240920202</v>
      </c>
      <c r="L254" s="7">
        <f t="shared" si="7"/>
        <v>17240920202</v>
      </c>
      <c r="M254" s="7">
        <f t="shared" si="8"/>
        <v>17240920202</v>
      </c>
      <c r="N254" s="3" t="s">
        <v>179</v>
      </c>
      <c r="O254" s="5" t="s">
        <v>425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195</v>
      </c>
      <c r="V254" s="3" t="s">
        <v>195</v>
      </c>
      <c r="W254" s="3" t="s">
        <v>195</v>
      </c>
      <c r="X254" s="3" t="s">
        <v>195</v>
      </c>
      <c r="Y254" s="3" t="s">
        <v>66</v>
      </c>
      <c r="Z254" s="3" t="s">
        <v>66</v>
      </c>
      <c r="AA254" s="3" t="s">
        <v>181</v>
      </c>
      <c r="AB254" s="3" t="s">
        <v>422</v>
      </c>
      <c r="AC254" s="2">
        <v>0</v>
      </c>
      <c r="AD254" s="3" t="s">
        <v>191</v>
      </c>
      <c r="AE254" s="3" t="s">
        <v>71</v>
      </c>
      <c r="AF254" s="3" t="s">
        <v>172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175</v>
      </c>
      <c r="AL254" s="3" t="s">
        <v>66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3" t="s">
        <v>410</v>
      </c>
      <c r="BC254" s="3" t="s">
        <v>423</v>
      </c>
      <c r="BD254" s="2">
        <v>731504.99999999895</v>
      </c>
      <c r="BE254" s="2">
        <v>3762070</v>
      </c>
      <c r="BF254" s="4"/>
      <c r="BG254" s="4"/>
      <c r="BH254" s="4"/>
      <c r="BI254" s="2">
        <v>0</v>
      </c>
      <c r="BJ254" s="2">
        <v>0</v>
      </c>
    </row>
    <row r="255" spans="1:62" hidden="1" x14ac:dyDescent="0.35">
      <c r="A255" s="2">
        <v>103623</v>
      </c>
      <c r="B255" s="2">
        <v>253</v>
      </c>
      <c r="C255" s="3" t="s">
        <v>57</v>
      </c>
      <c r="D255" s="3" t="s">
        <v>426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17240920198</v>
      </c>
      <c r="L255" s="7">
        <f t="shared" si="7"/>
        <v>17240920202</v>
      </c>
      <c r="M255" s="7">
        <f t="shared" si="8"/>
        <v>17240920203</v>
      </c>
      <c r="N255" s="3" t="s">
        <v>64</v>
      </c>
      <c r="O255" s="5" t="s">
        <v>416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126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3" t="s">
        <v>66</v>
      </c>
      <c r="BC255" s="3" t="s">
        <v>66</v>
      </c>
      <c r="BD255" s="2">
        <v>731467.00000000105</v>
      </c>
      <c r="BE255" s="2">
        <v>3762012</v>
      </c>
      <c r="BF255" s="4"/>
      <c r="BG255" s="4"/>
      <c r="BH255" s="4"/>
      <c r="BI255" s="2">
        <v>0</v>
      </c>
      <c r="BJ255" s="2">
        <v>0</v>
      </c>
    </row>
    <row r="256" spans="1:62" hidden="1" x14ac:dyDescent="0.35">
      <c r="A256" s="2">
        <v>103624</v>
      </c>
      <c r="B256" s="2">
        <v>254</v>
      </c>
      <c r="C256" s="3" t="s">
        <v>57</v>
      </c>
      <c r="D256" s="3" t="s">
        <v>426</v>
      </c>
      <c r="E256" s="4"/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69</v>
      </c>
      <c r="K256" s="2">
        <v>17240920203</v>
      </c>
      <c r="L256" s="7">
        <f t="shared" si="7"/>
        <v>17240920203</v>
      </c>
      <c r="M256" s="7">
        <f t="shared" si="8"/>
        <v>17240920203</v>
      </c>
      <c r="N256" s="3" t="s">
        <v>64</v>
      </c>
      <c r="O256" s="5" t="s">
        <v>427</v>
      </c>
      <c r="P256" s="3" t="s">
        <v>71</v>
      </c>
      <c r="Q256" s="3" t="s">
        <v>72</v>
      </c>
      <c r="R256" s="2">
        <v>1</v>
      </c>
      <c r="S256" s="3" t="s">
        <v>314</v>
      </c>
      <c r="T256" s="3" t="s">
        <v>84</v>
      </c>
      <c r="U256" s="3" t="s">
        <v>269</v>
      </c>
      <c r="V256" s="3" t="s">
        <v>269</v>
      </c>
      <c r="W256" s="3" t="s">
        <v>269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3" t="s">
        <v>66</v>
      </c>
      <c r="BC256" s="3" t="s">
        <v>66</v>
      </c>
      <c r="BD256" s="2">
        <v>731532</v>
      </c>
      <c r="BE256" s="2">
        <v>3761966</v>
      </c>
      <c r="BF256" s="4"/>
      <c r="BG256" s="4"/>
      <c r="BH256" s="4"/>
      <c r="BI256" s="2">
        <v>0</v>
      </c>
      <c r="BJ256" s="2">
        <v>0</v>
      </c>
    </row>
    <row r="257" spans="1:62" hidden="1" x14ac:dyDescent="0.35">
      <c r="A257" s="2">
        <v>103625</v>
      </c>
      <c r="B257" s="2">
        <v>255</v>
      </c>
      <c r="C257" s="3" t="s">
        <v>57</v>
      </c>
      <c r="D257" s="3" t="s">
        <v>428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63</v>
      </c>
      <c r="K257" s="2">
        <v>17240920203</v>
      </c>
      <c r="L257" s="7">
        <f t="shared" si="7"/>
        <v>17240920203</v>
      </c>
      <c r="M257" s="7">
        <f t="shared" si="8"/>
        <v>17240920204</v>
      </c>
      <c r="N257" s="3" t="s">
        <v>64</v>
      </c>
      <c r="O257" s="5" t="s">
        <v>427</v>
      </c>
      <c r="P257" s="3" t="s">
        <v>66</v>
      </c>
      <c r="Q257" s="3" t="s">
        <v>72</v>
      </c>
      <c r="R257" s="2">
        <v>1</v>
      </c>
      <c r="S257" s="3" t="s">
        <v>314</v>
      </c>
      <c r="T257" s="3" t="s">
        <v>84</v>
      </c>
      <c r="U257" s="3" t="s">
        <v>66</v>
      </c>
      <c r="V257" s="3" t="s">
        <v>66</v>
      </c>
      <c r="W257" s="3" t="s">
        <v>66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66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3" t="s">
        <v>66</v>
      </c>
      <c r="BC257" s="3" t="s">
        <v>66</v>
      </c>
      <c r="BD257" s="2">
        <v>731532</v>
      </c>
      <c r="BE257" s="2">
        <v>3761966</v>
      </c>
      <c r="BF257" s="4"/>
      <c r="BG257" s="4"/>
      <c r="BH257" s="4"/>
      <c r="BI257" s="2">
        <v>0</v>
      </c>
      <c r="BJ257" s="2">
        <v>0</v>
      </c>
    </row>
    <row r="258" spans="1:62" hidden="1" x14ac:dyDescent="0.35">
      <c r="A258" s="2">
        <v>103626</v>
      </c>
      <c r="B258" s="2">
        <v>256</v>
      </c>
      <c r="C258" s="3" t="s">
        <v>57</v>
      </c>
      <c r="D258" s="3" t="s">
        <v>428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69</v>
      </c>
      <c r="K258" s="2">
        <v>17240920204</v>
      </c>
      <c r="L258" s="7">
        <f t="shared" si="7"/>
        <v>17240920204</v>
      </c>
      <c r="M258" s="7">
        <f t="shared" si="8"/>
        <v>17240920204</v>
      </c>
      <c r="N258" s="3" t="s">
        <v>64</v>
      </c>
      <c r="O258" s="5" t="s">
        <v>429</v>
      </c>
      <c r="P258" s="3" t="s">
        <v>71</v>
      </c>
      <c r="Q258" s="3" t="s">
        <v>72</v>
      </c>
      <c r="R258" s="2">
        <v>1</v>
      </c>
      <c r="S258" s="3" t="s">
        <v>314</v>
      </c>
      <c r="T258" s="3" t="s">
        <v>84</v>
      </c>
      <c r="U258" s="3" t="s">
        <v>165</v>
      </c>
      <c r="V258" s="3" t="s">
        <v>165</v>
      </c>
      <c r="W258" s="3" t="s">
        <v>165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3" t="s">
        <v>66</v>
      </c>
      <c r="BC258" s="3" t="s">
        <v>66</v>
      </c>
      <c r="BD258" s="2">
        <v>731523.00000000198</v>
      </c>
      <c r="BE258" s="2">
        <v>3761956</v>
      </c>
      <c r="BF258" s="4"/>
      <c r="BG258" s="4"/>
      <c r="BH258" s="4"/>
      <c r="BI258" s="2">
        <v>0</v>
      </c>
      <c r="BJ258" s="2">
        <v>0</v>
      </c>
    </row>
    <row r="259" spans="1:62" hidden="1" x14ac:dyDescent="0.35">
      <c r="A259" s="2">
        <v>103627</v>
      </c>
      <c r="B259" s="2">
        <v>257</v>
      </c>
      <c r="C259" s="3" t="s">
        <v>57</v>
      </c>
      <c r="D259" s="3" t="s">
        <v>430</v>
      </c>
      <c r="E259" s="4"/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63</v>
      </c>
      <c r="K259" s="2">
        <v>17240920204</v>
      </c>
      <c r="L259" s="7">
        <f t="shared" si="7"/>
        <v>17240920204</v>
      </c>
      <c r="M259" s="7">
        <f t="shared" si="8"/>
        <v>17240920205</v>
      </c>
      <c r="N259" s="3" t="s">
        <v>64</v>
      </c>
      <c r="O259" s="5" t="s">
        <v>429</v>
      </c>
      <c r="P259" s="3" t="s">
        <v>66</v>
      </c>
      <c r="Q259" s="3" t="s">
        <v>72</v>
      </c>
      <c r="R259" s="2">
        <v>1</v>
      </c>
      <c r="S259" s="3" t="s">
        <v>314</v>
      </c>
      <c r="T259" s="3" t="s">
        <v>84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3" t="s">
        <v>66</v>
      </c>
      <c r="BC259" s="3" t="s">
        <v>66</v>
      </c>
      <c r="BD259" s="2">
        <v>731523.00000000198</v>
      </c>
      <c r="BE259" s="2">
        <v>3761956</v>
      </c>
      <c r="BF259" s="4"/>
      <c r="BG259" s="4"/>
      <c r="BH259" s="4"/>
      <c r="BI259" s="2">
        <v>0</v>
      </c>
      <c r="BJ259" s="2">
        <v>0</v>
      </c>
    </row>
    <row r="260" spans="1:62" ht="58" hidden="1" x14ac:dyDescent="0.35">
      <c r="A260" s="2">
        <v>103628</v>
      </c>
      <c r="B260" s="2">
        <v>258</v>
      </c>
      <c r="C260" s="3" t="s">
        <v>57</v>
      </c>
      <c r="D260" s="3" t="s">
        <v>430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17240920205</v>
      </c>
      <c r="L260" s="7">
        <f t="shared" ref="L260:L323" si="9">IF(J260="E",K260,L259)</f>
        <v>17240920205</v>
      </c>
      <c r="M260" s="7">
        <f t="shared" si="8"/>
        <v>17240920205</v>
      </c>
      <c r="N260" s="3" t="s">
        <v>64</v>
      </c>
      <c r="O260" s="5" t="s">
        <v>431</v>
      </c>
      <c r="P260" s="3" t="s">
        <v>71</v>
      </c>
      <c r="Q260" s="3" t="s">
        <v>72</v>
      </c>
      <c r="R260" s="2">
        <v>0</v>
      </c>
      <c r="S260" s="3" t="s">
        <v>66</v>
      </c>
      <c r="T260" s="3" t="s">
        <v>168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169</v>
      </c>
      <c r="AB260" s="3" t="s">
        <v>432</v>
      </c>
      <c r="AC260" s="2">
        <v>0</v>
      </c>
      <c r="AD260" s="3" t="s">
        <v>191</v>
      </c>
      <c r="AE260" s="3" t="s">
        <v>71</v>
      </c>
      <c r="AF260" s="3" t="s">
        <v>172</v>
      </c>
      <c r="AG260" s="3" t="s">
        <v>173</v>
      </c>
      <c r="AH260" s="3" t="s">
        <v>398</v>
      </c>
      <c r="AI260" s="3" t="s">
        <v>66</v>
      </c>
      <c r="AJ260" s="3" t="s">
        <v>66</v>
      </c>
      <c r="AK260" s="3" t="s">
        <v>205</v>
      </c>
      <c r="AL260" s="3" t="s">
        <v>66</v>
      </c>
      <c r="AM260" s="3" t="s">
        <v>66</v>
      </c>
      <c r="AN260" s="3" t="s">
        <v>66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3" t="s">
        <v>410</v>
      </c>
      <c r="BC260" s="3" t="s">
        <v>433</v>
      </c>
      <c r="BD260" s="2">
        <v>731524.00000000105</v>
      </c>
      <c r="BE260" s="2">
        <v>3761956</v>
      </c>
      <c r="BF260" s="4"/>
      <c r="BG260" s="4"/>
      <c r="BH260" s="4"/>
      <c r="BI260" s="2">
        <v>0</v>
      </c>
      <c r="BJ260" s="2">
        <v>0</v>
      </c>
    </row>
    <row r="261" spans="1:62" ht="58" hidden="1" x14ac:dyDescent="0.35">
      <c r="A261" s="2">
        <v>103629</v>
      </c>
      <c r="B261" s="2">
        <v>259</v>
      </c>
      <c r="C261" s="3" t="s">
        <v>57</v>
      </c>
      <c r="D261" s="3" t="s">
        <v>434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17240920205</v>
      </c>
      <c r="L261" s="7">
        <f t="shared" si="9"/>
        <v>17240920205</v>
      </c>
      <c r="M261" s="7">
        <f t="shared" si="8"/>
        <v>17240920206</v>
      </c>
      <c r="N261" s="3" t="s">
        <v>179</v>
      </c>
      <c r="O261" s="5" t="s">
        <v>431</v>
      </c>
      <c r="P261" s="3" t="s">
        <v>66</v>
      </c>
      <c r="Q261" s="3" t="s">
        <v>180</v>
      </c>
      <c r="R261" s="2">
        <v>0</v>
      </c>
      <c r="S261" s="3" t="s">
        <v>66</v>
      </c>
      <c r="T261" s="3" t="s">
        <v>168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181</v>
      </c>
      <c r="AB261" s="3" t="s">
        <v>432</v>
      </c>
      <c r="AC261" s="2">
        <v>0</v>
      </c>
      <c r="AD261" s="3" t="s">
        <v>191</v>
      </c>
      <c r="AE261" s="3" t="s">
        <v>71</v>
      </c>
      <c r="AF261" s="3" t="s">
        <v>172</v>
      </c>
      <c r="AG261" s="3" t="s">
        <v>173</v>
      </c>
      <c r="AH261" s="3" t="s">
        <v>398</v>
      </c>
      <c r="AI261" s="3" t="s">
        <v>66</v>
      </c>
      <c r="AJ261" s="3" t="s">
        <v>66</v>
      </c>
      <c r="AK261" s="3" t="s">
        <v>205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3" t="s">
        <v>410</v>
      </c>
      <c r="BC261" s="3" t="s">
        <v>433</v>
      </c>
      <c r="BD261" s="2">
        <v>731524.00000000105</v>
      </c>
      <c r="BE261" s="2">
        <v>3761956</v>
      </c>
      <c r="BF261" s="4"/>
      <c r="BG261" s="4"/>
      <c r="BH261" s="4"/>
      <c r="BI261" s="2">
        <v>0</v>
      </c>
      <c r="BJ261" s="2">
        <v>0</v>
      </c>
    </row>
    <row r="262" spans="1:62" ht="58" hidden="1" x14ac:dyDescent="0.35">
      <c r="A262" s="2">
        <v>103630</v>
      </c>
      <c r="B262" s="2">
        <v>260</v>
      </c>
      <c r="C262" s="3" t="s">
        <v>57</v>
      </c>
      <c r="D262" s="3" t="s">
        <v>434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17240920206</v>
      </c>
      <c r="L262" s="7">
        <f t="shared" si="9"/>
        <v>17240920206</v>
      </c>
      <c r="M262" s="7">
        <f t="shared" si="8"/>
        <v>17240920206</v>
      </c>
      <c r="N262" s="3" t="s">
        <v>179</v>
      </c>
      <c r="O262" s="5" t="s">
        <v>435</v>
      </c>
      <c r="P262" s="3" t="s">
        <v>183</v>
      </c>
      <c r="Q262" s="3" t="s">
        <v>180</v>
      </c>
      <c r="R262" s="2">
        <v>0</v>
      </c>
      <c r="S262" s="3" t="s">
        <v>66</v>
      </c>
      <c r="T262" s="3" t="s">
        <v>168</v>
      </c>
      <c r="U262" s="3" t="s">
        <v>195</v>
      </c>
      <c r="V262" s="3" t="s">
        <v>195</v>
      </c>
      <c r="W262" s="3" t="s">
        <v>195</v>
      </c>
      <c r="X262" s="3" t="s">
        <v>195</v>
      </c>
      <c r="Y262" s="3" t="s">
        <v>66</v>
      </c>
      <c r="Z262" s="3" t="s">
        <v>66</v>
      </c>
      <c r="AA262" s="3" t="s">
        <v>181</v>
      </c>
      <c r="AB262" s="3" t="s">
        <v>432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398</v>
      </c>
      <c r="AI262" s="3" t="s">
        <v>66</v>
      </c>
      <c r="AJ262" s="3" t="s">
        <v>66</v>
      </c>
      <c r="AK262" s="3" t="s">
        <v>205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3" t="s">
        <v>410</v>
      </c>
      <c r="BC262" s="3" t="s">
        <v>433</v>
      </c>
      <c r="BD262" s="2">
        <v>731524.00000000105</v>
      </c>
      <c r="BE262" s="2">
        <v>3761958</v>
      </c>
      <c r="BF262" s="4"/>
      <c r="BG262" s="4"/>
      <c r="BH262" s="4"/>
      <c r="BI262" s="2">
        <v>0</v>
      </c>
      <c r="BJ262" s="2">
        <v>0</v>
      </c>
    </row>
    <row r="263" spans="1:62" hidden="1" x14ac:dyDescent="0.35">
      <c r="A263" s="2">
        <v>103631</v>
      </c>
      <c r="B263" s="2">
        <v>261</v>
      </c>
      <c r="C263" s="3" t="s">
        <v>57</v>
      </c>
      <c r="D263" s="3" t="s">
        <v>436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17240920203</v>
      </c>
      <c r="L263" s="7">
        <f t="shared" si="9"/>
        <v>17240920206</v>
      </c>
      <c r="M263" s="7">
        <f t="shared" si="8"/>
        <v>17240920208</v>
      </c>
      <c r="N263" s="3" t="s">
        <v>64</v>
      </c>
      <c r="O263" s="5" t="s">
        <v>427</v>
      </c>
      <c r="P263" s="3" t="s">
        <v>66</v>
      </c>
      <c r="Q263" s="3" t="s">
        <v>72</v>
      </c>
      <c r="R263" s="2">
        <v>1</v>
      </c>
      <c r="S263" s="3" t="s">
        <v>314</v>
      </c>
      <c r="T263" s="3" t="s">
        <v>84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76</v>
      </c>
      <c r="AB263" s="3" t="s">
        <v>66</v>
      </c>
      <c r="AC263" s="2">
        <v>0</v>
      </c>
      <c r="AD263" s="3" t="s">
        <v>68</v>
      </c>
      <c r="AE263" s="3" t="s">
        <v>66</v>
      </c>
      <c r="AF263" s="3" t="s">
        <v>66</v>
      </c>
      <c r="AG263" s="3" t="s">
        <v>66</v>
      </c>
      <c r="AH263" s="3" t="s">
        <v>66</v>
      </c>
      <c r="AI263" s="3" t="s">
        <v>66</v>
      </c>
      <c r="AJ263" s="3" t="s">
        <v>66</v>
      </c>
      <c r="AK263" s="3" t="s">
        <v>66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3" t="s">
        <v>66</v>
      </c>
      <c r="BC263" s="3" t="s">
        <v>66</v>
      </c>
      <c r="BD263" s="2">
        <v>731532</v>
      </c>
      <c r="BE263" s="2">
        <v>3761966</v>
      </c>
      <c r="BF263" s="4"/>
      <c r="BG263" s="4"/>
      <c r="BH263" s="4"/>
      <c r="BI263" s="2">
        <v>0</v>
      </c>
      <c r="BJ263" s="2">
        <v>0</v>
      </c>
    </row>
    <row r="264" spans="1:62" hidden="1" x14ac:dyDescent="0.35">
      <c r="A264" s="2">
        <v>103632</v>
      </c>
      <c r="B264" s="2">
        <v>262</v>
      </c>
      <c r="C264" s="3" t="s">
        <v>57</v>
      </c>
      <c r="D264" s="3" t="s">
        <v>436</v>
      </c>
      <c r="E264" s="2">
        <v>0</v>
      </c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66</v>
      </c>
      <c r="K264" s="2">
        <v>17240920207</v>
      </c>
      <c r="L264" s="7">
        <f t="shared" si="9"/>
        <v>17240920206</v>
      </c>
      <c r="M264" s="7">
        <f t="shared" si="8"/>
        <v>17240920208</v>
      </c>
      <c r="N264" s="3" t="s">
        <v>64</v>
      </c>
      <c r="O264" s="5" t="s">
        <v>437</v>
      </c>
      <c r="P264" s="3" t="s">
        <v>66</v>
      </c>
      <c r="Q264" s="3" t="s">
        <v>72</v>
      </c>
      <c r="R264" s="2">
        <v>1</v>
      </c>
      <c r="S264" s="3" t="s">
        <v>73</v>
      </c>
      <c r="T264" s="3" t="s">
        <v>74</v>
      </c>
      <c r="U264" s="3" t="s">
        <v>66</v>
      </c>
      <c r="V264" s="3" t="s">
        <v>66</v>
      </c>
      <c r="W264" s="3" t="s">
        <v>66</v>
      </c>
      <c r="X264" s="3" t="s">
        <v>66</v>
      </c>
      <c r="Y264" s="3" t="s">
        <v>66</v>
      </c>
      <c r="Z264" s="3" t="s">
        <v>66</v>
      </c>
      <c r="AA264" s="3" t="s">
        <v>76</v>
      </c>
      <c r="AB264" s="3" t="s">
        <v>66</v>
      </c>
      <c r="AC264" s="2">
        <v>0</v>
      </c>
      <c r="AD264" s="3" t="s">
        <v>68</v>
      </c>
      <c r="AE264" s="3" t="s">
        <v>66</v>
      </c>
      <c r="AF264" s="3" t="s">
        <v>66</v>
      </c>
      <c r="AG264" s="3" t="s">
        <v>66</v>
      </c>
      <c r="AH264" s="3" t="s">
        <v>66</v>
      </c>
      <c r="AI264" s="3" t="s">
        <v>66</v>
      </c>
      <c r="AJ264" s="3" t="s">
        <v>66</v>
      </c>
      <c r="AK264" s="3" t="s">
        <v>66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3" t="s">
        <v>66</v>
      </c>
      <c r="BC264" s="3" t="s">
        <v>66</v>
      </c>
      <c r="BD264" s="2">
        <v>731537.00000000105</v>
      </c>
      <c r="BE264" s="2">
        <v>3761963</v>
      </c>
      <c r="BF264" s="4"/>
      <c r="BG264" s="4"/>
      <c r="BH264" s="4"/>
      <c r="BI264" s="2">
        <v>0</v>
      </c>
      <c r="BJ264" s="2">
        <v>0</v>
      </c>
    </row>
    <row r="265" spans="1:62" hidden="1" x14ac:dyDescent="0.35">
      <c r="A265" s="2">
        <v>103633</v>
      </c>
      <c r="B265" s="2">
        <v>263</v>
      </c>
      <c r="C265" s="3" t="s">
        <v>57</v>
      </c>
      <c r="D265" s="3" t="s">
        <v>436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69</v>
      </c>
      <c r="K265" s="2">
        <v>17240920208</v>
      </c>
      <c r="L265" s="7">
        <f t="shared" si="9"/>
        <v>17240920208</v>
      </c>
      <c r="M265" s="7">
        <f t="shared" si="8"/>
        <v>17240920208</v>
      </c>
      <c r="N265" s="3" t="s">
        <v>64</v>
      </c>
      <c r="O265" s="5" t="s">
        <v>438</v>
      </c>
      <c r="P265" s="3" t="s">
        <v>71</v>
      </c>
      <c r="Q265" s="3" t="s">
        <v>72</v>
      </c>
      <c r="R265" s="2">
        <v>1</v>
      </c>
      <c r="S265" s="3" t="s">
        <v>73</v>
      </c>
      <c r="T265" s="3" t="s">
        <v>84</v>
      </c>
      <c r="U265" s="3" t="s">
        <v>269</v>
      </c>
      <c r="V265" s="3" t="s">
        <v>269</v>
      </c>
      <c r="W265" s="3" t="s">
        <v>269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77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3" t="s">
        <v>66</v>
      </c>
      <c r="BC265" s="3" t="s">
        <v>66</v>
      </c>
      <c r="BD265" s="2">
        <v>731580.00000000105</v>
      </c>
      <c r="BE265" s="2">
        <v>3761927</v>
      </c>
      <c r="BF265" s="4"/>
      <c r="BG265" s="4"/>
      <c r="BH265" s="4"/>
      <c r="BI265" s="2">
        <v>0</v>
      </c>
      <c r="BJ265" s="2">
        <v>0</v>
      </c>
    </row>
    <row r="266" spans="1:62" hidden="1" x14ac:dyDescent="0.35">
      <c r="A266" s="2">
        <v>103634</v>
      </c>
      <c r="B266" s="2">
        <v>264</v>
      </c>
      <c r="C266" s="3" t="s">
        <v>57</v>
      </c>
      <c r="D266" s="3" t="s">
        <v>439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63</v>
      </c>
      <c r="K266" s="2">
        <v>17240920208</v>
      </c>
      <c r="L266" s="7">
        <f t="shared" si="9"/>
        <v>17240920208</v>
      </c>
      <c r="M266" s="7">
        <f t="shared" si="8"/>
        <v>17240920209</v>
      </c>
      <c r="N266" s="3" t="s">
        <v>64</v>
      </c>
      <c r="O266" s="5" t="s">
        <v>438</v>
      </c>
      <c r="P266" s="3" t="s">
        <v>66</v>
      </c>
      <c r="Q266" s="3" t="s">
        <v>72</v>
      </c>
      <c r="R266" s="2">
        <v>1</v>
      </c>
      <c r="S266" s="3" t="s">
        <v>73</v>
      </c>
      <c r="T266" s="3" t="s">
        <v>84</v>
      </c>
      <c r="U266" s="3" t="s">
        <v>66</v>
      </c>
      <c r="V266" s="3" t="s">
        <v>66</v>
      </c>
      <c r="W266" s="3" t="s">
        <v>66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3" t="s">
        <v>66</v>
      </c>
      <c r="BC266" s="3" t="s">
        <v>66</v>
      </c>
      <c r="BD266" s="2">
        <v>731580.00000000105</v>
      </c>
      <c r="BE266" s="2">
        <v>3761927</v>
      </c>
      <c r="BF266" s="4"/>
      <c r="BG266" s="4"/>
      <c r="BH266" s="4"/>
      <c r="BI266" s="2">
        <v>0</v>
      </c>
      <c r="BJ266" s="2">
        <v>0</v>
      </c>
    </row>
    <row r="267" spans="1:62" hidden="1" x14ac:dyDescent="0.35">
      <c r="A267" s="2">
        <v>103635</v>
      </c>
      <c r="B267" s="2">
        <v>265</v>
      </c>
      <c r="C267" s="3" t="s">
        <v>57</v>
      </c>
      <c r="D267" s="3" t="s">
        <v>439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69</v>
      </c>
      <c r="K267" s="2">
        <v>17240920209</v>
      </c>
      <c r="L267" s="7">
        <f t="shared" si="9"/>
        <v>17240920209</v>
      </c>
      <c r="M267" s="7">
        <f t="shared" si="8"/>
        <v>17240920209</v>
      </c>
      <c r="N267" s="3" t="s">
        <v>64</v>
      </c>
      <c r="O267" s="5" t="s">
        <v>440</v>
      </c>
      <c r="P267" s="3" t="s">
        <v>71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187</v>
      </c>
      <c r="V267" s="3" t="s">
        <v>187</v>
      </c>
      <c r="W267" s="3" t="s">
        <v>187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3" t="s">
        <v>66</v>
      </c>
      <c r="BC267" s="3" t="s">
        <v>66</v>
      </c>
      <c r="BD267" s="2">
        <v>731603.00000000105</v>
      </c>
      <c r="BE267" s="2">
        <v>3761964</v>
      </c>
      <c r="BF267" s="4"/>
      <c r="BG267" s="4"/>
      <c r="BH267" s="4"/>
      <c r="BI267" s="2">
        <v>0</v>
      </c>
      <c r="BJ267" s="2">
        <v>0</v>
      </c>
    </row>
    <row r="268" spans="1:62" hidden="1" x14ac:dyDescent="0.35">
      <c r="A268" s="2">
        <v>103636</v>
      </c>
      <c r="B268" s="2">
        <v>266</v>
      </c>
      <c r="C268" s="3" t="s">
        <v>57</v>
      </c>
      <c r="D268" s="3" t="s">
        <v>441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63</v>
      </c>
      <c r="K268" s="2">
        <v>17240920209</v>
      </c>
      <c r="L268" s="7">
        <f t="shared" si="9"/>
        <v>17240920209</v>
      </c>
      <c r="M268" s="7">
        <f t="shared" si="8"/>
        <v>17240920210</v>
      </c>
      <c r="N268" s="3" t="s">
        <v>64</v>
      </c>
      <c r="O268" s="5" t="s">
        <v>440</v>
      </c>
      <c r="P268" s="3" t="s">
        <v>66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66</v>
      </c>
      <c r="V268" s="3" t="s">
        <v>66</v>
      </c>
      <c r="W268" s="3" t="s">
        <v>66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3" t="s">
        <v>66</v>
      </c>
      <c r="BC268" s="3" t="s">
        <v>66</v>
      </c>
      <c r="BD268" s="2">
        <v>731603.00000000105</v>
      </c>
      <c r="BE268" s="2">
        <v>3761964</v>
      </c>
      <c r="BF268" s="4"/>
      <c r="BG268" s="4"/>
      <c r="BH268" s="4"/>
      <c r="BI268" s="2">
        <v>0</v>
      </c>
      <c r="BJ268" s="2">
        <v>0</v>
      </c>
    </row>
    <row r="269" spans="1:62" ht="58" hidden="1" x14ac:dyDescent="0.35">
      <c r="A269" s="2">
        <v>103637</v>
      </c>
      <c r="B269" s="2">
        <v>267</v>
      </c>
      <c r="C269" s="3" t="s">
        <v>57</v>
      </c>
      <c r="D269" s="3" t="s">
        <v>441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69</v>
      </c>
      <c r="K269" s="2">
        <v>17240920210</v>
      </c>
      <c r="L269" s="7">
        <f t="shared" si="9"/>
        <v>17240920210</v>
      </c>
      <c r="M269" s="7">
        <f t="shared" si="8"/>
        <v>17240920210</v>
      </c>
      <c r="N269" s="3" t="s">
        <v>64</v>
      </c>
      <c r="O269" s="5" t="s">
        <v>442</v>
      </c>
      <c r="P269" s="3" t="s">
        <v>71</v>
      </c>
      <c r="Q269" s="3" t="s">
        <v>72</v>
      </c>
      <c r="R269" s="2">
        <v>0</v>
      </c>
      <c r="S269" s="3" t="s">
        <v>66</v>
      </c>
      <c r="T269" s="3" t="s">
        <v>168</v>
      </c>
      <c r="U269" s="3" t="s">
        <v>187</v>
      </c>
      <c r="V269" s="3" t="s">
        <v>187</v>
      </c>
      <c r="W269" s="3" t="s">
        <v>187</v>
      </c>
      <c r="X269" s="3" t="s">
        <v>66</v>
      </c>
      <c r="Y269" s="3" t="s">
        <v>66</v>
      </c>
      <c r="Z269" s="3" t="s">
        <v>66</v>
      </c>
      <c r="AA269" s="3" t="s">
        <v>169</v>
      </c>
      <c r="AB269" s="3" t="s">
        <v>443</v>
      </c>
      <c r="AC269" s="2">
        <v>0</v>
      </c>
      <c r="AD269" s="3" t="s">
        <v>191</v>
      </c>
      <c r="AE269" s="3" t="s">
        <v>71</v>
      </c>
      <c r="AF269" s="3" t="s">
        <v>172</v>
      </c>
      <c r="AG269" s="3" t="s">
        <v>173</v>
      </c>
      <c r="AH269" s="3" t="s">
        <v>217</v>
      </c>
      <c r="AI269" s="3" t="s">
        <v>66</v>
      </c>
      <c r="AJ269" s="3" t="s">
        <v>66</v>
      </c>
      <c r="AK269" s="3" t="s">
        <v>205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3" t="s">
        <v>410</v>
      </c>
      <c r="BC269" s="3" t="s">
        <v>444</v>
      </c>
      <c r="BD269" s="2">
        <v>731603.00000000105</v>
      </c>
      <c r="BE269" s="2">
        <v>3761963</v>
      </c>
      <c r="BF269" s="4"/>
      <c r="BG269" s="4"/>
      <c r="BH269" s="4"/>
      <c r="BI269" s="2">
        <v>0</v>
      </c>
      <c r="BJ269" s="2">
        <v>0</v>
      </c>
    </row>
    <row r="270" spans="1:62" ht="58" hidden="1" x14ac:dyDescent="0.35">
      <c r="A270" s="2">
        <v>103638</v>
      </c>
      <c r="B270" s="2">
        <v>268</v>
      </c>
      <c r="C270" s="3" t="s">
        <v>57</v>
      </c>
      <c r="D270" s="3" t="s">
        <v>445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63</v>
      </c>
      <c r="K270" s="2">
        <v>17240920210</v>
      </c>
      <c r="L270" s="7">
        <f t="shared" si="9"/>
        <v>17240920210</v>
      </c>
      <c r="M270" s="7">
        <f t="shared" si="8"/>
        <v>17240920211</v>
      </c>
      <c r="N270" s="3" t="s">
        <v>179</v>
      </c>
      <c r="O270" s="5" t="s">
        <v>442</v>
      </c>
      <c r="P270" s="3" t="s">
        <v>66</v>
      </c>
      <c r="Q270" s="3" t="s">
        <v>180</v>
      </c>
      <c r="R270" s="2">
        <v>0</v>
      </c>
      <c r="S270" s="3" t="s">
        <v>66</v>
      </c>
      <c r="T270" s="3" t="s">
        <v>168</v>
      </c>
      <c r="U270" s="3" t="s">
        <v>66</v>
      </c>
      <c r="V270" s="3" t="s">
        <v>66</v>
      </c>
      <c r="W270" s="3" t="s">
        <v>66</v>
      </c>
      <c r="X270" s="3" t="s">
        <v>66</v>
      </c>
      <c r="Y270" s="3" t="s">
        <v>66</v>
      </c>
      <c r="Z270" s="3" t="s">
        <v>66</v>
      </c>
      <c r="AA270" s="3" t="s">
        <v>181</v>
      </c>
      <c r="AB270" s="3" t="s">
        <v>443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217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3" t="s">
        <v>410</v>
      </c>
      <c r="BC270" s="3" t="s">
        <v>444</v>
      </c>
      <c r="BD270" s="2">
        <v>731603.00000000105</v>
      </c>
      <c r="BE270" s="2">
        <v>3761963</v>
      </c>
      <c r="BF270" s="4"/>
      <c r="BG270" s="4"/>
      <c r="BH270" s="4"/>
      <c r="BI270" s="2">
        <v>0</v>
      </c>
      <c r="BJ270" s="2">
        <v>0</v>
      </c>
    </row>
    <row r="271" spans="1:62" ht="58" hidden="1" x14ac:dyDescent="0.35">
      <c r="A271" s="2">
        <v>103639</v>
      </c>
      <c r="B271" s="2">
        <v>269</v>
      </c>
      <c r="C271" s="3" t="s">
        <v>57</v>
      </c>
      <c r="D271" s="3" t="s">
        <v>445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69</v>
      </c>
      <c r="K271" s="2">
        <v>17240920211</v>
      </c>
      <c r="L271" s="7">
        <f t="shared" si="9"/>
        <v>17240920211</v>
      </c>
      <c r="M271" s="7">
        <f t="shared" si="8"/>
        <v>17240920211</v>
      </c>
      <c r="N271" s="3" t="s">
        <v>179</v>
      </c>
      <c r="O271" s="5" t="s">
        <v>446</v>
      </c>
      <c r="P271" s="3" t="s">
        <v>183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195</v>
      </c>
      <c r="V271" s="3" t="s">
        <v>195</v>
      </c>
      <c r="W271" s="3" t="s">
        <v>195</v>
      </c>
      <c r="X271" s="3" t="s">
        <v>195</v>
      </c>
      <c r="Y271" s="3" t="s">
        <v>66</v>
      </c>
      <c r="Z271" s="3" t="s">
        <v>66</v>
      </c>
      <c r="AA271" s="3" t="s">
        <v>181</v>
      </c>
      <c r="AB271" s="3" t="s">
        <v>443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217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3" t="s">
        <v>410</v>
      </c>
      <c r="BC271" s="3" t="s">
        <v>444</v>
      </c>
      <c r="BD271" s="2">
        <v>731602</v>
      </c>
      <c r="BE271" s="2">
        <v>3761964</v>
      </c>
      <c r="BF271" s="4"/>
      <c r="BG271" s="4"/>
      <c r="BH271" s="4"/>
      <c r="BI271" s="2">
        <v>0</v>
      </c>
      <c r="BJ271" s="2">
        <v>0</v>
      </c>
    </row>
    <row r="272" spans="1:62" hidden="1" x14ac:dyDescent="0.35">
      <c r="A272" s="2">
        <v>103640</v>
      </c>
      <c r="B272" s="2">
        <v>270</v>
      </c>
      <c r="C272" s="3" t="s">
        <v>57</v>
      </c>
      <c r="D272" s="3" t="s">
        <v>447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63</v>
      </c>
      <c r="K272" s="2">
        <v>17240920208</v>
      </c>
      <c r="L272" s="7">
        <f t="shared" si="9"/>
        <v>17240920211</v>
      </c>
      <c r="M272" s="7">
        <f t="shared" si="8"/>
        <v>17240920214</v>
      </c>
      <c r="N272" s="3" t="s">
        <v>64</v>
      </c>
      <c r="O272" s="5" t="s">
        <v>438</v>
      </c>
      <c r="P272" s="3" t="s">
        <v>66</v>
      </c>
      <c r="Q272" s="3" t="s">
        <v>72</v>
      </c>
      <c r="R272" s="2">
        <v>1</v>
      </c>
      <c r="S272" s="3" t="s">
        <v>314</v>
      </c>
      <c r="T272" s="3" t="s">
        <v>84</v>
      </c>
      <c r="U272" s="3" t="s">
        <v>66</v>
      </c>
      <c r="V272" s="3" t="s">
        <v>66</v>
      </c>
      <c r="W272" s="3" t="s">
        <v>66</v>
      </c>
      <c r="X272" s="3" t="s">
        <v>66</v>
      </c>
      <c r="Y272" s="3" t="s">
        <v>66</v>
      </c>
      <c r="Z272" s="3" t="s">
        <v>66</v>
      </c>
      <c r="AA272" s="3" t="s">
        <v>76</v>
      </c>
      <c r="AB272" s="3" t="s">
        <v>66</v>
      </c>
      <c r="AC272" s="2">
        <v>0</v>
      </c>
      <c r="AD272" s="3" t="s">
        <v>68</v>
      </c>
      <c r="AE272" s="3" t="s">
        <v>66</v>
      </c>
      <c r="AF272" s="3" t="s">
        <v>66</v>
      </c>
      <c r="AG272" s="3" t="s">
        <v>66</v>
      </c>
      <c r="AH272" s="3" t="s">
        <v>66</v>
      </c>
      <c r="AI272" s="3" t="s">
        <v>66</v>
      </c>
      <c r="AJ272" s="3" t="s">
        <v>66</v>
      </c>
      <c r="AK272" s="3" t="s">
        <v>66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3" t="s">
        <v>66</v>
      </c>
      <c r="BC272" s="3" t="s">
        <v>66</v>
      </c>
      <c r="BD272" s="2">
        <v>731580.00000000105</v>
      </c>
      <c r="BE272" s="2">
        <v>3761927</v>
      </c>
      <c r="BF272" s="4"/>
      <c r="BG272" s="4"/>
      <c r="BH272" s="4"/>
      <c r="BI272" s="2">
        <v>0</v>
      </c>
      <c r="BJ272" s="2">
        <v>0</v>
      </c>
    </row>
    <row r="273" spans="1:62" hidden="1" x14ac:dyDescent="0.35">
      <c r="A273" s="2">
        <v>103641</v>
      </c>
      <c r="B273" s="2">
        <v>271</v>
      </c>
      <c r="C273" s="3" t="s">
        <v>57</v>
      </c>
      <c r="D273" s="3" t="s">
        <v>447</v>
      </c>
      <c r="E273" s="2">
        <v>0</v>
      </c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66</v>
      </c>
      <c r="K273" s="2">
        <v>17240920212</v>
      </c>
      <c r="L273" s="7">
        <f t="shared" si="9"/>
        <v>17240920211</v>
      </c>
      <c r="M273" s="7">
        <f t="shared" si="8"/>
        <v>17240920214</v>
      </c>
      <c r="N273" s="3" t="s">
        <v>64</v>
      </c>
      <c r="O273" s="5" t="s">
        <v>448</v>
      </c>
      <c r="P273" s="3" t="s">
        <v>66</v>
      </c>
      <c r="Q273" s="3" t="s">
        <v>72</v>
      </c>
      <c r="R273" s="2">
        <v>1</v>
      </c>
      <c r="S273" s="3" t="s">
        <v>73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3" t="s">
        <v>66</v>
      </c>
      <c r="BC273" s="3" t="s">
        <v>66</v>
      </c>
      <c r="BD273" s="2">
        <v>731635</v>
      </c>
      <c r="BE273" s="2">
        <v>3761890</v>
      </c>
      <c r="BF273" s="4"/>
      <c r="BG273" s="4"/>
      <c r="BH273" s="4"/>
      <c r="BI273" s="2">
        <v>0</v>
      </c>
      <c r="BJ273" s="2">
        <v>0</v>
      </c>
    </row>
    <row r="274" spans="1:62" hidden="1" x14ac:dyDescent="0.35">
      <c r="A274" s="2">
        <v>103642</v>
      </c>
      <c r="B274" s="2">
        <v>272</v>
      </c>
      <c r="C274" s="3" t="s">
        <v>57</v>
      </c>
      <c r="D274" s="3" t="s">
        <v>447</v>
      </c>
      <c r="E274" s="2">
        <v>1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17240920213</v>
      </c>
      <c r="L274" s="7">
        <f t="shared" si="9"/>
        <v>17240920211</v>
      </c>
      <c r="M274" s="7">
        <f t="shared" si="8"/>
        <v>17240920214</v>
      </c>
      <c r="N274" s="3" t="s">
        <v>64</v>
      </c>
      <c r="O274" s="5" t="s">
        <v>449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84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3" t="s">
        <v>66</v>
      </c>
      <c r="BC274" s="3" t="s">
        <v>66</v>
      </c>
      <c r="BD274" s="2">
        <v>731702.00000000198</v>
      </c>
      <c r="BE274" s="2">
        <v>3761834</v>
      </c>
      <c r="BF274" s="4"/>
      <c r="BG274" s="4"/>
      <c r="BH274" s="4"/>
      <c r="BI274" s="2">
        <v>0</v>
      </c>
      <c r="BJ274" s="2">
        <v>0</v>
      </c>
    </row>
    <row r="275" spans="1:62" hidden="1" x14ac:dyDescent="0.35">
      <c r="A275" s="2">
        <v>103643</v>
      </c>
      <c r="B275" s="2">
        <v>273</v>
      </c>
      <c r="C275" s="3" t="s">
        <v>57</v>
      </c>
      <c r="D275" s="3" t="s">
        <v>447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17240920214</v>
      </c>
      <c r="L275" s="7">
        <f t="shared" si="9"/>
        <v>17240920214</v>
      </c>
      <c r="M275" s="7">
        <f t="shared" ref="M275:M338" si="10">IF(J275="E",K275,M276)</f>
        <v>17240920214</v>
      </c>
      <c r="N275" s="3" t="s">
        <v>64</v>
      </c>
      <c r="O275" s="5" t="s">
        <v>450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87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3" t="s">
        <v>66</v>
      </c>
      <c r="BC275" s="3" t="s">
        <v>66</v>
      </c>
      <c r="BD275" s="2">
        <v>731745</v>
      </c>
      <c r="BE275" s="2">
        <v>3761799</v>
      </c>
      <c r="BF275" s="4"/>
      <c r="BG275" s="4"/>
      <c r="BH275" s="4"/>
      <c r="BI275" s="2">
        <v>0</v>
      </c>
      <c r="BJ275" s="2">
        <v>0</v>
      </c>
    </row>
    <row r="276" spans="1:62" hidden="1" x14ac:dyDescent="0.35">
      <c r="A276" s="2">
        <v>103644</v>
      </c>
      <c r="B276" s="2">
        <v>274</v>
      </c>
      <c r="C276" s="3" t="s">
        <v>57</v>
      </c>
      <c r="D276" s="3" t="s">
        <v>451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17240920214</v>
      </c>
      <c r="L276" s="7">
        <f t="shared" si="9"/>
        <v>17240920214</v>
      </c>
      <c r="M276" s="7">
        <f t="shared" si="10"/>
        <v>17240920215</v>
      </c>
      <c r="N276" s="3" t="s">
        <v>64</v>
      </c>
      <c r="O276" s="5" t="s">
        <v>450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3" t="s">
        <v>66</v>
      </c>
      <c r="BC276" s="3" t="s">
        <v>66</v>
      </c>
      <c r="BD276" s="2">
        <v>731745</v>
      </c>
      <c r="BE276" s="2">
        <v>3761799</v>
      </c>
      <c r="BF276" s="4"/>
      <c r="BG276" s="4"/>
      <c r="BH276" s="4"/>
      <c r="BI276" s="2">
        <v>0</v>
      </c>
      <c r="BJ276" s="2">
        <v>0</v>
      </c>
    </row>
    <row r="277" spans="1:62" ht="58" hidden="1" x14ac:dyDescent="0.35">
      <c r="A277" s="2">
        <v>103645</v>
      </c>
      <c r="B277" s="2">
        <v>275</v>
      </c>
      <c r="C277" s="3" t="s">
        <v>57</v>
      </c>
      <c r="D277" s="3" t="s">
        <v>451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17240920215</v>
      </c>
      <c r="L277" s="7">
        <f t="shared" si="9"/>
        <v>17240920215</v>
      </c>
      <c r="M277" s="7">
        <f t="shared" si="10"/>
        <v>17240920215</v>
      </c>
      <c r="N277" s="3" t="s">
        <v>64</v>
      </c>
      <c r="O277" s="5" t="s">
        <v>452</v>
      </c>
      <c r="P277" s="3" t="s">
        <v>71</v>
      </c>
      <c r="Q277" s="3" t="s">
        <v>72</v>
      </c>
      <c r="R277" s="2">
        <v>0</v>
      </c>
      <c r="S277" s="3" t="s">
        <v>66</v>
      </c>
      <c r="T277" s="3" t="s">
        <v>168</v>
      </c>
      <c r="U277" s="3" t="s">
        <v>165</v>
      </c>
      <c r="V277" s="3" t="s">
        <v>165</v>
      </c>
      <c r="W277" s="3" t="s">
        <v>165</v>
      </c>
      <c r="X277" s="3" t="s">
        <v>66</v>
      </c>
      <c r="Y277" s="3" t="s">
        <v>66</v>
      </c>
      <c r="Z277" s="3" t="s">
        <v>66</v>
      </c>
      <c r="AA277" s="3" t="s">
        <v>169</v>
      </c>
      <c r="AB277" s="3" t="s">
        <v>453</v>
      </c>
      <c r="AC277" s="2">
        <v>0</v>
      </c>
      <c r="AD277" s="3" t="s">
        <v>454</v>
      </c>
      <c r="AE277" s="3" t="s">
        <v>71</v>
      </c>
      <c r="AF277" s="3" t="s">
        <v>172</v>
      </c>
      <c r="AG277" s="3" t="s">
        <v>173</v>
      </c>
      <c r="AH277" s="3" t="s">
        <v>231</v>
      </c>
      <c r="AI277" s="3" t="s">
        <v>66</v>
      </c>
      <c r="AJ277" s="3" t="s">
        <v>66</v>
      </c>
      <c r="AK277" s="3" t="s">
        <v>318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3" t="s">
        <v>410</v>
      </c>
      <c r="BC277" s="3" t="s">
        <v>455</v>
      </c>
      <c r="BD277" s="2">
        <v>731744.00000000105</v>
      </c>
      <c r="BE277" s="2">
        <v>3761797</v>
      </c>
      <c r="BF277" s="4"/>
      <c r="BG277" s="4"/>
      <c r="BH277" s="4"/>
      <c r="BI277" s="2">
        <v>0</v>
      </c>
      <c r="BJ277" s="2">
        <v>0</v>
      </c>
    </row>
    <row r="278" spans="1:62" ht="58" hidden="1" x14ac:dyDescent="0.35">
      <c r="A278" s="2">
        <v>103646</v>
      </c>
      <c r="B278" s="2">
        <v>276</v>
      </c>
      <c r="C278" s="3" t="s">
        <v>57</v>
      </c>
      <c r="D278" s="3" t="s">
        <v>456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17240920215</v>
      </c>
      <c r="L278" s="7">
        <f t="shared" si="9"/>
        <v>17240920215</v>
      </c>
      <c r="M278" s="7">
        <f t="shared" si="10"/>
        <v>17240920216</v>
      </c>
      <c r="N278" s="3" t="s">
        <v>179</v>
      </c>
      <c r="O278" s="5" t="s">
        <v>452</v>
      </c>
      <c r="P278" s="3" t="s">
        <v>66</v>
      </c>
      <c r="Q278" s="3" t="s">
        <v>180</v>
      </c>
      <c r="R278" s="2">
        <v>0</v>
      </c>
      <c r="S278" s="3" t="s">
        <v>66</v>
      </c>
      <c r="T278" s="3" t="s">
        <v>168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181</v>
      </c>
      <c r="AB278" s="3" t="s">
        <v>453</v>
      </c>
      <c r="AC278" s="2">
        <v>0</v>
      </c>
      <c r="AD278" s="3" t="s">
        <v>454</v>
      </c>
      <c r="AE278" s="3" t="s">
        <v>71</v>
      </c>
      <c r="AF278" s="3" t="s">
        <v>172</v>
      </c>
      <c r="AG278" s="3" t="s">
        <v>173</v>
      </c>
      <c r="AH278" s="3" t="s">
        <v>231</v>
      </c>
      <c r="AI278" s="3" t="s">
        <v>66</v>
      </c>
      <c r="AJ278" s="3" t="s">
        <v>66</v>
      </c>
      <c r="AK278" s="3" t="s">
        <v>318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3" t="s">
        <v>410</v>
      </c>
      <c r="BC278" s="3" t="s">
        <v>455</v>
      </c>
      <c r="BD278" s="2">
        <v>731744.00000000105</v>
      </c>
      <c r="BE278" s="2">
        <v>3761797</v>
      </c>
      <c r="BF278" s="4"/>
      <c r="BG278" s="4"/>
      <c r="BH278" s="4"/>
      <c r="BI278" s="2">
        <v>0</v>
      </c>
      <c r="BJ278" s="2">
        <v>0</v>
      </c>
    </row>
    <row r="279" spans="1:62" ht="58" hidden="1" x14ac:dyDescent="0.35">
      <c r="A279" s="2">
        <v>103647</v>
      </c>
      <c r="B279" s="2">
        <v>277</v>
      </c>
      <c r="C279" s="3" t="s">
        <v>57</v>
      </c>
      <c r="D279" s="3" t="s">
        <v>456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17240920216</v>
      </c>
      <c r="L279" s="7">
        <f t="shared" si="9"/>
        <v>17240920216</v>
      </c>
      <c r="M279" s="7">
        <f t="shared" si="10"/>
        <v>17240920216</v>
      </c>
      <c r="N279" s="3" t="s">
        <v>179</v>
      </c>
      <c r="O279" s="5" t="s">
        <v>457</v>
      </c>
      <c r="P279" s="3" t="s">
        <v>183</v>
      </c>
      <c r="Q279" s="3" t="s">
        <v>180</v>
      </c>
      <c r="R279" s="2">
        <v>0</v>
      </c>
      <c r="S279" s="3" t="s">
        <v>66</v>
      </c>
      <c r="T279" s="3" t="s">
        <v>168</v>
      </c>
      <c r="U279" s="3" t="s">
        <v>392</v>
      </c>
      <c r="V279" s="3" t="s">
        <v>392</v>
      </c>
      <c r="W279" s="3" t="s">
        <v>392</v>
      </c>
      <c r="X279" s="3" t="s">
        <v>392</v>
      </c>
      <c r="Y279" s="3" t="s">
        <v>66</v>
      </c>
      <c r="Z279" s="3" t="s">
        <v>66</v>
      </c>
      <c r="AA279" s="3" t="s">
        <v>181</v>
      </c>
      <c r="AB279" s="3" t="s">
        <v>453</v>
      </c>
      <c r="AC279" s="2">
        <v>0</v>
      </c>
      <c r="AD279" s="3" t="s">
        <v>454</v>
      </c>
      <c r="AE279" s="3" t="s">
        <v>71</v>
      </c>
      <c r="AF279" s="3" t="s">
        <v>172</v>
      </c>
      <c r="AG279" s="3" t="s">
        <v>173</v>
      </c>
      <c r="AH279" s="3" t="s">
        <v>231</v>
      </c>
      <c r="AI279" s="3" t="s">
        <v>66</v>
      </c>
      <c r="AJ279" s="3" t="s">
        <v>66</v>
      </c>
      <c r="AK279" s="3" t="s">
        <v>318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3" t="s">
        <v>410</v>
      </c>
      <c r="BC279" s="3" t="s">
        <v>455</v>
      </c>
      <c r="BD279" s="2">
        <v>731746.00000000105</v>
      </c>
      <c r="BE279" s="2">
        <v>3761799</v>
      </c>
      <c r="BF279" s="4"/>
      <c r="BG279" s="4"/>
      <c r="BH279" s="4"/>
      <c r="BI279" s="2">
        <v>0</v>
      </c>
      <c r="BJ279" s="2">
        <v>0</v>
      </c>
    </row>
    <row r="280" spans="1:62" hidden="1" x14ac:dyDescent="0.35">
      <c r="A280" s="2">
        <v>103648</v>
      </c>
      <c r="B280" s="2">
        <v>278</v>
      </c>
      <c r="C280" s="3" t="s">
        <v>57</v>
      </c>
      <c r="D280" s="3" t="s">
        <v>458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17240920214</v>
      </c>
      <c r="L280" s="7">
        <f t="shared" si="9"/>
        <v>17240920216</v>
      </c>
      <c r="M280" s="7">
        <f t="shared" si="10"/>
        <v>17240920218</v>
      </c>
      <c r="N280" s="3" t="s">
        <v>64</v>
      </c>
      <c r="O280" s="5" t="s">
        <v>450</v>
      </c>
      <c r="P280" s="3" t="s">
        <v>66</v>
      </c>
      <c r="Q280" s="3" t="s">
        <v>72</v>
      </c>
      <c r="R280" s="2">
        <v>1</v>
      </c>
      <c r="S280" s="3" t="s">
        <v>73</v>
      </c>
      <c r="T280" s="3" t="s">
        <v>84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76</v>
      </c>
      <c r="AB280" s="3" t="s">
        <v>66</v>
      </c>
      <c r="AC280" s="2">
        <v>0</v>
      </c>
      <c r="AD280" s="3" t="s">
        <v>68</v>
      </c>
      <c r="AE280" s="3" t="s">
        <v>66</v>
      </c>
      <c r="AF280" s="3" t="s">
        <v>66</v>
      </c>
      <c r="AG280" s="3" t="s">
        <v>66</v>
      </c>
      <c r="AH280" s="3" t="s">
        <v>66</v>
      </c>
      <c r="AI280" s="3" t="s">
        <v>66</v>
      </c>
      <c r="AJ280" s="3" t="s">
        <v>66</v>
      </c>
      <c r="AK280" s="3" t="s">
        <v>66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3" t="s">
        <v>66</v>
      </c>
      <c r="BC280" s="3" t="s">
        <v>66</v>
      </c>
      <c r="BD280" s="2">
        <v>731745</v>
      </c>
      <c r="BE280" s="2">
        <v>3761799</v>
      </c>
      <c r="BF280" s="4"/>
      <c r="BG280" s="4"/>
      <c r="BH280" s="4"/>
      <c r="BI280" s="2">
        <v>0</v>
      </c>
      <c r="BJ280" s="2">
        <v>0</v>
      </c>
    </row>
    <row r="281" spans="1:62" hidden="1" x14ac:dyDescent="0.35">
      <c r="A281" s="2">
        <v>103649</v>
      </c>
      <c r="B281" s="2">
        <v>279</v>
      </c>
      <c r="C281" s="3" t="s">
        <v>57</v>
      </c>
      <c r="D281" s="3" t="s">
        <v>458</v>
      </c>
      <c r="E281" s="2">
        <v>0</v>
      </c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66</v>
      </c>
      <c r="K281" s="2">
        <v>17240920217</v>
      </c>
      <c r="L281" s="7">
        <f t="shared" si="9"/>
        <v>17240920216</v>
      </c>
      <c r="M281" s="7">
        <f t="shared" si="10"/>
        <v>17240920218</v>
      </c>
      <c r="N281" s="3" t="s">
        <v>64</v>
      </c>
      <c r="O281" s="5" t="s">
        <v>459</v>
      </c>
      <c r="P281" s="3" t="s">
        <v>66</v>
      </c>
      <c r="Q281" s="3" t="s">
        <v>72</v>
      </c>
      <c r="R281" s="2">
        <v>1</v>
      </c>
      <c r="S281" s="3" t="s">
        <v>73</v>
      </c>
      <c r="T281" s="3" t="s">
        <v>74</v>
      </c>
      <c r="U281" s="3" t="s">
        <v>66</v>
      </c>
      <c r="V281" s="3" t="s">
        <v>66</v>
      </c>
      <c r="W281" s="3" t="s">
        <v>66</v>
      </c>
      <c r="X281" s="3" t="s">
        <v>66</v>
      </c>
      <c r="Y281" s="3" t="s">
        <v>66</v>
      </c>
      <c r="Z281" s="3" t="s">
        <v>66</v>
      </c>
      <c r="AA281" s="3" t="s">
        <v>76</v>
      </c>
      <c r="AB281" s="3" t="s">
        <v>66</v>
      </c>
      <c r="AC281" s="2">
        <v>0</v>
      </c>
      <c r="AD281" s="3" t="s">
        <v>68</v>
      </c>
      <c r="AE281" s="3" t="s">
        <v>66</v>
      </c>
      <c r="AF281" s="3" t="s">
        <v>66</v>
      </c>
      <c r="AG281" s="3" t="s">
        <v>66</v>
      </c>
      <c r="AH281" s="3" t="s">
        <v>66</v>
      </c>
      <c r="AI281" s="3" t="s">
        <v>66</v>
      </c>
      <c r="AJ281" s="3" t="s">
        <v>66</v>
      </c>
      <c r="AK281" s="3" t="s">
        <v>66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3" t="s">
        <v>66</v>
      </c>
      <c r="BC281" s="3" t="s">
        <v>66</v>
      </c>
      <c r="BD281" s="2">
        <v>731812.00000000198</v>
      </c>
      <c r="BE281" s="2">
        <v>3761745</v>
      </c>
      <c r="BF281" s="4"/>
      <c r="BG281" s="4"/>
      <c r="BH281" s="4"/>
      <c r="BI281" s="2">
        <v>0</v>
      </c>
      <c r="BJ281" s="2">
        <v>0</v>
      </c>
    </row>
    <row r="282" spans="1:62" hidden="1" x14ac:dyDescent="0.35">
      <c r="A282" s="2">
        <v>103650</v>
      </c>
      <c r="B282" s="2">
        <v>280</v>
      </c>
      <c r="C282" s="3" t="s">
        <v>57</v>
      </c>
      <c r="D282" s="3" t="s">
        <v>458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69</v>
      </c>
      <c r="K282" s="2">
        <v>17240920218</v>
      </c>
      <c r="L282" s="7">
        <f t="shared" si="9"/>
        <v>17240920218</v>
      </c>
      <c r="M282" s="7">
        <f t="shared" si="10"/>
        <v>17240920218</v>
      </c>
      <c r="N282" s="3" t="s">
        <v>64</v>
      </c>
      <c r="O282" s="5" t="s">
        <v>460</v>
      </c>
      <c r="P282" s="3" t="s">
        <v>71</v>
      </c>
      <c r="Q282" s="3" t="s">
        <v>72</v>
      </c>
      <c r="R282" s="2">
        <v>1</v>
      </c>
      <c r="S282" s="3" t="s">
        <v>73</v>
      </c>
      <c r="T282" s="3" t="s">
        <v>126</v>
      </c>
      <c r="U282" s="3" t="s">
        <v>269</v>
      </c>
      <c r="V282" s="3" t="s">
        <v>269</v>
      </c>
      <c r="W282" s="3" t="s">
        <v>269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3" t="s">
        <v>66</v>
      </c>
      <c r="BC282" s="3" t="s">
        <v>66</v>
      </c>
      <c r="BD282" s="2">
        <v>731843.00000000105</v>
      </c>
      <c r="BE282" s="2">
        <v>3761736</v>
      </c>
      <c r="BF282" s="4"/>
      <c r="BG282" s="4"/>
      <c r="BH282" s="4"/>
      <c r="BI282" s="2">
        <v>0</v>
      </c>
      <c r="BJ282" s="2">
        <v>0</v>
      </c>
    </row>
    <row r="283" spans="1:62" hidden="1" x14ac:dyDescent="0.35">
      <c r="A283" s="2">
        <v>103651</v>
      </c>
      <c r="B283" s="2">
        <v>281</v>
      </c>
      <c r="C283" s="3" t="s">
        <v>57</v>
      </c>
      <c r="D283" s="3" t="s">
        <v>461</v>
      </c>
      <c r="E283" s="4"/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63</v>
      </c>
      <c r="K283" s="2">
        <v>17240920218</v>
      </c>
      <c r="L283" s="7">
        <f t="shared" si="9"/>
        <v>17240920218</v>
      </c>
      <c r="M283" s="7">
        <f t="shared" si="10"/>
        <v>17240920219</v>
      </c>
      <c r="N283" s="3" t="s">
        <v>64</v>
      </c>
      <c r="O283" s="5" t="s">
        <v>460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126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3" t="s">
        <v>66</v>
      </c>
      <c r="BC283" s="3" t="s">
        <v>66</v>
      </c>
      <c r="BD283" s="2">
        <v>731843.00000000105</v>
      </c>
      <c r="BE283" s="2">
        <v>3761736</v>
      </c>
      <c r="BF283" s="4"/>
      <c r="BG283" s="4"/>
      <c r="BH283" s="4"/>
      <c r="BI283" s="2">
        <v>0</v>
      </c>
      <c r="BJ283" s="2">
        <v>0</v>
      </c>
    </row>
    <row r="284" spans="1:62" ht="58" hidden="1" x14ac:dyDescent="0.35">
      <c r="A284" s="2">
        <v>103652</v>
      </c>
      <c r="B284" s="2">
        <v>282</v>
      </c>
      <c r="C284" s="3" t="s">
        <v>57</v>
      </c>
      <c r="D284" s="3" t="s">
        <v>461</v>
      </c>
      <c r="E284" s="4"/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69</v>
      </c>
      <c r="K284" s="2">
        <v>17240920219</v>
      </c>
      <c r="L284" s="7">
        <f t="shared" si="9"/>
        <v>17240920219</v>
      </c>
      <c r="M284" s="7">
        <f t="shared" si="10"/>
        <v>17240920219</v>
      </c>
      <c r="N284" s="3" t="s">
        <v>64</v>
      </c>
      <c r="O284" s="5" t="s">
        <v>462</v>
      </c>
      <c r="P284" s="3" t="s">
        <v>71</v>
      </c>
      <c r="Q284" s="3" t="s">
        <v>72</v>
      </c>
      <c r="R284" s="2">
        <v>0</v>
      </c>
      <c r="S284" s="3" t="s">
        <v>66</v>
      </c>
      <c r="T284" s="3" t="s">
        <v>168</v>
      </c>
      <c r="U284" s="3" t="s">
        <v>187</v>
      </c>
      <c r="V284" s="3" t="s">
        <v>187</v>
      </c>
      <c r="W284" s="3" t="s">
        <v>187</v>
      </c>
      <c r="X284" s="3" t="s">
        <v>66</v>
      </c>
      <c r="Y284" s="3" t="s">
        <v>66</v>
      </c>
      <c r="Z284" s="3" t="s">
        <v>66</v>
      </c>
      <c r="AA284" s="3" t="s">
        <v>169</v>
      </c>
      <c r="AB284" s="3" t="s">
        <v>463</v>
      </c>
      <c r="AC284" s="2">
        <v>0</v>
      </c>
      <c r="AD284" s="3" t="s">
        <v>191</v>
      </c>
      <c r="AE284" s="3" t="s">
        <v>71</v>
      </c>
      <c r="AF284" s="3" t="s">
        <v>172</v>
      </c>
      <c r="AG284" s="3" t="s">
        <v>173</v>
      </c>
      <c r="AH284" s="3" t="s">
        <v>204</v>
      </c>
      <c r="AI284" s="3" t="s">
        <v>66</v>
      </c>
      <c r="AJ284" s="3" t="s">
        <v>66</v>
      </c>
      <c r="AK284" s="3" t="s">
        <v>205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3" t="s">
        <v>464</v>
      </c>
      <c r="BC284" s="3" t="s">
        <v>465</v>
      </c>
      <c r="BD284" s="2">
        <v>731842</v>
      </c>
      <c r="BE284" s="2">
        <v>3761738</v>
      </c>
      <c r="BF284" s="4"/>
      <c r="BG284" s="4"/>
      <c r="BH284" s="4"/>
      <c r="BI284" s="2">
        <v>0</v>
      </c>
      <c r="BJ284" s="2">
        <v>0</v>
      </c>
    </row>
    <row r="285" spans="1:62" ht="58" hidden="1" x14ac:dyDescent="0.35">
      <c r="A285" s="2">
        <v>103653</v>
      </c>
      <c r="B285" s="2">
        <v>283</v>
      </c>
      <c r="C285" s="3" t="s">
        <v>57</v>
      </c>
      <c r="D285" s="3" t="s">
        <v>466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63</v>
      </c>
      <c r="K285" s="2">
        <v>17240920219</v>
      </c>
      <c r="L285" s="7">
        <f t="shared" si="9"/>
        <v>17240920219</v>
      </c>
      <c r="M285" s="7">
        <f t="shared" si="10"/>
        <v>17240920220</v>
      </c>
      <c r="N285" s="3" t="s">
        <v>179</v>
      </c>
      <c r="O285" s="5" t="s">
        <v>462</v>
      </c>
      <c r="P285" s="3" t="s">
        <v>66</v>
      </c>
      <c r="Q285" s="3" t="s">
        <v>180</v>
      </c>
      <c r="R285" s="2">
        <v>0</v>
      </c>
      <c r="S285" s="3" t="s">
        <v>66</v>
      </c>
      <c r="T285" s="3" t="s">
        <v>168</v>
      </c>
      <c r="U285" s="3" t="s">
        <v>66</v>
      </c>
      <c r="V285" s="3" t="s">
        <v>66</v>
      </c>
      <c r="W285" s="3" t="s">
        <v>66</v>
      </c>
      <c r="X285" s="3" t="s">
        <v>66</v>
      </c>
      <c r="Y285" s="3" t="s">
        <v>66</v>
      </c>
      <c r="Z285" s="3" t="s">
        <v>66</v>
      </c>
      <c r="AA285" s="3" t="s">
        <v>181</v>
      </c>
      <c r="AB285" s="3" t="s">
        <v>463</v>
      </c>
      <c r="AC285" s="2">
        <v>0</v>
      </c>
      <c r="AD285" s="3" t="s">
        <v>191</v>
      </c>
      <c r="AE285" s="3" t="s">
        <v>71</v>
      </c>
      <c r="AF285" s="3" t="s">
        <v>172</v>
      </c>
      <c r="AG285" s="3" t="s">
        <v>173</v>
      </c>
      <c r="AH285" s="3" t="s">
        <v>204</v>
      </c>
      <c r="AI285" s="3" t="s">
        <v>66</v>
      </c>
      <c r="AJ285" s="3" t="s">
        <v>66</v>
      </c>
      <c r="AK285" s="3" t="s">
        <v>205</v>
      </c>
      <c r="AL285" s="3" t="s">
        <v>66</v>
      </c>
      <c r="AM285" s="3" t="s">
        <v>66</v>
      </c>
      <c r="AN285" s="3" t="s">
        <v>66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3" t="s">
        <v>464</v>
      </c>
      <c r="BC285" s="3" t="s">
        <v>465</v>
      </c>
      <c r="BD285" s="2">
        <v>731842</v>
      </c>
      <c r="BE285" s="2">
        <v>3761738</v>
      </c>
      <c r="BF285" s="4"/>
      <c r="BG285" s="4"/>
      <c r="BH285" s="4"/>
      <c r="BI285" s="2">
        <v>0</v>
      </c>
      <c r="BJ285" s="2">
        <v>0</v>
      </c>
    </row>
    <row r="286" spans="1:62" ht="58" hidden="1" x14ac:dyDescent="0.35">
      <c r="A286" s="2">
        <v>103654</v>
      </c>
      <c r="B286" s="2">
        <v>284</v>
      </c>
      <c r="C286" s="3" t="s">
        <v>57</v>
      </c>
      <c r="D286" s="3" t="s">
        <v>466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69</v>
      </c>
      <c r="K286" s="2">
        <v>17240920220</v>
      </c>
      <c r="L286" s="7">
        <f t="shared" si="9"/>
        <v>17240920220</v>
      </c>
      <c r="M286" s="7">
        <f t="shared" si="10"/>
        <v>17240920220</v>
      </c>
      <c r="N286" s="3" t="s">
        <v>179</v>
      </c>
      <c r="O286" s="5" t="s">
        <v>467</v>
      </c>
      <c r="P286" s="3" t="s">
        <v>183</v>
      </c>
      <c r="Q286" s="3" t="s">
        <v>180</v>
      </c>
      <c r="R286" s="2">
        <v>0</v>
      </c>
      <c r="S286" s="3" t="s">
        <v>66</v>
      </c>
      <c r="T286" s="3" t="s">
        <v>168</v>
      </c>
      <c r="U286" s="3" t="s">
        <v>184</v>
      </c>
      <c r="V286" s="3" t="s">
        <v>184</v>
      </c>
      <c r="W286" s="3" t="s">
        <v>184</v>
      </c>
      <c r="X286" s="3" t="s">
        <v>184</v>
      </c>
      <c r="Y286" s="3" t="s">
        <v>66</v>
      </c>
      <c r="Z286" s="3" t="s">
        <v>66</v>
      </c>
      <c r="AA286" s="3" t="s">
        <v>181</v>
      </c>
      <c r="AB286" s="3" t="s">
        <v>463</v>
      </c>
      <c r="AC286" s="2">
        <v>0</v>
      </c>
      <c r="AD286" s="3" t="s">
        <v>191</v>
      </c>
      <c r="AE286" s="3" t="s">
        <v>71</v>
      </c>
      <c r="AF286" s="3" t="s">
        <v>172</v>
      </c>
      <c r="AG286" s="3" t="s">
        <v>173</v>
      </c>
      <c r="AH286" s="3" t="s">
        <v>204</v>
      </c>
      <c r="AI286" s="3" t="s">
        <v>66</v>
      </c>
      <c r="AJ286" s="3" t="s">
        <v>66</v>
      </c>
      <c r="AK286" s="3" t="s">
        <v>205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3" t="s">
        <v>464</v>
      </c>
      <c r="BC286" s="3" t="s">
        <v>465</v>
      </c>
      <c r="BD286" s="2">
        <v>731845</v>
      </c>
      <c r="BE286" s="2">
        <v>3761737</v>
      </c>
      <c r="BF286" s="4"/>
      <c r="BG286" s="4"/>
      <c r="BH286" s="4"/>
      <c r="BI286" s="2">
        <v>0</v>
      </c>
      <c r="BJ286" s="2">
        <v>0</v>
      </c>
    </row>
    <row r="287" spans="1:62" hidden="1" x14ac:dyDescent="0.35">
      <c r="A287" s="2">
        <v>103655</v>
      </c>
      <c r="B287" s="2">
        <v>285</v>
      </c>
      <c r="C287" s="3" t="s">
        <v>57</v>
      </c>
      <c r="D287" s="3" t="s">
        <v>468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63</v>
      </c>
      <c r="K287" s="2">
        <v>17240920218</v>
      </c>
      <c r="L287" s="7">
        <f t="shared" si="9"/>
        <v>17240920220</v>
      </c>
      <c r="M287" s="7">
        <f t="shared" si="10"/>
        <v>17240920221</v>
      </c>
      <c r="N287" s="3" t="s">
        <v>64</v>
      </c>
      <c r="O287" s="5" t="s">
        <v>460</v>
      </c>
      <c r="P287" s="3" t="s">
        <v>66</v>
      </c>
      <c r="Q287" s="3" t="s">
        <v>72</v>
      </c>
      <c r="R287" s="2">
        <v>1</v>
      </c>
      <c r="S287" s="3" t="s">
        <v>73</v>
      </c>
      <c r="T287" s="3" t="s">
        <v>126</v>
      </c>
      <c r="U287" s="3" t="s">
        <v>66</v>
      </c>
      <c r="V287" s="3" t="s">
        <v>66</v>
      </c>
      <c r="W287" s="3" t="s">
        <v>66</v>
      </c>
      <c r="X287" s="3" t="s">
        <v>66</v>
      </c>
      <c r="Y287" s="3" t="s">
        <v>66</v>
      </c>
      <c r="Z287" s="3" t="s">
        <v>66</v>
      </c>
      <c r="AA287" s="3" t="s">
        <v>76</v>
      </c>
      <c r="AB287" s="3" t="s">
        <v>66</v>
      </c>
      <c r="AC287" s="2">
        <v>0</v>
      </c>
      <c r="AD287" s="3" t="s">
        <v>68</v>
      </c>
      <c r="AE287" s="3" t="s">
        <v>66</v>
      </c>
      <c r="AF287" s="3" t="s">
        <v>66</v>
      </c>
      <c r="AG287" s="3" t="s">
        <v>66</v>
      </c>
      <c r="AH287" s="3" t="s">
        <v>66</v>
      </c>
      <c r="AI287" s="3" t="s">
        <v>66</v>
      </c>
      <c r="AJ287" s="3" t="s">
        <v>66</v>
      </c>
      <c r="AK287" s="3" t="s">
        <v>66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3" t="s">
        <v>66</v>
      </c>
      <c r="BC287" s="3" t="s">
        <v>66</v>
      </c>
      <c r="BD287" s="2">
        <v>731843.00000000105</v>
      </c>
      <c r="BE287" s="2">
        <v>3761736</v>
      </c>
      <c r="BF287" s="4"/>
      <c r="BG287" s="4"/>
      <c r="BH287" s="4"/>
      <c r="BI287" s="2">
        <v>0</v>
      </c>
      <c r="BJ287" s="2">
        <v>0</v>
      </c>
    </row>
    <row r="288" spans="1:62" hidden="1" x14ac:dyDescent="0.35">
      <c r="A288" s="2">
        <v>103656</v>
      </c>
      <c r="B288" s="2">
        <v>286</v>
      </c>
      <c r="C288" s="3" t="s">
        <v>57</v>
      </c>
      <c r="D288" s="3" t="s">
        <v>468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69</v>
      </c>
      <c r="K288" s="2">
        <v>17240920221</v>
      </c>
      <c r="L288" s="7">
        <f t="shared" si="9"/>
        <v>17240920221</v>
      </c>
      <c r="M288" s="7">
        <f t="shared" si="10"/>
        <v>17240920221</v>
      </c>
      <c r="N288" s="3" t="s">
        <v>64</v>
      </c>
      <c r="O288" s="5" t="s">
        <v>469</v>
      </c>
      <c r="P288" s="3" t="s">
        <v>71</v>
      </c>
      <c r="Q288" s="3" t="s">
        <v>72</v>
      </c>
      <c r="R288" s="2">
        <v>1</v>
      </c>
      <c r="S288" s="3" t="s">
        <v>73</v>
      </c>
      <c r="T288" s="3" t="s">
        <v>74</v>
      </c>
      <c r="U288" s="3" t="s">
        <v>269</v>
      </c>
      <c r="V288" s="3" t="s">
        <v>269</v>
      </c>
      <c r="W288" s="3" t="s">
        <v>269</v>
      </c>
      <c r="X288" s="3" t="s">
        <v>66</v>
      </c>
      <c r="Y288" s="3" t="s">
        <v>66</v>
      </c>
      <c r="Z288" s="3" t="s">
        <v>66</v>
      </c>
      <c r="AA288" s="3" t="s">
        <v>76</v>
      </c>
      <c r="AB288" s="3" t="s">
        <v>66</v>
      </c>
      <c r="AC288" s="2">
        <v>0</v>
      </c>
      <c r="AD288" s="3" t="s">
        <v>68</v>
      </c>
      <c r="AE288" s="3" t="s">
        <v>66</v>
      </c>
      <c r="AF288" s="3" t="s">
        <v>66</v>
      </c>
      <c r="AG288" s="3" t="s">
        <v>66</v>
      </c>
      <c r="AH288" s="3" t="s">
        <v>66</v>
      </c>
      <c r="AI288" s="3" t="s">
        <v>66</v>
      </c>
      <c r="AJ288" s="3" t="s">
        <v>66</v>
      </c>
      <c r="AK288" s="3" t="s">
        <v>66</v>
      </c>
      <c r="AL288" s="3" t="s">
        <v>66</v>
      </c>
      <c r="AM288" s="3" t="s">
        <v>66</v>
      </c>
      <c r="AN288" s="3" t="s">
        <v>77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3" t="s">
        <v>66</v>
      </c>
      <c r="BC288" s="3" t="s">
        <v>66</v>
      </c>
      <c r="BD288" s="2">
        <v>731891</v>
      </c>
      <c r="BE288" s="2">
        <v>3761687</v>
      </c>
      <c r="BF288" s="4"/>
      <c r="BG288" s="4"/>
      <c r="BH288" s="4"/>
      <c r="BI288" s="2">
        <v>0</v>
      </c>
      <c r="BJ288" s="2">
        <v>0</v>
      </c>
    </row>
    <row r="289" spans="1:62" hidden="1" x14ac:dyDescent="0.35">
      <c r="A289" s="2">
        <v>103657</v>
      </c>
      <c r="B289" s="2">
        <v>287</v>
      </c>
      <c r="C289" s="3" t="s">
        <v>57</v>
      </c>
      <c r="D289" s="3" t="s">
        <v>470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63</v>
      </c>
      <c r="K289" s="2">
        <v>17240920214</v>
      </c>
      <c r="L289" s="7">
        <f t="shared" si="9"/>
        <v>17240920221</v>
      </c>
      <c r="M289" s="7">
        <f t="shared" si="10"/>
        <v>17240920223</v>
      </c>
      <c r="N289" s="3" t="s">
        <v>64</v>
      </c>
      <c r="O289" s="5" t="s">
        <v>450</v>
      </c>
      <c r="P289" s="3" t="s">
        <v>66</v>
      </c>
      <c r="Q289" s="3" t="s">
        <v>72</v>
      </c>
      <c r="R289" s="2">
        <v>1</v>
      </c>
      <c r="S289" s="3" t="s">
        <v>73</v>
      </c>
      <c r="T289" s="3" t="s">
        <v>84</v>
      </c>
      <c r="U289" s="3" t="s">
        <v>66</v>
      </c>
      <c r="V289" s="3" t="s">
        <v>66</v>
      </c>
      <c r="W289" s="3" t="s">
        <v>66</v>
      </c>
      <c r="X289" s="3" t="s">
        <v>66</v>
      </c>
      <c r="Y289" s="3" t="s">
        <v>66</v>
      </c>
      <c r="Z289" s="3" t="s">
        <v>66</v>
      </c>
      <c r="AA289" s="3" t="s">
        <v>76</v>
      </c>
      <c r="AB289" s="3" t="s">
        <v>66</v>
      </c>
      <c r="AC289" s="2">
        <v>0</v>
      </c>
      <c r="AD289" s="3" t="s">
        <v>68</v>
      </c>
      <c r="AE289" s="3" t="s">
        <v>66</v>
      </c>
      <c r="AF289" s="3" t="s">
        <v>66</v>
      </c>
      <c r="AG289" s="3" t="s">
        <v>66</v>
      </c>
      <c r="AH289" s="3" t="s">
        <v>66</v>
      </c>
      <c r="AI289" s="3" t="s">
        <v>66</v>
      </c>
      <c r="AJ289" s="3" t="s">
        <v>66</v>
      </c>
      <c r="AK289" s="3" t="s">
        <v>66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3" t="s">
        <v>66</v>
      </c>
      <c r="BC289" s="3" t="s">
        <v>66</v>
      </c>
      <c r="BD289" s="2">
        <v>731745</v>
      </c>
      <c r="BE289" s="2">
        <v>3761799</v>
      </c>
      <c r="BF289" s="4"/>
      <c r="BG289" s="4"/>
      <c r="BH289" s="4"/>
      <c r="BI289" s="2">
        <v>0</v>
      </c>
      <c r="BJ289" s="2">
        <v>0</v>
      </c>
    </row>
    <row r="290" spans="1:62" hidden="1" x14ac:dyDescent="0.35">
      <c r="A290" s="2">
        <v>103658</v>
      </c>
      <c r="B290" s="2">
        <v>288</v>
      </c>
      <c r="C290" s="3" t="s">
        <v>57</v>
      </c>
      <c r="D290" s="3" t="s">
        <v>470</v>
      </c>
      <c r="E290" s="2">
        <v>0</v>
      </c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66</v>
      </c>
      <c r="K290" s="2">
        <v>17240920222</v>
      </c>
      <c r="L290" s="7">
        <f t="shared" si="9"/>
        <v>17240920221</v>
      </c>
      <c r="M290" s="7">
        <f t="shared" si="10"/>
        <v>17240920223</v>
      </c>
      <c r="N290" s="3" t="s">
        <v>64</v>
      </c>
      <c r="O290" s="5" t="s">
        <v>471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126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3" t="s">
        <v>66</v>
      </c>
      <c r="BC290" s="3" t="s">
        <v>66</v>
      </c>
      <c r="BD290" s="2">
        <v>731733.00000000105</v>
      </c>
      <c r="BE290" s="2">
        <v>3761755</v>
      </c>
      <c r="BF290" s="4"/>
      <c r="BG290" s="4"/>
      <c r="BH290" s="4"/>
      <c r="BI290" s="2">
        <v>0</v>
      </c>
      <c r="BJ290" s="2">
        <v>0</v>
      </c>
    </row>
    <row r="291" spans="1:62" hidden="1" x14ac:dyDescent="0.35">
      <c r="A291" s="2">
        <v>103659</v>
      </c>
      <c r="B291" s="2">
        <v>289</v>
      </c>
      <c r="C291" s="3" t="s">
        <v>57</v>
      </c>
      <c r="D291" s="3" t="s">
        <v>470</v>
      </c>
      <c r="E291" s="4"/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69</v>
      </c>
      <c r="K291" s="2">
        <v>17240920223</v>
      </c>
      <c r="L291" s="7">
        <f t="shared" si="9"/>
        <v>17240920223</v>
      </c>
      <c r="M291" s="7">
        <f t="shared" si="10"/>
        <v>17240920223</v>
      </c>
      <c r="N291" s="3" t="s">
        <v>64</v>
      </c>
      <c r="O291" s="5" t="s">
        <v>472</v>
      </c>
      <c r="P291" s="3" t="s">
        <v>71</v>
      </c>
      <c r="Q291" s="3" t="s">
        <v>72</v>
      </c>
      <c r="R291" s="2">
        <v>1</v>
      </c>
      <c r="S291" s="3" t="s">
        <v>73</v>
      </c>
      <c r="T291" s="3" t="s">
        <v>126</v>
      </c>
      <c r="U291" s="3" t="s">
        <v>165</v>
      </c>
      <c r="V291" s="3" t="s">
        <v>165</v>
      </c>
      <c r="W291" s="3" t="s">
        <v>165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3" t="s">
        <v>66</v>
      </c>
      <c r="BC291" s="3" t="s">
        <v>66</v>
      </c>
      <c r="BD291" s="2">
        <v>731714</v>
      </c>
      <c r="BE291" s="2">
        <v>3761726</v>
      </c>
      <c r="BF291" s="4"/>
      <c r="BG291" s="4"/>
      <c r="BH291" s="4"/>
      <c r="BI291" s="2">
        <v>0</v>
      </c>
      <c r="BJ291" s="2">
        <v>0</v>
      </c>
    </row>
    <row r="292" spans="1:62" hidden="1" x14ac:dyDescent="0.35">
      <c r="A292" s="2">
        <v>103660</v>
      </c>
      <c r="B292" s="2">
        <v>290</v>
      </c>
      <c r="C292" s="3" t="s">
        <v>57</v>
      </c>
      <c r="D292" s="3" t="s">
        <v>473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63</v>
      </c>
      <c r="K292" s="2">
        <v>17240920223</v>
      </c>
      <c r="L292" s="7">
        <f t="shared" si="9"/>
        <v>17240920223</v>
      </c>
      <c r="M292" s="7">
        <f t="shared" si="10"/>
        <v>17240920224</v>
      </c>
      <c r="N292" s="3" t="s">
        <v>64</v>
      </c>
      <c r="O292" s="5" t="s">
        <v>472</v>
      </c>
      <c r="P292" s="3" t="s">
        <v>66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66</v>
      </c>
      <c r="V292" s="3" t="s">
        <v>66</v>
      </c>
      <c r="W292" s="3" t="s">
        <v>66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3" t="s">
        <v>66</v>
      </c>
      <c r="BC292" s="3" t="s">
        <v>66</v>
      </c>
      <c r="BD292" s="2">
        <v>731714</v>
      </c>
      <c r="BE292" s="2">
        <v>3761726</v>
      </c>
      <c r="BF292" s="4"/>
      <c r="BG292" s="4"/>
      <c r="BH292" s="4"/>
      <c r="BI292" s="2">
        <v>0</v>
      </c>
      <c r="BJ292" s="2">
        <v>0</v>
      </c>
    </row>
    <row r="293" spans="1:62" ht="58" hidden="1" x14ac:dyDescent="0.35">
      <c r="A293" s="2">
        <v>103661</v>
      </c>
      <c r="B293" s="2">
        <v>291</v>
      </c>
      <c r="C293" s="3" t="s">
        <v>57</v>
      </c>
      <c r="D293" s="3" t="s">
        <v>473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69</v>
      </c>
      <c r="K293" s="2">
        <v>17240920224</v>
      </c>
      <c r="L293" s="7">
        <f t="shared" si="9"/>
        <v>17240920224</v>
      </c>
      <c r="M293" s="7">
        <f t="shared" si="10"/>
        <v>17240920224</v>
      </c>
      <c r="N293" s="3" t="s">
        <v>64</v>
      </c>
      <c r="O293" s="5" t="s">
        <v>474</v>
      </c>
      <c r="P293" s="3" t="s">
        <v>71</v>
      </c>
      <c r="Q293" s="3" t="s">
        <v>72</v>
      </c>
      <c r="R293" s="2">
        <v>0</v>
      </c>
      <c r="S293" s="3" t="s">
        <v>66</v>
      </c>
      <c r="T293" s="3" t="s">
        <v>168</v>
      </c>
      <c r="U293" s="3" t="s">
        <v>187</v>
      </c>
      <c r="V293" s="3" t="s">
        <v>187</v>
      </c>
      <c r="W293" s="3" t="s">
        <v>187</v>
      </c>
      <c r="X293" s="3" t="s">
        <v>66</v>
      </c>
      <c r="Y293" s="3" t="s">
        <v>66</v>
      </c>
      <c r="Z293" s="3" t="s">
        <v>66</v>
      </c>
      <c r="AA293" s="3" t="s">
        <v>169</v>
      </c>
      <c r="AB293" s="3" t="s">
        <v>475</v>
      </c>
      <c r="AC293" s="2">
        <v>0</v>
      </c>
      <c r="AD293" s="3" t="s">
        <v>171</v>
      </c>
      <c r="AE293" s="3" t="s">
        <v>71</v>
      </c>
      <c r="AF293" s="3" t="s">
        <v>172</v>
      </c>
      <c r="AG293" s="3" t="s">
        <v>173</v>
      </c>
      <c r="AH293" s="3" t="s">
        <v>174</v>
      </c>
      <c r="AI293" s="3" t="s">
        <v>66</v>
      </c>
      <c r="AJ293" s="3" t="s">
        <v>66</v>
      </c>
      <c r="AK293" s="3" t="s">
        <v>205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3" t="s">
        <v>476</v>
      </c>
      <c r="BC293" s="3" t="s">
        <v>477</v>
      </c>
      <c r="BD293" s="2">
        <v>731714</v>
      </c>
      <c r="BE293" s="2">
        <v>3761724</v>
      </c>
      <c r="BF293" s="4"/>
      <c r="BG293" s="4"/>
      <c r="BH293" s="4"/>
      <c r="BI293" s="2">
        <v>0</v>
      </c>
      <c r="BJ293" s="2">
        <v>0</v>
      </c>
    </row>
    <row r="294" spans="1:62" ht="58" hidden="1" x14ac:dyDescent="0.35">
      <c r="A294" s="2">
        <v>103662</v>
      </c>
      <c r="B294" s="2">
        <v>292</v>
      </c>
      <c r="C294" s="3" t="s">
        <v>57</v>
      </c>
      <c r="D294" s="3" t="s">
        <v>478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63</v>
      </c>
      <c r="K294" s="2">
        <v>17240920224</v>
      </c>
      <c r="L294" s="7">
        <f t="shared" si="9"/>
        <v>17240920224</v>
      </c>
      <c r="M294" s="7">
        <f t="shared" si="10"/>
        <v>17240920225</v>
      </c>
      <c r="N294" s="3" t="s">
        <v>179</v>
      </c>
      <c r="O294" s="5" t="s">
        <v>474</v>
      </c>
      <c r="P294" s="3" t="s">
        <v>66</v>
      </c>
      <c r="Q294" s="3" t="s">
        <v>180</v>
      </c>
      <c r="R294" s="2">
        <v>0</v>
      </c>
      <c r="S294" s="3" t="s">
        <v>66</v>
      </c>
      <c r="T294" s="3" t="s">
        <v>168</v>
      </c>
      <c r="U294" s="3" t="s">
        <v>66</v>
      </c>
      <c r="V294" s="3" t="s">
        <v>66</v>
      </c>
      <c r="W294" s="3" t="s">
        <v>66</v>
      </c>
      <c r="X294" s="3" t="s">
        <v>66</v>
      </c>
      <c r="Y294" s="3" t="s">
        <v>66</v>
      </c>
      <c r="Z294" s="3" t="s">
        <v>66</v>
      </c>
      <c r="AA294" s="3" t="s">
        <v>181</v>
      </c>
      <c r="AB294" s="3" t="s">
        <v>475</v>
      </c>
      <c r="AC294" s="2">
        <v>0</v>
      </c>
      <c r="AD294" s="3" t="s">
        <v>171</v>
      </c>
      <c r="AE294" s="3" t="s">
        <v>71</v>
      </c>
      <c r="AF294" s="3" t="s">
        <v>172</v>
      </c>
      <c r="AG294" s="3" t="s">
        <v>173</v>
      </c>
      <c r="AH294" s="3" t="s">
        <v>174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3" t="s">
        <v>476</v>
      </c>
      <c r="BC294" s="3" t="s">
        <v>477</v>
      </c>
      <c r="BD294" s="2">
        <v>731714</v>
      </c>
      <c r="BE294" s="2">
        <v>3761724</v>
      </c>
      <c r="BF294" s="4"/>
      <c r="BG294" s="4"/>
      <c r="BH294" s="4"/>
      <c r="BI294" s="2">
        <v>0</v>
      </c>
      <c r="BJ294" s="2">
        <v>0</v>
      </c>
    </row>
    <row r="295" spans="1:62" ht="58" hidden="1" x14ac:dyDescent="0.35">
      <c r="A295" s="2">
        <v>103663</v>
      </c>
      <c r="B295" s="2">
        <v>293</v>
      </c>
      <c r="C295" s="3" t="s">
        <v>57</v>
      </c>
      <c r="D295" s="3" t="s">
        <v>478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69</v>
      </c>
      <c r="K295" s="2">
        <v>17240920225</v>
      </c>
      <c r="L295" s="7">
        <f t="shared" si="9"/>
        <v>17240920225</v>
      </c>
      <c r="M295" s="7">
        <f t="shared" si="10"/>
        <v>17240920225</v>
      </c>
      <c r="N295" s="3" t="s">
        <v>179</v>
      </c>
      <c r="O295" s="5" t="s">
        <v>479</v>
      </c>
      <c r="P295" s="3" t="s">
        <v>183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248</v>
      </c>
      <c r="V295" s="3" t="s">
        <v>248</v>
      </c>
      <c r="W295" s="3" t="s">
        <v>248</v>
      </c>
      <c r="X295" s="3" t="s">
        <v>248</v>
      </c>
      <c r="Y295" s="3" t="s">
        <v>66</v>
      </c>
      <c r="Z295" s="3" t="s">
        <v>66</v>
      </c>
      <c r="AA295" s="3" t="s">
        <v>181</v>
      </c>
      <c r="AB295" s="3" t="s">
        <v>475</v>
      </c>
      <c r="AC295" s="2">
        <v>0</v>
      </c>
      <c r="AD295" s="3" t="s">
        <v>171</v>
      </c>
      <c r="AE295" s="3" t="s">
        <v>71</v>
      </c>
      <c r="AF295" s="3" t="s">
        <v>172</v>
      </c>
      <c r="AG295" s="3" t="s">
        <v>173</v>
      </c>
      <c r="AH295" s="3" t="s">
        <v>174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3" t="s">
        <v>476</v>
      </c>
      <c r="BC295" s="3" t="s">
        <v>477</v>
      </c>
      <c r="BD295" s="2">
        <v>731715.00000000198</v>
      </c>
      <c r="BE295" s="2">
        <v>3761724</v>
      </c>
      <c r="BF295" s="4"/>
      <c r="BG295" s="4"/>
      <c r="BH295" s="4"/>
      <c r="BI295" s="2">
        <v>0</v>
      </c>
      <c r="BJ295" s="2">
        <v>0</v>
      </c>
    </row>
    <row r="296" spans="1:62" hidden="1" x14ac:dyDescent="0.35">
      <c r="A296" s="2">
        <v>103664</v>
      </c>
      <c r="B296" s="2">
        <v>294</v>
      </c>
      <c r="C296" s="3" t="s">
        <v>57</v>
      </c>
      <c r="D296" s="3" t="s">
        <v>480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63</v>
      </c>
      <c r="K296" s="2">
        <v>17240920223</v>
      </c>
      <c r="L296" s="7">
        <f t="shared" si="9"/>
        <v>17240920225</v>
      </c>
      <c r="M296" s="7">
        <f t="shared" si="10"/>
        <v>17240920228</v>
      </c>
      <c r="N296" s="3" t="s">
        <v>64</v>
      </c>
      <c r="O296" s="5" t="s">
        <v>472</v>
      </c>
      <c r="P296" s="3" t="s">
        <v>66</v>
      </c>
      <c r="Q296" s="3" t="s">
        <v>72</v>
      </c>
      <c r="R296" s="2">
        <v>1</v>
      </c>
      <c r="S296" s="3" t="s">
        <v>73</v>
      </c>
      <c r="T296" s="3" t="s">
        <v>126</v>
      </c>
      <c r="U296" s="3" t="s">
        <v>66</v>
      </c>
      <c r="V296" s="3" t="s">
        <v>66</v>
      </c>
      <c r="W296" s="3" t="s">
        <v>66</v>
      </c>
      <c r="X296" s="3" t="s">
        <v>66</v>
      </c>
      <c r="Y296" s="3" t="s">
        <v>66</v>
      </c>
      <c r="Z296" s="3" t="s">
        <v>66</v>
      </c>
      <c r="AA296" s="3" t="s">
        <v>76</v>
      </c>
      <c r="AB296" s="3" t="s">
        <v>66</v>
      </c>
      <c r="AC296" s="2">
        <v>0</v>
      </c>
      <c r="AD296" s="3" t="s">
        <v>68</v>
      </c>
      <c r="AE296" s="3" t="s">
        <v>66</v>
      </c>
      <c r="AF296" s="3" t="s">
        <v>66</v>
      </c>
      <c r="AG296" s="3" t="s">
        <v>66</v>
      </c>
      <c r="AH296" s="3" t="s">
        <v>66</v>
      </c>
      <c r="AI296" s="3" t="s">
        <v>66</v>
      </c>
      <c r="AJ296" s="3" t="s">
        <v>66</v>
      </c>
      <c r="AK296" s="3" t="s">
        <v>66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3" t="s">
        <v>66</v>
      </c>
      <c r="BC296" s="3" t="s">
        <v>66</v>
      </c>
      <c r="BD296" s="2">
        <v>731714</v>
      </c>
      <c r="BE296" s="2">
        <v>3761726</v>
      </c>
      <c r="BF296" s="4"/>
      <c r="BG296" s="4"/>
      <c r="BH296" s="4"/>
      <c r="BI296" s="2">
        <v>0</v>
      </c>
      <c r="BJ296" s="2">
        <v>0</v>
      </c>
    </row>
    <row r="297" spans="1:62" hidden="1" x14ac:dyDescent="0.35">
      <c r="A297" s="2">
        <v>103665</v>
      </c>
      <c r="B297" s="2">
        <v>295</v>
      </c>
      <c r="C297" s="3" t="s">
        <v>57</v>
      </c>
      <c r="D297" s="3" t="s">
        <v>480</v>
      </c>
      <c r="E297" s="2">
        <v>0</v>
      </c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66</v>
      </c>
      <c r="K297" s="2">
        <v>17240920226</v>
      </c>
      <c r="L297" s="7">
        <f t="shared" si="9"/>
        <v>17240920225</v>
      </c>
      <c r="M297" s="7">
        <f t="shared" si="10"/>
        <v>17240920228</v>
      </c>
      <c r="N297" s="3" t="s">
        <v>64</v>
      </c>
      <c r="O297" s="5" t="s">
        <v>481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3" t="s">
        <v>66</v>
      </c>
      <c r="BC297" s="3" t="s">
        <v>66</v>
      </c>
      <c r="BD297" s="2">
        <v>731695.00000000105</v>
      </c>
      <c r="BE297" s="2">
        <v>3761713</v>
      </c>
      <c r="BF297" s="4"/>
      <c r="BG297" s="4"/>
      <c r="BH297" s="4"/>
      <c r="BI297" s="2">
        <v>0</v>
      </c>
      <c r="BJ297" s="2">
        <v>0</v>
      </c>
    </row>
    <row r="298" spans="1:62" hidden="1" x14ac:dyDescent="0.35">
      <c r="A298" s="2">
        <v>103666</v>
      </c>
      <c r="B298" s="2">
        <v>296</v>
      </c>
      <c r="C298" s="3" t="s">
        <v>57</v>
      </c>
      <c r="D298" s="3" t="s">
        <v>480</v>
      </c>
      <c r="E298" s="2">
        <v>1</v>
      </c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66</v>
      </c>
      <c r="K298" s="2">
        <v>17240920227</v>
      </c>
      <c r="L298" s="7">
        <f t="shared" si="9"/>
        <v>17240920225</v>
      </c>
      <c r="M298" s="7">
        <f t="shared" si="10"/>
        <v>17240920228</v>
      </c>
      <c r="N298" s="3" t="s">
        <v>64</v>
      </c>
      <c r="O298" s="5" t="s">
        <v>482</v>
      </c>
      <c r="P298" s="3" t="s">
        <v>66</v>
      </c>
      <c r="Q298" s="3" t="s">
        <v>72</v>
      </c>
      <c r="R298" s="2">
        <v>1</v>
      </c>
      <c r="S298" s="3" t="s">
        <v>73</v>
      </c>
      <c r="T298" s="3" t="s">
        <v>126</v>
      </c>
      <c r="U298" s="3" t="s">
        <v>66</v>
      </c>
      <c r="V298" s="3" t="s">
        <v>66</v>
      </c>
      <c r="W298" s="3" t="s">
        <v>66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66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3" t="s">
        <v>66</v>
      </c>
      <c r="BC298" s="3" t="s">
        <v>66</v>
      </c>
      <c r="BD298" s="2">
        <v>731664.00000000105</v>
      </c>
      <c r="BE298" s="2">
        <v>3761672</v>
      </c>
      <c r="BF298" s="4"/>
      <c r="BG298" s="4"/>
      <c r="BH298" s="4"/>
      <c r="BI298" s="2">
        <v>0</v>
      </c>
      <c r="BJ298" s="2">
        <v>0</v>
      </c>
    </row>
    <row r="299" spans="1:62" hidden="1" x14ac:dyDescent="0.35">
      <c r="A299" s="2">
        <v>103667</v>
      </c>
      <c r="B299" s="2">
        <v>297</v>
      </c>
      <c r="C299" s="3" t="s">
        <v>57</v>
      </c>
      <c r="D299" s="3" t="s">
        <v>480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69</v>
      </c>
      <c r="K299" s="2">
        <v>17240920228</v>
      </c>
      <c r="L299" s="7">
        <f t="shared" si="9"/>
        <v>17240920228</v>
      </c>
      <c r="M299" s="7">
        <f t="shared" si="10"/>
        <v>17240920228</v>
      </c>
      <c r="N299" s="3" t="s">
        <v>64</v>
      </c>
      <c r="O299" s="5" t="s">
        <v>483</v>
      </c>
      <c r="P299" s="3" t="s">
        <v>71</v>
      </c>
      <c r="Q299" s="3" t="s">
        <v>72</v>
      </c>
      <c r="R299" s="2">
        <v>1</v>
      </c>
      <c r="S299" s="3" t="s">
        <v>73</v>
      </c>
      <c r="T299" s="3" t="s">
        <v>126</v>
      </c>
      <c r="U299" s="3" t="s">
        <v>165</v>
      </c>
      <c r="V299" s="3" t="s">
        <v>165</v>
      </c>
      <c r="W299" s="3" t="s">
        <v>165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3" t="s">
        <v>66</v>
      </c>
      <c r="BC299" s="3" t="s">
        <v>66</v>
      </c>
      <c r="BD299" s="2">
        <v>731620</v>
      </c>
      <c r="BE299" s="2">
        <v>3761638</v>
      </c>
      <c r="BF299" s="4"/>
      <c r="BG299" s="4"/>
      <c r="BH299" s="4"/>
      <c r="BI299" s="2">
        <v>0</v>
      </c>
      <c r="BJ299" s="2">
        <v>0</v>
      </c>
    </row>
    <row r="300" spans="1:62" hidden="1" x14ac:dyDescent="0.35">
      <c r="A300" s="2">
        <v>103668</v>
      </c>
      <c r="B300" s="2">
        <v>298</v>
      </c>
      <c r="C300" s="3" t="s">
        <v>57</v>
      </c>
      <c r="D300" s="3" t="s">
        <v>484</v>
      </c>
      <c r="E300" s="4"/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63</v>
      </c>
      <c r="K300" s="2">
        <v>17240920228</v>
      </c>
      <c r="L300" s="7">
        <f t="shared" si="9"/>
        <v>17240920228</v>
      </c>
      <c r="M300" s="7">
        <f t="shared" si="10"/>
        <v>17240920229</v>
      </c>
      <c r="N300" s="3" t="s">
        <v>64</v>
      </c>
      <c r="O300" s="5" t="s">
        <v>483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3" t="s">
        <v>66</v>
      </c>
      <c r="BC300" s="3" t="s">
        <v>66</v>
      </c>
      <c r="BD300" s="2">
        <v>731620</v>
      </c>
      <c r="BE300" s="2">
        <v>3761638</v>
      </c>
      <c r="BF300" s="4"/>
      <c r="BG300" s="4"/>
      <c r="BH300" s="4"/>
      <c r="BI300" s="2">
        <v>0</v>
      </c>
      <c r="BJ300" s="2">
        <v>0</v>
      </c>
    </row>
    <row r="301" spans="1:62" ht="58" hidden="1" x14ac:dyDescent="0.35">
      <c r="A301" s="2">
        <v>103669</v>
      </c>
      <c r="B301" s="2">
        <v>299</v>
      </c>
      <c r="C301" s="3" t="s">
        <v>57</v>
      </c>
      <c r="D301" s="3" t="s">
        <v>484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17240920229</v>
      </c>
      <c r="L301" s="7">
        <f t="shared" si="9"/>
        <v>17240920229</v>
      </c>
      <c r="M301" s="7">
        <f t="shared" si="10"/>
        <v>17240920229</v>
      </c>
      <c r="N301" s="3" t="s">
        <v>64</v>
      </c>
      <c r="O301" s="5" t="s">
        <v>485</v>
      </c>
      <c r="P301" s="3" t="s">
        <v>71</v>
      </c>
      <c r="Q301" s="3" t="s">
        <v>72</v>
      </c>
      <c r="R301" s="2">
        <v>0</v>
      </c>
      <c r="S301" s="3" t="s">
        <v>66</v>
      </c>
      <c r="T301" s="3" t="s">
        <v>168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169</v>
      </c>
      <c r="AB301" s="3" t="s">
        <v>486</v>
      </c>
      <c r="AC301" s="2">
        <v>0</v>
      </c>
      <c r="AD301" s="3" t="s">
        <v>191</v>
      </c>
      <c r="AE301" s="3" t="s">
        <v>71</v>
      </c>
      <c r="AF301" s="3" t="s">
        <v>172</v>
      </c>
      <c r="AG301" s="3" t="s">
        <v>173</v>
      </c>
      <c r="AH301" s="3" t="s">
        <v>231</v>
      </c>
      <c r="AI301" s="3" t="s">
        <v>66</v>
      </c>
      <c r="AJ301" s="3" t="s">
        <v>66</v>
      </c>
      <c r="AK301" s="3" t="s">
        <v>205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3" t="s">
        <v>476</v>
      </c>
      <c r="BC301" s="3" t="s">
        <v>487</v>
      </c>
      <c r="BD301" s="2">
        <v>731620</v>
      </c>
      <c r="BE301" s="2">
        <v>3761638</v>
      </c>
      <c r="BF301" s="4"/>
      <c r="BG301" s="4"/>
      <c r="BH301" s="4"/>
      <c r="BI301" s="2">
        <v>0</v>
      </c>
      <c r="BJ301" s="2">
        <v>0</v>
      </c>
    </row>
    <row r="302" spans="1:62" ht="58" hidden="1" x14ac:dyDescent="0.35">
      <c r="A302" s="2">
        <v>103670</v>
      </c>
      <c r="B302" s="2">
        <v>300</v>
      </c>
      <c r="C302" s="3" t="s">
        <v>57</v>
      </c>
      <c r="D302" s="3" t="s">
        <v>488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17240920229</v>
      </c>
      <c r="L302" s="7">
        <f t="shared" si="9"/>
        <v>17240920229</v>
      </c>
      <c r="M302" s="7">
        <f t="shared" si="10"/>
        <v>17240920230</v>
      </c>
      <c r="N302" s="3" t="s">
        <v>179</v>
      </c>
      <c r="O302" s="5" t="s">
        <v>485</v>
      </c>
      <c r="P302" s="3" t="s">
        <v>66</v>
      </c>
      <c r="Q302" s="3" t="s">
        <v>180</v>
      </c>
      <c r="R302" s="2">
        <v>0</v>
      </c>
      <c r="S302" s="3" t="s">
        <v>66</v>
      </c>
      <c r="T302" s="3" t="s">
        <v>168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181</v>
      </c>
      <c r="AB302" s="3" t="s">
        <v>486</v>
      </c>
      <c r="AC302" s="2">
        <v>0</v>
      </c>
      <c r="AD302" s="3" t="s">
        <v>191</v>
      </c>
      <c r="AE302" s="3" t="s">
        <v>71</v>
      </c>
      <c r="AF302" s="3" t="s">
        <v>172</v>
      </c>
      <c r="AG302" s="3" t="s">
        <v>173</v>
      </c>
      <c r="AH302" s="3" t="s">
        <v>231</v>
      </c>
      <c r="AI302" s="3" t="s">
        <v>66</v>
      </c>
      <c r="AJ302" s="3" t="s">
        <v>66</v>
      </c>
      <c r="AK302" s="3" t="s">
        <v>205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3" t="s">
        <v>476</v>
      </c>
      <c r="BC302" s="3" t="s">
        <v>487</v>
      </c>
      <c r="BD302" s="2">
        <v>731620</v>
      </c>
      <c r="BE302" s="2">
        <v>3761638</v>
      </c>
      <c r="BF302" s="4"/>
      <c r="BG302" s="4"/>
      <c r="BH302" s="4"/>
      <c r="BI302" s="2">
        <v>0</v>
      </c>
      <c r="BJ302" s="2">
        <v>0</v>
      </c>
    </row>
    <row r="303" spans="1:62" ht="58" hidden="1" x14ac:dyDescent="0.35">
      <c r="A303" s="2">
        <v>103671</v>
      </c>
      <c r="B303" s="2">
        <v>301</v>
      </c>
      <c r="C303" s="3" t="s">
        <v>57</v>
      </c>
      <c r="D303" s="3" t="s">
        <v>488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17240920230</v>
      </c>
      <c r="L303" s="7">
        <f t="shared" si="9"/>
        <v>17240920230</v>
      </c>
      <c r="M303" s="7">
        <f t="shared" si="10"/>
        <v>17240920230</v>
      </c>
      <c r="N303" s="3" t="s">
        <v>179</v>
      </c>
      <c r="O303" s="5" t="s">
        <v>489</v>
      </c>
      <c r="P303" s="3" t="s">
        <v>183</v>
      </c>
      <c r="Q303" s="3" t="s">
        <v>180</v>
      </c>
      <c r="R303" s="2">
        <v>0</v>
      </c>
      <c r="S303" s="3" t="s">
        <v>66</v>
      </c>
      <c r="T303" s="3" t="s">
        <v>168</v>
      </c>
      <c r="U303" s="3" t="s">
        <v>195</v>
      </c>
      <c r="V303" s="3" t="s">
        <v>195</v>
      </c>
      <c r="W303" s="3" t="s">
        <v>195</v>
      </c>
      <c r="X303" s="3" t="s">
        <v>195</v>
      </c>
      <c r="Y303" s="3" t="s">
        <v>66</v>
      </c>
      <c r="Z303" s="3" t="s">
        <v>66</v>
      </c>
      <c r="AA303" s="3" t="s">
        <v>181</v>
      </c>
      <c r="AB303" s="3" t="s">
        <v>486</v>
      </c>
      <c r="AC303" s="2">
        <v>0</v>
      </c>
      <c r="AD303" s="3" t="s">
        <v>191</v>
      </c>
      <c r="AE303" s="3" t="s">
        <v>71</v>
      </c>
      <c r="AF303" s="3" t="s">
        <v>172</v>
      </c>
      <c r="AG303" s="3" t="s">
        <v>173</v>
      </c>
      <c r="AH303" s="3" t="s">
        <v>231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3" t="s">
        <v>476</v>
      </c>
      <c r="BC303" s="3" t="s">
        <v>487</v>
      </c>
      <c r="BD303" s="2">
        <v>731621.00000000105</v>
      </c>
      <c r="BE303" s="2">
        <v>3761640</v>
      </c>
      <c r="BF303" s="4"/>
      <c r="BG303" s="4"/>
      <c r="BH303" s="4"/>
      <c r="BI303" s="2">
        <v>0</v>
      </c>
      <c r="BJ303" s="2">
        <v>0</v>
      </c>
    </row>
    <row r="304" spans="1:62" hidden="1" x14ac:dyDescent="0.35">
      <c r="A304" s="2">
        <v>103672</v>
      </c>
      <c r="B304" s="2">
        <v>302</v>
      </c>
      <c r="C304" s="3" t="s">
        <v>57</v>
      </c>
      <c r="D304" s="3" t="s">
        <v>490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17240920228</v>
      </c>
      <c r="L304" s="7">
        <f t="shared" si="9"/>
        <v>17240920230</v>
      </c>
      <c r="M304" s="7">
        <f t="shared" si="10"/>
        <v>17240920233</v>
      </c>
      <c r="N304" s="3" t="s">
        <v>64</v>
      </c>
      <c r="O304" s="5" t="s">
        <v>483</v>
      </c>
      <c r="P304" s="3" t="s">
        <v>66</v>
      </c>
      <c r="Q304" s="3" t="s">
        <v>72</v>
      </c>
      <c r="R304" s="2">
        <v>1</v>
      </c>
      <c r="S304" s="3" t="s">
        <v>73</v>
      </c>
      <c r="T304" s="3" t="s">
        <v>126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76</v>
      </c>
      <c r="AB304" s="3" t="s">
        <v>66</v>
      </c>
      <c r="AC304" s="2">
        <v>0</v>
      </c>
      <c r="AD304" s="3" t="s">
        <v>68</v>
      </c>
      <c r="AE304" s="3" t="s">
        <v>66</v>
      </c>
      <c r="AF304" s="3" t="s">
        <v>66</v>
      </c>
      <c r="AG304" s="3" t="s">
        <v>66</v>
      </c>
      <c r="AH304" s="3" t="s">
        <v>66</v>
      </c>
      <c r="AI304" s="3" t="s">
        <v>66</v>
      </c>
      <c r="AJ304" s="3" t="s">
        <v>66</v>
      </c>
      <c r="AK304" s="3" t="s">
        <v>66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3" t="s">
        <v>66</v>
      </c>
      <c r="BC304" s="3" t="s">
        <v>66</v>
      </c>
      <c r="BD304" s="2">
        <v>731620</v>
      </c>
      <c r="BE304" s="2">
        <v>3761638</v>
      </c>
      <c r="BF304" s="4"/>
      <c r="BG304" s="4"/>
      <c r="BH304" s="4"/>
      <c r="BI304" s="2">
        <v>0</v>
      </c>
      <c r="BJ304" s="2">
        <v>0</v>
      </c>
    </row>
    <row r="305" spans="1:62" hidden="1" x14ac:dyDescent="0.35">
      <c r="A305" s="2">
        <v>103673</v>
      </c>
      <c r="B305" s="2">
        <v>303</v>
      </c>
      <c r="C305" s="3" t="s">
        <v>57</v>
      </c>
      <c r="D305" s="3" t="s">
        <v>490</v>
      </c>
      <c r="E305" s="2">
        <v>0</v>
      </c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66</v>
      </c>
      <c r="K305" s="2">
        <v>17240920231</v>
      </c>
      <c r="L305" s="7">
        <f t="shared" si="9"/>
        <v>17240920230</v>
      </c>
      <c r="M305" s="7">
        <f t="shared" si="10"/>
        <v>17240920233</v>
      </c>
      <c r="N305" s="3" t="s">
        <v>64</v>
      </c>
      <c r="O305" s="5" t="s">
        <v>491</v>
      </c>
      <c r="P305" s="3" t="s">
        <v>66</v>
      </c>
      <c r="Q305" s="3" t="s">
        <v>72</v>
      </c>
      <c r="R305" s="2">
        <v>1</v>
      </c>
      <c r="S305" s="3" t="s">
        <v>73</v>
      </c>
      <c r="T305" s="3" t="s">
        <v>126</v>
      </c>
      <c r="U305" s="3" t="s">
        <v>66</v>
      </c>
      <c r="V305" s="3" t="s">
        <v>66</v>
      </c>
      <c r="W305" s="3" t="s">
        <v>66</v>
      </c>
      <c r="X305" s="3" t="s">
        <v>66</v>
      </c>
      <c r="Y305" s="3" t="s">
        <v>66</v>
      </c>
      <c r="Z305" s="3" t="s">
        <v>66</v>
      </c>
      <c r="AA305" s="3" t="s">
        <v>76</v>
      </c>
      <c r="AB305" s="3" t="s">
        <v>66</v>
      </c>
      <c r="AC305" s="2">
        <v>0</v>
      </c>
      <c r="AD305" s="3" t="s">
        <v>68</v>
      </c>
      <c r="AE305" s="3" t="s">
        <v>66</v>
      </c>
      <c r="AF305" s="3" t="s">
        <v>66</v>
      </c>
      <c r="AG305" s="3" t="s">
        <v>66</v>
      </c>
      <c r="AH305" s="3" t="s">
        <v>66</v>
      </c>
      <c r="AI305" s="3" t="s">
        <v>66</v>
      </c>
      <c r="AJ305" s="3" t="s">
        <v>66</v>
      </c>
      <c r="AK305" s="3" t="s">
        <v>66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3" t="s">
        <v>66</v>
      </c>
      <c r="BC305" s="3" t="s">
        <v>66</v>
      </c>
      <c r="BD305" s="2">
        <v>731586</v>
      </c>
      <c r="BE305" s="2">
        <v>3761620</v>
      </c>
      <c r="BF305" s="4"/>
      <c r="BG305" s="4"/>
      <c r="BH305" s="4"/>
      <c r="BI305" s="2">
        <v>0</v>
      </c>
      <c r="BJ305" s="2">
        <v>0</v>
      </c>
    </row>
    <row r="306" spans="1:62" hidden="1" x14ac:dyDescent="0.35">
      <c r="A306" s="2">
        <v>103674</v>
      </c>
      <c r="B306" s="2">
        <v>304</v>
      </c>
      <c r="C306" s="3" t="s">
        <v>57</v>
      </c>
      <c r="D306" s="3" t="s">
        <v>490</v>
      </c>
      <c r="E306" s="2">
        <v>1</v>
      </c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66</v>
      </c>
      <c r="K306" s="2">
        <v>17240920232</v>
      </c>
      <c r="L306" s="7">
        <f t="shared" si="9"/>
        <v>17240920230</v>
      </c>
      <c r="M306" s="7">
        <f t="shared" si="10"/>
        <v>17240920233</v>
      </c>
      <c r="N306" s="3" t="s">
        <v>64</v>
      </c>
      <c r="O306" s="5" t="s">
        <v>492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3" t="s">
        <v>66</v>
      </c>
      <c r="BC306" s="3" t="s">
        <v>66</v>
      </c>
      <c r="BD306" s="2">
        <v>731581</v>
      </c>
      <c r="BE306" s="2">
        <v>3761590</v>
      </c>
      <c r="BF306" s="4"/>
      <c r="BG306" s="4"/>
      <c r="BH306" s="4"/>
      <c r="BI306" s="2">
        <v>0</v>
      </c>
      <c r="BJ306" s="2">
        <v>0</v>
      </c>
    </row>
    <row r="307" spans="1:62" hidden="1" x14ac:dyDescent="0.35">
      <c r="A307" s="2">
        <v>103675</v>
      </c>
      <c r="B307" s="2">
        <v>305</v>
      </c>
      <c r="C307" s="3" t="s">
        <v>57</v>
      </c>
      <c r="D307" s="3" t="s">
        <v>490</v>
      </c>
      <c r="E307" s="4"/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69</v>
      </c>
      <c r="K307" s="2">
        <v>17240920233</v>
      </c>
      <c r="L307" s="7">
        <f t="shared" si="9"/>
        <v>17240920233</v>
      </c>
      <c r="M307" s="7">
        <f t="shared" si="10"/>
        <v>17240920233</v>
      </c>
      <c r="N307" s="3" t="s">
        <v>64</v>
      </c>
      <c r="O307" s="5" t="s">
        <v>493</v>
      </c>
      <c r="P307" s="3" t="s">
        <v>71</v>
      </c>
      <c r="Q307" s="3" t="s">
        <v>72</v>
      </c>
      <c r="R307" s="2">
        <v>1</v>
      </c>
      <c r="S307" s="3" t="s">
        <v>73</v>
      </c>
      <c r="T307" s="3" t="s">
        <v>84</v>
      </c>
      <c r="U307" s="3" t="s">
        <v>187</v>
      </c>
      <c r="V307" s="3" t="s">
        <v>187</v>
      </c>
      <c r="W307" s="3" t="s">
        <v>187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87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3" t="s">
        <v>66</v>
      </c>
      <c r="BC307" s="3" t="s">
        <v>66</v>
      </c>
      <c r="BD307" s="2">
        <v>731573.99999999895</v>
      </c>
      <c r="BE307" s="2">
        <v>3761569</v>
      </c>
      <c r="BF307" s="4"/>
      <c r="BG307" s="4"/>
      <c r="BH307" s="4"/>
      <c r="BI307" s="2">
        <v>0</v>
      </c>
      <c r="BJ307" s="2">
        <v>0</v>
      </c>
    </row>
    <row r="308" spans="1:62" hidden="1" x14ac:dyDescent="0.35">
      <c r="A308" s="2">
        <v>103676</v>
      </c>
      <c r="B308" s="2">
        <v>306</v>
      </c>
      <c r="C308" s="3" t="s">
        <v>57</v>
      </c>
      <c r="D308" s="3" t="s">
        <v>494</v>
      </c>
      <c r="E308" s="4"/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63</v>
      </c>
      <c r="K308" s="2">
        <v>17240920233</v>
      </c>
      <c r="L308" s="7">
        <f t="shared" si="9"/>
        <v>17240920233</v>
      </c>
      <c r="M308" s="7">
        <f t="shared" si="10"/>
        <v>17240920234</v>
      </c>
      <c r="N308" s="3" t="s">
        <v>64</v>
      </c>
      <c r="O308" s="5" t="s">
        <v>493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84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3" t="s">
        <v>66</v>
      </c>
      <c r="BC308" s="3" t="s">
        <v>66</v>
      </c>
      <c r="BD308" s="2">
        <v>731573.99999999895</v>
      </c>
      <c r="BE308" s="2">
        <v>3761569</v>
      </c>
      <c r="BF308" s="4"/>
      <c r="BG308" s="4"/>
      <c r="BH308" s="4"/>
      <c r="BI308" s="2">
        <v>0</v>
      </c>
      <c r="BJ308" s="2">
        <v>0</v>
      </c>
    </row>
    <row r="309" spans="1:62" ht="58" hidden="1" x14ac:dyDescent="0.35">
      <c r="A309" s="2">
        <v>103677</v>
      </c>
      <c r="B309" s="2">
        <v>307</v>
      </c>
      <c r="C309" s="3" t="s">
        <v>57</v>
      </c>
      <c r="D309" s="3" t="s">
        <v>494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17240920234</v>
      </c>
      <c r="L309" s="7">
        <f t="shared" si="9"/>
        <v>17240920234</v>
      </c>
      <c r="M309" s="7">
        <f t="shared" si="10"/>
        <v>17240920234</v>
      </c>
      <c r="N309" s="3" t="s">
        <v>64</v>
      </c>
      <c r="O309" s="5" t="s">
        <v>495</v>
      </c>
      <c r="P309" s="3" t="s">
        <v>71</v>
      </c>
      <c r="Q309" s="3" t="s">
        <v>72</v>
      </c>
      <c r="R309" s="2">
        <v>0</v>
      </c>
      <c r="S309" s="3" t="s">
        <v>66</v>
      </c>
      <c r="T309" s="3" t="s">
        <v>168</v>
      </c>
      <c r="U309" s="3" t="s">
        <v>187</v>
      </c>
      <c r="V309" s="3" t="s">
        <v>187</v>
      </c>
      <c r="W309" s="3" t="s">
        <v>187</v>
      </c>
      <c r="X309" s="3" t="s">
        <v>66</v>
      </c>
      <c r="Y309" s="3" t="s">
        <v>66</v>
      </c>
      <c r="Z309" s="3" t="s">
        <v>66</v>
      </c>
      <c r="AA309" s="3" t="s">
        <v>169</v>
      </c>
      <c r="AB309" s="3" t="s">
        <v>496</v>
      </c>
      <c r="AC309" s="2">
        <v>0</v>
      </c>
      <c r="AD309" s="3" t="s">
        <v>191</v>
      </c>
      <c r="AE309" s="3" t="s">
        <v>71</v>
      </c>
      <c r="AF309" s="3" t="s">
        <v>172</v>
      </c>
      <c r="AG309" s="3" t="s">
        <v>173</v>
      </c>
      <c r="AH309" s="3" t="s">
        <v>231</v>
      </c>
      <c r="AI309" s="3" t="s">
        <v>66</v>
      </c>
      <c r="AJ309" s="3" t="s">
        <v>66</v>
      </c>
      <c r="AK309" s="3" t="s">
        <v>205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3" t="s">
        <v>476</v>
      </c>
      <c r="BC309" s="3" t="s">
        <v>497</v>
      </c>
      <c r="BD309" s="2">
        <v>731572.00000000105</v>
      </c>
      <c r="BE309" s="2">
        <v>3761569</v>
      </c>
      <c r="BF309" s="4"/>
      <c r="BG309" s="4"/>
      <c r="BH309" s="4"/>
      <c r="BI309" s="2">
        <v>0</v>
      </c>
      <c r="BJ309" s="2">
        <v>0</v>
      </c>
    </row>
    <row r="310" spans="1:62" ht="58" hidden="1" x14ac:dyDescent="0.35">
      <c r="A310" s="2">
        <v>103678</v>
      </c>
      <c r="B310" s="2">
        <v>308</v>
      </c>
      <c r="C310" s="3" t="s">
        <v>57</v>
      </c>
      <c r="D310" s="3" t="s">
        <v>498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17240920234</v>
      </c>
      <c r="L310" s="7">
        <f t="shared" si="9"/>
        <v>17240920234</v>
      </c>
      <c r="M310" s="7">
        <f t="shared" si="10"/>
        <v>17240920235</v>
      </c>
      <c r="N310" s="3" t="s">
        <v>179</v>
      </c>
      <c r="O310" s="5" t="s">
        <v>495</v>
      </c>
      <c r="P310" s="3" t="s">
        <v>66</v>
      </c>
      <c r="Q310" s="3" t="s">
        <v>180</v>
      </c>
      <c r="R310" s="2">
        <v>0</v>
      </c>
      <c r="S310" s="3" t="s">
        <v>66</v>
      </c>
      <c r="T310" s="3" t="s">
        <v>168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181</v>
      </c>
      <c r="AB310" s="3" t="s">
        <v>496</v>
      </c>
      <c r="AC310" s="2">
        <v>0</v>
      </c>
      <c r="AD310" s="3" t="s">
        <v>191</v>
      </c>
      <c r="AE310" s="3" t="s">
        <v>71</v>
      </c>
      <c r="AF310" s="3" t="s">
        <v>172</v>
      </c>
      <c r="AG310" s="3" t="s">
        <v>173</v>
      </c>
      <c r="AH310" s="3" t="s">
        <v>231</v>
      </c>
      <c r="AI310" s="3" t="s">
        <v>66</v>
      </c>
      <c r="AJ310" s="3" t="s">
        <v>66</v>
      </c>
      <c r="AK310" s="3" t="s">
        <v>205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3" t="s">
        <v>476</v>
      </c>
      <c r="BC310" s="3" t="s">
        <v>497</v>
      </c>
      <c r="BD310" s="2">
        <v>731572.00000000105</v>
      </c>
      <c r="BE310" s="2">
        <v>3761569</v>
      </c>
      <c r="BF310" s="4"/>
      <c r="BG310" s="4"/>
      <c r="BH310" s="4"/>
      <c r="BI310" s="2">
        <v>0</v>
      </c>
      <c r="BJ310" s="2">
        <v>0</v>
      </c>
    </row>
    <row r="311" spans="1:62" ht="58" hidden="1" x14ac:dyDescent="0.35">
      <c r="A311" s="2">
        <v>103679</v>
      </c>
      <c r="B311" s="2">
        <v>309</v>
      </c>
      <c r="C311" s="3" t="s">
        <v>57</v>
      </c>
      <c r="D311" s="3" t="s">
        <v>498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17240920235</v>
      </c>
      <c r="L311" s="7">
        <f t="shared" si="9"/>
        <v>17240920235</v>
      </c>
      <c r="M311" s="7">
        <f t="shared" si="10"/>
        <v>17240920235</v>
      </c>
      <c r="N311" s="3" t="s">
        <v>179</v>
      </c>
      <c r="O311" s="5" t="s">
        <v>499</v>
      </c>
      <c r="P311" s="3" t="s">
        <v>183</v>
      </c>
      <c r="Q311" s="3" t="s">
        <v>180</v>
      </c>
      <c r="R311" s="2">
        <v>0</v>
      </c>
      <c r="S311" s="3" t="s">
        <v>66</v>
      </c>
      <c r="T311" s="3" t="s">
        <v>168</v>
      </c>
      <c r="U311" s="3" t="s">
        <v>392</v>
      </c>
      <c r="V311" s="3" t="s">
        <v>392</v>
      </c>
      <c r="W311" s="3" t="s">
        <v>392</v>
      </c>
      <c r="X311" s="3" t="s">
        <v>392</v>
      </c>
      <c r="Y311" s="3" t="s">
        <v>66</v>
      </c>
      <c r="Z311" s="3" t="s">
        <v>66</v>
      </c>
      <c r="AA311" s="3" t="s">
        <v>181</v>
      </c>
      <c r="AB311" s="3" t="s">
        <v>496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3" t="s">
        <v>476</v>
      </c>
      <c r="BC311" s="3" t="s">
        <v>497</v>
      </c>
      <c r="BD311" s="2">
        <v>731573</v>
      </c>
      <c r="BE311" s="2">
        <v>3761569</v>
      </c>
      <c r="BF311" s="4"/>
      <c r="BG311" s="4"/>
      <c r="BH311" s="4"/>
      <c r="BI311" s="2">
        <v>0</v>
      </c>
      <c r="BJ311" s="2">
        <v>0</v>
      </c>
    </row>
    <row r="312" spans="1:62" hidden="1" x14ac:dyDescent="0.35">
      <c r="A312" s="2">
        <v>103680</v>
      </c>
      <c r="B312" s="2">
        <v>310</v>
      </c>
      <c r="C312" s="3" t="s">
        <v>57</v>
      </c>
      <c r="D312" s="3" t="s">
        <v>500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17240920233</v>
      </c>
      <c r="L312" s="7">
        <f t="shared" si="9"/>
        <v>17240920235</v>
      </c>
      <c r="M312" s="7">
        <f t="shared" si="10"/>
        <v>17240920237</v>
      </c>
      <c r="N312" s="3" t="s">
        <v>64</v>
      </c>
      <c r="O312" s="5" t="s">
        <v>493</v>
      </c>
      <c r="P312" s="3" t="s">
        <v>66</v>
      </c>
      <c r="Q312" s="3" t="s">
        <v>72</v>
      </c>
      <c r="R312" s="2">
        <v>1</v>
      </c>
      <c r="S312" s="3" t="s">
        <v>73</v>
      </c>
      <c r="T312" s="3" t="s">
        <v>84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76</v>
      </c>
      <c r="AB312" s="3" t="s">
        <v>66</v>
      </c>
      <c r="AC312" s="2">
        <v>0</v>
      </c>
      <c r="AD312" s="3" t="s">
        <v>68</v>
      </c>
      <c r="AE312" s="3" t="s">
        <v>66</v>
      </c>
      <c r="AF312" s="3" t="s">
        <v>66</v>
      </c>
      <c r="AG312" s="3" t="s">
        <v>66</v>
      </c>
      <c r="AH312" s="3" t="s">
        <v>66</v>
      </c>
      <c r="AI312" s="3" t="s">
        <v>66</v>
      </c>
      <c r="AJ312" s="3" t="s">
        <v>66</v>
      </c>
      <c r="AK312" s="3" t="s">
        <v>66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3" t="s">
        <v>66</v>
      </c>
      <c r="BC312" s="3" t="s">
        <v>66</v>
      </c>
      <c r="BD312" s="2">
        <v>731573.99999999895</v>
      </c>
      <c r="BE312" s="2">
        <v>3761569</v>
      </c>
      <c r="BF312" s="4"/>
      <c r="BG312" s="4"/>
      <c r="BH312" s="4"/>
      <c r="BI312" s="2">
        <v>0</v>
      </c>
      <c r="BJ312" s="2">
        <v>0</v>
      </c>
    </row>
    <row r="313" spans="1:62" hidden="1" x14ac:dyDescent="0.35">
      <c r="A313" s="2">
        <v>103681</v>
      </c>
      <c r="B313" s="2">
        <v>311</v>
      </c>
      <c r="C313" s="3" t="s">
        <v>57</v>
      </c>
      <c r="D313" s="3" t="s">
        <v>500</v>
      </c>
      <c r="E313" s="2">
        <v>0</v>
      </c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66</v>
      </c>
      <c r="K313" s="2">
        <v>17240920236</v>
      </c>
      <c r="L313" s="7">
        <f t="shared" si="9"/>
        <v>17240920235</v>
      </c>
      <c r="M313" s="7">
        <f t="shared" si="10"/>
        <v>17240920237</v>
      </c>
      <c r="N313" s="3" t="s">
        <v>64</v>
      </c>
      <c r="O313" s="5" t="s">
        <v>501</v>
      </c>
      <c r="P313" s="3" t="s">
        <v>66</v>
      </c>
      <c r="Q313" s="3" t="s">
        <v>72</v>
      </c>
      <c r="R313" s="2">
        <v>1</v>
      </c>
      <c r="S313" s="3" t="s">
        <v>314</v>
      </c>
      <c r="T313" s="3" t="s">
        <v>84</v>
      </c>
      <c r="U313" s="3" t="s">
        <v>66</v>
      </c>
      <c r="V313" s="3" t="s">
        <v>66</v>
      </c>
      <c r="W313" s="3" t="s">
        <v>66</v>
      </c>
      <c r="X313" s="3" t="s">
        <v>66</v>
      </c>
      <c r="Y313" s="3" t="s">
        <v>66</v>
      </c>
      <c r="Z313" s="3" t="s">
        <v>66</v>
      </c>
      <c r="AA313" s="3" t="s">
        <v>76</v>
      </c>
      <c r="AB313" s="3" t="s">
        <v>66</v>
      </c>
      <c r="AC313" s="2">
        <v>0</v>
      </c>
      <c r="AD313" s="3" t="s">
        <v>68</v>
      </c>
      <c r="AE313" s="3" t="s">
        <v>66</v>
      </c>
      <c r="AF313" s="3" t="s">
        <v>66</v>
      </c>
      <c r="AG313" s="3" t="s">
        <v>66</v>
      </c>
      <c r="AH313" s="3" t="s">
        <v>66</v>
      </c>
      <c r="AI313" s="3" t="s">
        <v>66</v>
      </c>
      <c r="AJ313" s="3" t="s">
        <v>66</v>
      </c>
      <c r="AK313" s="3" t="s">
        <v>66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3" t="s">
        <v>66</v>
      </c>
      <c r="BC313" s="3" t="s">
        <v>66</v>
      </c>
      <c r="BD313" s="2">
        <v>731556</v>
      </c>
      <c r="BE313" s="2">
        <v>3761528</v>
      </c>
      <c r="BF313" s="4"/>
      <c r="BG313" s="4"/>
      <c r="BH313" s="4"/>
      <c r="BI313" s="2">
        <v>0</v>
      </c>
      <c r="BJ313" s="2">
        <v>0</v>
      </c>
    </row>
    <row r="314" spans="1:62" hidden="1" x14ac:dyDescent="0.35">
      <c r="A314" s="2">
        <v>103682</v>
      </c>
      <c r="B314" s="2">
        <v>312</v>
      </c>
      <c r="C314" s="3" t="s">
        <v>57</v>
      </c>
      <c r="D314" s="3" t="s">
        <v>500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69</v>
      </c>
      <c r="K314" s="2">
        <v>17240920237</v>
      </c>
      <c r="L314" s="7">
        <f t="shared" si="9"/>
        <v>17240920237</v>
      </c>
      <c r="M314" s="7">
        <f t="shared" si="10"/>
        <v>17240920237</v>
      </c>
      <c r="N314" s="3" t="s">
        <v>64</v>
      </c>
      <c r="O314" s="5" t="s">
        <v>502</v>
      </c>
      <c r="P314" s="3" t="s">
        <v>71</v>
      </c>
      <c r="Q314" s="3" t="s">
        <v>72</v>
      </c>
      <c r="R314" s="2">
        <v>1</v>
      </c>
      <c r="S314" s="3" t="s">
        <v>73</v>
      </c>
      <c r="T314" s="3" t="s">
        <v>84</v>
      </c>
      <c r="U314" s="3" t="s">
        <v>165</v>
      </c>
      <c r="V314" s="3" t="s">
        <v>165</v>
      </c>
      <c r="W314" s="3" t="s">
        <v>165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77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3" t="s">
        <v>66</v>
      </c>
      <c r="BC314" s="3" t="s">
        <v>66</v>
      </c>
      <c r="BD314" s="2">
        <v>731548</v>
      </c>
      <c r="BE314" s="2">
        <v>3761452</v>
      </c>
      <c r="BF314" s="4"/>
      <c r="BG314" s="4"/>
      <c r="BH314" s="4"/>
      <c r="BI314" s="2">
        <v>0</v>
      </c>
      <c r="BJ314" s="2">
        <v>0</v>
      </c>
    </row>
    <row r="315" spans="1:62" hidden="1" x14ac:dyDescent="0.35">
      <c r="A315" s="2">
        <v>103683</v>
      </c>
      <c r="B315" s="2">
        <v>313</v>
      </c>
      <c r="C315" s="3" t="s">
        <v>57</v>
      </c>
      <c r="D315" s="3" t="s">
        <v>503</v>
      </c>
      <c r="E315" s="4"/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63</v>
      </c>
      <c r="K315" s="2">
        <v>17240920237</v>
      </c>
      <c r="L315" s="7">
        <f t="shared" si="9"/>
        <v>17240920237</v>
      </c>
      <c r="M315" s="7">
        <f t="shared" si="10"/>
        <v>17240920238</v>
      </c>
      <c r="N315" s="3" t="s">
        <v>64</v>
      </c>
      <c r="O315" s="5" t="s">
        <v>502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84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3" t="s">
        <v>66</v>
      </c>
      <c r="BC315" s="3" t="s">
        <v>66</v>
      </c>
      <c r="BD315" s="2">
        <v>731548</v>
      </c>
      <c r="BE315" s="2">
        <v>3761452</v>
      </c>
      <c r="BF315" s="4"/>
      <c r="BG315" s="4"/>
      <c r="BH315" s="4"/>
      <c r="BI315" s="2">
        <v>0</v>
      </c>
      <c r="BJ315" s="2">
        <v>0</v>
      </c>
    </row>
    <row r="316" spans="1:62" ht="58" hidden="1" x14ac:dyDescent="0.35">
      <c r="A316" s="2">
        <v>103684</v>
      </c>
      <c r="B316" s="2">
        <v>314</v>
      </c>
      <c r="C316" s="3" t="s">
        <v>57</v>
      </c>
      <c r="D316" s="3" t="s">
        <v>503</v>
      </c>
      <c r="E316" s="4"/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69</v>
      </c>
      <c r="K316" s="2">
        <v>17240920238</v>
      </c>
      <c r="L316" s="7">
        <f t="shared" si="9"/>
        <v>17240920238</v>
      </c>
      <c r="M316" s="7">
        <f t="shared" si="10"/>
        <v>17240920238</v>
      </c>
      <c r="N316" s="3" t="s">
        <v>64</v>
      </c>
      <c r="O316" s="5" t="s">
        <v>504</v>
      </c>
      <c r="P316" s="3" t="s">
        <v>71</v>
      </c>
      <c r="Q316" s="3" t="s">
        <v>72</v>
      </c>
      <c r="R316" s="2">
        <v>0</v>
      </c>
      <c r="S316" s="3" t="s">
        <v>66</v>
      </c>
      <c r="T316" s="3" t="s">
        <v>168</v>
      </c>
      <c r="U316" s="3" t="s">
        <v>165</v>
      </c>
      <c r="V316" s="3" t="s">
        <v>165</v>
      </c>
      <c r="W316" s="3" t="s">
        <v>165</v>
      </c>
      <c r="X316" s="3" t="s">
        <v>66</v>
      </c>
      <c r="Y316" s="3" t="s">
        <v>66</v>
      </c>
      <c r="Z316" s="3" t="s">
        <v>66</v>
      </c>
      <c r="AA316" s="3" t="s">
        <v>169</v>
      </c>
      <c r="AB316" s="3" t="s">
        <v>505</v>
      </c>
      <c r="AC316" s="2">
        <v>0</v>
      </c>
      <c r="AD316" s="3" t="s">
        <v>191</v>
      </c>
      <c r="AE316" s="3" t="s">
        <v>71</v>
      </c>
      <c r="AF316" s="3" t="s">
        <v>172</v>
      </c>
      <c r="AG316" s="3" t="s">
        <v>173</v>
      </c>
      <c r="AH316" s="3" t="s">
        <v>231</v>
      </c>
      <c r="AI316" s="3" t="s">
        <v>66</v>
      </c>
      <c r="AJ316" s="3" t="s">
        <v>66</v>
      </c>
      <c r="AK316" s="3" t="s">
        <v>205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3" t="s">
        <v>476</v>
      </c>
      <c r="BC316" s="3" t="s">
        <v>506</v>
      </c>
      <c r="BD316" s="2">
        <v>731549.00000000105</v>
      </c>
      <c r="BE316" s="2">
        <v>3761451</v>
      </c>
      <c r="BF316" s="4"/>
      <c r="BG316" s="4"/>
      <c r="BH316" s="4"/>
      <c r="BI316" s="2">
        <v>0</v>
      </c>
      <c r="BJ316" s="2">
        <v>0</v>
      </c>
    </row>
    <row r="317" spans="1:62" ht="58" hidden="1" x14ac:dyDescent="0.35">
      <c r="A317" s="2">
        <v>103685</v>
      </c>
      <c r="B317" s="2">
        <v>315</v>
      </c>
      <c r="C317" s="3" t="s">
        <v>57</v>
      </c>
      <c r="D317" s="3" t="s">
        <v>507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63</v>
      </c>
      <c r="K317" s="2">
        <v>17240920238</v>
      </c>
      <c r="L317" s="7">
        <f t="shared" si="9"/>
        <v>17240920238</v>
      </c>
      <c r="M317" s="7">
        <f t="shared" si="10"/>
        <v>17240920239</v>
      </c>
      <c r="N317" s="3" t="s">
        <v>179</v>
      </c>
      <c r="O317" s="5" t="s">
        <v>504</v>
      </c>
      <c r="P317" s="3" t="s">
        <v>66</v>
      </c>
      <c r="Q317" s="3" t="s">
        <v>180</v>
      </c>
      <c r="R317" s="2">
        <v>0</v>
      </c>
      <c r="S317" s="3" t="s">
        <v>66</v>
      </c>
      <c r="T317" s="3" t="s">
        <v>168</v>
      </c>
      <c r="U317" s="3" t="s">
        <v>66</v>
      </c>
      <c r="V317" s="3" t="s">
        <v>66</v>
      </c>
      <c r="W317" s="3" t="s">
        <v>66</v>
      </c>
      <c r="X317" s="3" t="s">
        <v>66</v>
      </c>
      <c r="Y317" s="3" t="s">
        <v>66</v>
      </c>
      <c r="Z317" s="3" t="s">
        <v>66</v>
      </c>
      <c r="AA317" s="3" t="s">
        <v>181</v>
      </c>
      <c r="AB317" s="3" t="s">
        <v>505</v>
      </c>
      <c r="AC317" s="2">
        <v>0</v>
      </c>
      <c r="AD317" s="3" t="s">
        <v>191</v>
      </c>
      <c r="AE317" s="3" t="s">
        <v>71</v>
      </c>
      <c r="AF317" s="3" t="s">
        <v>172</v>
      </c>
      <c r="AG317" s="3" t="s">
        <v>173</v>
      </c>
      <c r="AH317" s="3" t="s">
        <v>231</v>
      </c>
      <c r="AI317" s="3" t="s">
        <v>66</v>
      </c>
      <c r="AJ317" s="3" t="s">
        <v>66</v>
      </c>
      <c r="AK317" s="3" t="s">
        <v>205</v>
      </c>
      <c r="AL317" s="3" t="s">
        <v>66</v>
      </c>
      <c r="AM317" s="3" t="s">
        <v>66</v>
      </c>
      <c r="AN317" s="3" t="s">
        <v>66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3" t="s">
        <v>476</v>
      </c>
      <c r="BC317" s="3" t="s">
        <v>506</v>
      </c>
      <c r="BD317" s="2">
        <v>731549.00000000105</v>
      </c>
      <c r="BE317" s="2">
        <v>3761451</v>
      </c>
      <c r="BF317" s="4"/>
      <c r="BG317" s="4"/>
      <c r="BH317" s="4"/>
      <c r="BI317" s="2">
        <v>0</v>
      </c>
      <c r="BJ317" s="2">
        <v>0</v>
      </c>
    </row>
    <row r="318" spans="1:62" ht="58" hidden="1" x14ac:dyDescent="0.35">
      <c r="A318" s="2">
        <v>103686</v>
      </c>
      <c r="B318" s="2">
        <v>316</v>
      </c>
      <c r="C318" s="3" t="s">
        <v>57</v>
      </c>
      <c r="D318" s="3" t="s">
        <v>507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69</v>
      </c>
      <c r="K318" s="2">
        <v>17240920239</v>
      </c>
      <c r="L318" s="7">
        <f t="shared" si="9"/>
        <v>17240920239</v>
      </c>
      <c r="M318" s="7">
        <f t="shared" si="10"/>
        <v>17240920239</v>
      </c>
      <c r="N318" s="3" t="s">
        <v>179</v>
      </c>
      <c r="O318" s="5" t="s">
        <v>508</v>
      </c>
      <c r="P318" s="3" t="s">
        <v>183</v>
      </c>
      <c r="Q318" s="3" t="s">
        <v>180</v>
      </c>
      <c r="R318" s="2">
        <v>0</v>
      </c>
      <c r="S318" s="3" t="s">
        <v>66</v>
      </c>
      <c r="T318" s="3" t="s">
        <v>168</v>
      </c>
      <c r="U318" s="3" t="s">
        <v>195</v>
      </c>
      <c r="V318" s="3" t="s">
        <v>195</v>
      </c>
      <c r="W318" s="3" t="s">
        <v>195</v>
      </c>
      <c r="X318" s="3" t="s">
        <v>195</v>
      </c>
      <c r="Y318" s="3" t="s">
        <v>66</v>
      </c>
      <c r="Z318" s="3" t="s">
        <v>66</v>
      </c>
      <c r="AA318" s="3" t="s">
        <v>181</v>
      </c>
      <c r="AB318" s="3" t="s">
        <v>505</v>
      </c>
      <c r="AC318" s="2">
        <v>0</v>
      </c>
      <c r="AD318" s="3" t="s">
        <v>191</v>
      </c>
      <c r="AE318" s="3" t="s">
        <v>71</v>
      </c>
      <c r="AF318" s="3" t="s">
        <v>172</v>
      </c>
      <c r="AG318" s="3" t="s">
        <v>173</v>
      </c>
      <c r="AH318" s="3" t="s">
        <v>231</v>
      </c>
      <c r="AI318" s="3" t="s">
        <v>66</v>
      </c>
      <c r="AJ318" s="3" t="s">
        <v>66</v>
      </c>
      <c r="AK318" s="3" t="s">
        <v>205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3" t="s">
        <v>476</v>
      </c>
      <c r="BC318" s="3" t="s">
        <v>506</v>
      </c>
      <c r="BD318" s="2">
        <v>731549.00000000105</v>
      </c>
      <c r="BE318" s="2">
        <v>3761452</v>
      </c>
      <c r="BF318" s="4"/>
      <c r="BG318" s="4"/>
      <c r="BH318" s="4"/>
      <c r="BI318" s="2">
        <v>0</v>
      </c>
      <c r="BJ318" s="2">
        <v>0</v>
      </c>
    </row>
    <row r="319" spans="1:62" hidden="1" x14ac:dyDescent="0.35">
      <c r="A319" s="2">
        <v>103687</v>
      </c>
      <c r="B319" s="2">
        <v>317</v>
      </c>
      <c r="C319" s="3" t="s">
        <v>57</v>
      </c>
      <c r="D319" s="3" t="s">
        <v>509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63</v>
      </c>
      <c r="K319" s="2">
        <v>17160920081</v>
      </c>
      <c r="L319" s="7">
        <f t="shared" si="9"/>
        <v>17240920239</v>
      </c>
      <c r="M319" s="7">
        <f t="shared" si="10"/>
        <v>17280920308</v>
      </c>
      <c r="N319" s="3" t="s">
        <v>64</v>
      </c>
      <c r="O319" s="5" t="s">
        <v>510</v>
      </c>
      <c r="P319" s="3" t="s">
        <v>66</v>
      </c>
      <c r="Q319" s="3" t="s">
        <v>72</v>
      </c>
      <c r="R319" s="2">
        <v>1</v>
      </c>
      <c r="S319" s="3" t="s">
        <v>83</v>
      </c>
      <c r="T319" s="3" t="s">
        <v>84</v>
      </c>
      <c r="U319" s="3" t="s">
        <v>66</v>
      </c>
      <c r="V319" s="3" t="s">
        <v>66</v>
      </c>
      <c r="W319" s="3" t="s">
        <v>66</v>
      </c>
      <c r="X319" s="3" t="s">
        <v>66</v>
      </c>
      <c r="Y319" s="3" t="s">
        <v>66</v>
      </c>
      <c r="Z319" s="3" t="s">
        <v>66</v>
      </c>
      <c r="AA319" s="3" t="s">
        <v>76</v>
      </c>
      <c r="AB319" s="3" t="s">
        <v>66</v>
      </c>
      <c r="AC319" s="2">
        <v>0</v>
      </c>
      <c r="AD319" s="3" t="s">
        <v>68</v>
      </c>
      <c r="AE319" s="3" t="s">
        <v>66</v>
      </c>
      <c r="AF319" s="3" t="s">
        <v>66</v>
      </c>
      <c r="AG319" s="3" t="s">
        <v>66</v>
      </c>
      <c r="AH319" s="3" t="s">
        <v>66</v>
      </c>
      <c r="AI319" s="3" t="s">
        <v>66</v>
      </c>
      <c r="AJ319" s="3" t="s">
        <v>66</v>
      </c>
      <c r="AK319" s="3" t="s">
        <v>66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3" t="s">
        <v>66</v>
      </c>
      <c r="BC319" s="3" t="s">
        <v>66</v>
      </c>
      <c r="BD319" s="2">
        <v>730924</v>
      </c>
      <c r="BE319" s="2">
        <v>3763134</v>
      </c>
      <c r="BF319" s="4"/>
      <c r="BG319" s="4"/>
      <c r="BH319" s="4"/>
      <c r="BI319" s="2">
        <v>0</v>
      </c>
      <c r="BJ319" s="2">
        <v>0</v>
      </c>
    </row>
    <row r="320" spans="1:62" hidden="1" x14ac:dyDescent="0.35">
      <c r="A320" s="2">
        <v>103688</v>
      </c>
      <c r="B320" s="2">
        <v>318</v>
      </c>
      <c r="C320" s="3" t="s">
        <v>57</v>
      </c>
      <c r="D320" s="3" t="s">
        <v>509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69</v>
      </c>
      <c r="K320" s="2">
        <v>17280920308</v>
      </c>
      <c r="L320" s="7">
        <f t="shared" si="9"/>
        <v>17280920308</v>
      </c>
      <c r="M320" s="7">
        <f t="shared" si="10"/>
        <v>17280920308</v>
      </c>
      <c r="N320" s="3" t="s">
        <v>64</v>
      </c>
      <c r="O320" s="5" t="s">
        <v>511</v>
      </c>
      <c r="P320" s="3" t="s">
        <v>71</v>
      </c>
      <c r="Q320" s="3" t="s">
        <v>72</v>
      </c>
      <c r="R320" s="2">
        <v>1</v>
      </c>
      <c r="S320" s="3" t="s">
        <v>73</v>
      </c>
      <c r="T320" s="3" t="s">
        <v>84</v>
      </c>
      <c r="U320" s="3" t="s">
        <v>269</v>
      </c>
      <c r="V320" s="3" t="s">
        <v>269</v>
      </c>
      <c r="W320" s="3" t="s">
        <v>269</v>
      </c>
      <c r="X320" s="3" t="s">
        <v>66</v>
      </c>
      <c r="Y320" s="3" t="s">
        <v>66</v>
      </c>
      <c r="Z320" s="3" t="s">
        <v>66</v>
      </c>
      <c r="AA320" s="3" t="s">
        <v>76</v>
      </c>
      <c r="AB320" s="3" t="s">
        <v>66</v>
      </c>
      <c r="AC320" s="2">
        <v>0</v>
      </c>
      <c r="AD320" s="3" t="s">
        <v>68</v>
      </c>
      <c r="AE320" s="3" t="s">
        <v>66</v>
      </c>
      <c r="AF320" s="3" t="s">
        <v>66</v>
      </c>
      <c r="AG320" s="3" t="s">
        <v>66</v>
      </c>
      <c r="AH320" s="3" t="s">
        <v>66</v>
      </c>
      <c r="AI320" s="3" t="s">
        <v>66</v>
      </c>
      <c r="AJ320" s="3" t="s">
        <v>66</v>
      </c>
      <c r="AK320" s="3" t="s">
        <v>66</v>
      </c>
      <c r="AL320" s="3" t="s">
        <v>66</v>
      </c>
      <c r="AM320" s="3" t="s">
        <v>66</v>
      </c>
      <c r="AN320" s="3" t="s">
        <v>87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3" t="s">
        <v>66</v>
      </c>
      <c r="BC320" s="3" t="s">
        <v>66</v>
      </c>
      <c r="BD320" s="2">
        <v>731602</v>
      </c>
      <c r="BE320" s="2">
        <v>3762628</v>
      </c>
      <c r="BF320" s="4"/>
      <c r="BG320" s="4"/>
      <c r="BH320" s="4"/>
      <c r="BI320" s="2">
        <v>0</v>
      </c>
      <c r="BJ320" s="2">
        <v>0</v>
      </c>
    </row>
    <row r="321" spans="1:62" hidden="1" x14ac:dyDescent="0.35">
      <c r="A321" s="2">
        <v>103689</v>
      </c>
      <c r="B321" s="2">
        <v>319</v>
      </c>
      <c r="C321" s="3" t="s">
        <v>57</v>
      </c>
      <c r="D321" s="3" t="s">
        <v>512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63</v>
      </c>
      <c r="K321" s="2">
        <v>17280920308</v>
      </c>
      <c r="L321" s="7">
        <f t="shared" si="9"/>
        <v>17280920308</v>
      </c>
      <c r="M321" s="7">
        <f t="shared" si="10"/>
        <v>17280920309</v>
      </c>
      <c r="N321" s="3" t="s">
        <v>64</v>
      </c>
      <c r="O321" s="5" t="s">
        <v>511</v>
      </c>
      <c r="P321" s="3" t="s">
        <v>66</v>
      </c>
      <c r="Q321" s="3" t="s">
        <v>72</v>
      </c>
      <c r="R321" s="2">
        <v>1</v>
      </c>
      <c r="S321" s="3" t="s">
        <v>73</v>
      </c>
      <c r="T321" s="3" t="s">
        <v>84</v>
      </c>
      <c r="U321" s="3" t="s">
        <v>66</v>
      </c>
      <c r="V321" s="3" t="s">
        <v>66</v>
      </c>
      <c r="W321" s="3" t="s">
        <v>66</v>
      </c>
      <c r="X321" s="3" t="s">
        <v>66</v>
      </c>
      <c r="Y321" s="3" t="s">
        <v>66</v>
      </c>
      <c r="Z321" s="3" t="s">
        <v>66</v>
      </c>
      <c r="AA321" s="3" t="s">
        <v>76</v>
      </c>
      <c r="AB321" s="3" t="s">
        <v>66</v>
      </c>
      <c r="AC321" s="2">
        <v>0</v>
      </c>
      <c r="AD321" s="3" t="s">
        <v>68</v>
      </c>
      <c r="AE321" s="3" t="s">
        <v>66</v>
      </c>
      <c r="AF321" s="3" t="s">
        <v>66</v>
      </c>
      <c r="AG321" s="3" t="s">
        <v>66</v>
      </c>
      <c r="AH321" s="3" t="s">
        <v>66</v>
      </c>
      <c r="AI321" s="3" t="s">
        <v>66</v>
      </c>
      <c r="AJ321" s="3" t="s">
        <v>66</v>
      </c>
      <c r="AK321" s="3" t="s">
        <v>66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3" t="s">
        <v>66</v>
      </c>
      <c r="BC321" s="3" t="s">
        <v>66</v>
      </c>
      <c r="BD321" s="2">
        <v>731602</v>
      </c>
      <c r="BE321" s="2">
        <v>3762628</v>
      </c>
      <c r="BF321" s="4"/>
      <c r="BG321" s="4"/>
      <c r="BH321" s="4"/>
      <c r="BI321" s="2">
        <v>0</v>
      </c>
      <c r="BJ321" s="2">
        <v>0</v>
      </c>
    </row>
    <row r="322" spans="1:62" ht="58" hidden="1" x14ac:dyDescent="0.35">
      <c r="A322" s="2">
        <v>103690</v>
      </c>
      <c r="B322" s="2">
        <v>320</v>
      </c>
      <c r="C322" s="3" t="s">
        <v>57</v>
      </c>
      <c r="D322" s="3" t="s">
        <v>512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69</v>
      </c>
      <c r="K322" s="2">
        <v>17280920309</v>
      </c>
      <c r="L322" s="7">
        <f t="shared" si="9"/>
        <v>17280920309</v>
      </c>
      <c r="M322" s="7">
        <f t="shared" si="10"/>
        <v>17280920309</v>
      </c>
      <c r="N322" s="3" t="s">
        <v>64</v>
      </c>
      <c r="O322" s="5" t="s">
        <v>513</v>
      </c>
      <c r="P322" s="3" t="s">
        <v>71</v>
      </c>
      <c r="Q322" s="3" t="s">
        <v>72</v>
      </c>
      <c r="R322" s="2">
        <v>0</v>
      </c>
      <c r="S322" s="3" t="s">
        <v>66</v>
      </c>
      <c r="T322" s="3" t="s">
        <v>168</v>
      </c>
      <c r="U322" s="3" t="s">
        <v>165</v>
      </c>
      <c r="V322" s="3" t="s">
        <v>165</v>
      </c>
      <c r="W322" s="3" t="s">
        <v>165</v>
      </c>
      <c r="X322" s="3" t="s">
        <v>66</v>
      </c>
      <c r="Y322" s="3" t="s">
        <v>66</v>
      </c>
      <c r="Z322" s="3" t="s">
        <v>66</v>
      </c>
      <c r="AA322" s="3" t="s">
        <v>169</v>
      </c>
      <c r="AB322" s="3" t="s">
        <v>514</v>
      </c>
      <c r="AC322" s="2">
        <v>0</v>
      </c>
      <c r="AD322" s="3" t="s">
        <v>191</v>
      </c>
      <c r="AE322" s="3" t="s">
        <v>71</v>
      </c>
      <c r="AF322" s="3" t="s">
        <v>172</v>
      </c>
      <c r="AG322" s="3" t="s">
        <v>173</v>
      </c>
      <c r="AH322" s="3" t="s">
        <v>217</v>
      </c>
      <c r="AI322" s="3" t="s">
        <v>66</v>
      </c>
      <c r="AJ322" s="3" t="s">
        <v>66</v>
      </c>
      <c r="AK322" s="3" t="s">
        <v>205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3" t="s">
        <v>410</v>
      </c>
      <c r="BC322" s="3" t="s">
        <v>515</v>
      </c>
      <c r="BD322" s="2">
        <v>731602</v>
      </c>
      <c r="BE322" s="2">
        <v>3762630</v>
      </c>
      <c r="BF322" s="4"/>
      <c r="BG322" s="4"/>
      <c r="BH322" s="4"/>
      <c r="BI322" s="2">
        <v>0</v>
      </c>
      <c r="BJ322" s="2">
        <v>0</v>
      </c>
    </row>
    <row r="323" spans="1:62" ht="58" hidden="1" x14ac:dyDescent="0.35">
      <c r="A323" s="2">
        <v>103691</v>
      </c>
      <c r="B323" s="2">
        <v>321</v>
      </c>
      <c r="C323" s="3" t="s">
        <v>57</v>
      </c>
      <c r="D323" s="3" t="s">
        <v>516</v>
      </c>
      <c r="E323" s="4"/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63</v>
      </c>
      <c r="K323" s="2">
        <v>17280920309</v>
      </c>
      <c r="L323" s="7">
        <f t="shared" si="9"/>
        <v>17280920309</v>
      </c>
      <c r="M323" s="7">
        <f t="shared" si="10"/>
        <v>17280920310</v>
      </c>
      <c r="N323" s="3" t="s">
        <v>179</v>
      </c>
      <c r="O323" s="5" t="s">
        <v>513</v>
      </c>
      <c r="P323" s="3" t="s">
        <v>66</v>
      </c>
      <c r="Q323" s="3" t="s">
        <v>180</v>
      </c>
      <c r="R323" s="2">
        <v>0</v>
      </c>
      <c r="S323" s="3" t="s">
        <v>66</v>
      </c>
      <c r="T323" s="3" t="s">
        <v>168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181</v>
      </c>
      <c r="AB323" s="3" t="s">
        <v>514</v>
      </c>
      <c r="AC323" s="2">
        <v>0</v>
      </c>
      <c r="AD323" s="3" t="s">
        <v>191</v>
      </c>
      <c r="AE323" s="3" t="s">
        <v>71</v>
      </c>
      <c r="AF323" s="3" t="s">
        <v>172</v>
      </c>
      <c r="AG323" s="3" t="s">
        <v>173</v>
      </c>
      <c r="AH323" s="3" t="s">
        <v>217</v>
      </c>
      <c r="AI323" s="3" t="s">
        <v>66</v>
      </c>
      <c r="AJ323" s="3" t="s">
        <v>66</v>
      </c>
      <c r="AK323" s="3" t="s">
        <v>205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3" t="s">
        <v>410</v>
      </c>
      <c r="BC323" s="3" t="s">
        <v>515</v>
      </c>
      <c r="BD323" s="2">
        <v>731602</v>
      </c>
      <c r="BE323" s="2">
        <v>3762630</v>
      </c>
      <c r="BF323" s="4"/>
      <c r="BG323" s="4"/>
      <c r="BH323" s="4"/>
      <c r="BI323" s="2">
        <v>0</v>
      </c>
      <c r="BJ323" s="2">
        <v>0</v>
      </c>
    </row>
    <row r="324" spans="1:62" ht="58" hidden="1" x14ac:dyDescent="0.35">
      <c r="A324" s="2">
        <v>103692</v>
      </c>
      <c r="B324" s="2">
        <v>322</v>
      </c>
      <c r="C324" s="3" t="s">
        <v>57</v>
      </c>
      <c r="D324" s="3" t="s">
        <v>516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17280920310</v>
      </c>
      <c r="L324" s="7">
        <f t="shared" ref="L324:L387" si="11">IF(J324="E",K324,L323)</f>
        <v>17280920310</v>
      </c>
      <c r="M324" s="7">
        <f t="shared" si="10"/>
        <v>17280920310</v>
      </c>
      <c r="N324" s="3" t="s">
        <v>179</v>
      </c>
      <c r="O324" s="5" t="s">
        <v>517</v>
      </c>
      <c r="P324" s="3" t="s">
        <v>183</v>
      </c>
      <c r="Q324" s="3" t="s">
        <v>180</v>
      </c>
      <c r="R324" s="2">
        <v>0</v>
      </c>
      <c r="S324" s="3" t="s">
        <v>66</v>
      </c>
      <c r="T324" s="3" t="s">
        <v>168</v>
      </c>
      <c r="U324" s="3" t="s">
        <v>195</v>
      </c>
      <c r="V324" s="3" t="s">
        <v>195</v>
      </c>
      <c r="W324" s="3" t="s">
        <v>195</v>
      </c>
      <c r="X324" s="3" t="s">
        <v>195</v>
      </c>
      <c r="Y324" s="3" t="s">
        <v>66</v>
      </c>
      <c r="Z324" s="3" t="s">
        <v>66</v>
      </c>
      <c r="AA324" s="3" t="s">
        <v>181</v>
      </c>
      <c r="AB324" s="3" t="s">
        <v>514</v>
      </c>
      <c r="AC324" s="2">
        <v>0</v>
      </c>
      <c r="AD324" s="3" t="s">
        <v>191</v>
      </c>
      <c r="AE324" s="3" t="s">
        <v>71</v>
      </c>
      <c r="AF324" s="3" t="s">
        <v>172</v>
      </c>
      <c r="AG324" s="3" t="s">
        <v>173</v>
      </c>
      <c r="AH324" s="3" t="s">
        <v>217</v>
      </c>
      <c r="AI324" s="3" t="s">
        <v>66</v>
      </c>
      <c r="AJ324" s="3" t="s">
        <v>66</v>
      </c>
      <c r="AK324" s="3" t="s">
        <v>205</v>
      </c>
      <c r="AL324" s="3" t="s">
        <v>66</v>
      </c>
      <c r="AM324" s="3" t="s">
        <v>66</v>
      </c>
      <c r="AN324" s="3" t="s">
        <v>66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3" t="s">
        <v>410</v>
      </c>
      <c r="BC324" s="3" t="s">
        <v>515</v>
      </c>
      <c r="BD324" s="2">
        <v>731602</v>
      </c>
      <c r="BE324" s="2">
        <v>3762629</v>
      </c>
      <c r="BF324" s="4"/>
      <c r="BG324" s="4"/>
      <c r="BH324" s="4"/>
      <c r="BI324" s="2">
        <v>0</v>
      </c>
      <c r="BJ324" s="2">
        <v>0</v>
      </c>
    </row>
    <row r="325" spans="1:62" hidden="1" x14ac:dyDescent="0.35">
      <c r="A325" s="2">
        <v>103693</v>
      </c>
      <c r="B325" s="2">
        <v>323</v>
      </c>
      <c r="C325" s="3" t="s">
        <v>57</v>
      </c>
      <c r="D325" s="3" t="s">
        <v>518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17280920308</v>
      </c>
      <c r="L325" s="7">
        <f t="shared" si="11"/>
        <v>17280920310</v>
      </c>
      <c r="M325" s="7">
        <f t="shared" si="10"/>
        <v>17280920315</v>
      </c>
      <c r="N325" s="3" t="s">
        <v>64</v>
      </c>
      <c r="O325" s="5" t="s">
        <v>511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3" t="s">
        <v>66</v>
      </c>
      <c r="BC325" s="3" t="s">
        <v>66</v>
      </c>
      <c r="BD325" s="2">
        <v>731602</v>
      </c>
      <c r="BE325" s="2">
        <v>3762628</v>
      </c>
      <c r="BF325" s="4"/>
      <c r="BG325" s="4"/>
      <c r="BH325" s="4"/>
      <c r="BI325" s="2">
        <v>0</v>
      </c>
      <c r="BJ325" s="2">
        <v>0</v>
      </c>
    </row>
    <row r="326" spans="1:62" hidden="1" x14ac:dyDescent="0.35">
      <c r="A326" s="2">
        <v>103694</v>
      </c>
      <c r="B326" s="2">
        <v>324</v>
      </c>
      <c r="C326" s="3" t="s">
        <v>57</v>
      </c>
      <c r="D326" s="3" t="s">
        <v>518</v>
      </c>
      <c r="E326" s="2">
        <v>0</v>
      </c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66</v>
      </c>
      <c r="K326" s="2">
        <v>17280920311</v>
      </c>
      <c r="L326" s="7">
        <f t="shared" si="11"/>
        <v>17280920310</v>
      </c>
      <c r="M326" s="7">
        <f t="shared" si="10"/>
        <v>17280920315</v>
      </c>
      <c r="N326" s="3" t="s">
        <v>64</v>
      </c>
      <c r="O326" s="5" t="s">
        <v>519</v>
      </c>
      <c r="P326" s="3" t="s">
        <v>66</v>
      </c>
      <c r="Q326" s="3" t="s">
        <v>72</v>
      </c>
      <c r="R326" s="2">
        <v>1</v>
      </c>
      <c r="S326" s="3" t="s">
        <v>73</v>
      </c>
      <c r="T326" s="3" t="s">
        <v>84</v>
      </c>
      <c r="U326" s="3" t="s">
        <v>66</v>
      </c>
      <c r="V326" s="3" t="s">
        <v>66</v>
      </c>
      <c r="W326" s="3" t="s">
        <v>66</v>
      </c>
      <c r="X326" s="3" t="s">
        <v>66</v>
      </c>
      <c r="Y326" s="3" t="s">
        <v>66</v>
      </c>
      <c r="Z326" s="3" t="s">
        <v>66</v>
      </c>
      <c r="AA326" s="3" t="s">
        <v>76</v>
      </c>
      <c r="AB326" s="3" t="s">
        <v>66</v>
      </c>
      <c r="AC326" s="2">
        <v>0</v>
      </c>
      <c r="AD326" s="3" t="s">
        <v>68</v>
      </c>
      <c r="AE326" s="3" t="s">
        <v>66</v>
      </c>
      <c r="AF326" s="3" t="s">
        <v>66</v>
      </c>
      <c r="AG326" s="3" t="s">
        <v>66</v>
      </c>
      <c r="AH326" s="3" t="s">
        <v>66</v>
      </c>
      <c r="AI326" s="3" t="s">
        <v>66</v>
      </c>
      <c r="AJ326" s="3" t="s">
        <v>66</v>
      </c>
      <c r="AK326" s="3" t="s">
        <v>66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3" t="s">
        <v>66</v>
      </c>
      <c r="BC326" s="3" t="s">
        <v>66</v>
      </c>
      <c r="BD326" s="2">
        <v>731573</v>
      </c>
      <c r="BE326" s="2">
        <v>3762592</v>
      </c>
      <c r="BF326" s="4"/>
      <c r="BG326" s="4"/>
      <c r="BH326" s="4"/>
      <c r="BI326" s="2">
        <v>0</v>
      </c>
      <c r="BJ326" s="2">
        <v>0</v>
      </c>
    </row>
    <row r="327" spans="1:62" hidden="1" x14ac:dyDescent="0.35">
      <c r="A327" s="2">
        <v>103695</v>
      </c>
      <c r="B327" s="2">
        <v>325</v>
      </c>
      <c r="C327" s="3" t="s">
        <v>57</v>
      </c>
      <c r="D327" s="3" t="s">
        <v>518</v>
      </c>
      <c r="E327" s="2">
        <v>1</v>
      </c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66</v>
      </c>
      <c r="K327" s="2">
        <v>17280920312</v>
      </c>
      <c r="L327" s="7">
        <f t="shared" si="11"/>
        <v>17280920310</v>
      </c>
      <c r="M327" s="7">
        <f t="shared" si="10"/>
        <v>17280920315</v>
      </c>
      <c r="N327" s="3" t="s">
        <v>64</v>
      </c>
      <c r="O327" s="5" t="s">
        <v>520</v>
      </c>
      <c r="P327" s="3" t="s">
        <v>66</v>
      </c>
      <c r="Q327" s="3" t="s">
        <v>72</v>
      </c>
      <c r="R327" s="2">
        <v>1</v>
      </c>
      <c r="S327" s="3" t="s">
        <v>73</v>
      </c>
      <c r="T327" s="3" t="s">
        <v>84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76</v>
      </c>
      <c r="AB327" s="3" t="s">
        <v>66</v>
      </c>
      <c r="AC327" s="2">
        <v>0</v>
      </c>
      <c r="AD327" s="3" t="s">
        <v>68</v>
      </c>
      <c r="AE327" s="3" t="s">
        <v>66</v>
      </c>
      <c r="AF327" s="3" t="s">
        <v>66</v>
      </c>
      <c r="AG327" s="3" t="s">
        <v>66</v>
      </c>
      <c r="AH327" s="3" t="s">
        <v>66</v>
      </c>
      <c r="AI327" s="3" t="s">
        <v>66</v>
      </c>
      <c r="AJ327" s="3" t="s">
        <v>66</v>
      </c>
      <c r="AK327" s="3" t="s">
        <v>66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3" t="s">
        <v>66</v>
      </c>
      <c r="BC327" s="3" t="s">
        <v>66</v>
      </c>
      <c r="BD327" s="2">
        <v>731552.00000000105</v>
      </c>
      <c r="BE327" s="2">
        <v>3762558</v>
      </c>
      <c r="BF327" s="4"/>
      <c r="BG327" s="4"/>
      <c r="BH327" s="4"/>
      <c r="BI327" s="2">
        <v>0</v>
      </c>
      <c r="BJ327" s="2">
        <v>0</v>
      </c>
    </row>
    <row r="328" spans="1:62" hidden="1" x14ac:dyDescent="0.35">
      <c r="A328" s="2">
        <v>103696</v>
      </c>
      <c r="B328" s="2">
        <v>326</v>
      </c>
      <c r="C328" s="3" t="s">
        <v>57</v>
      </c>
      <c r="D328" s="3" t="s">
        <v>518</v>
      </c>
      <c r="E328" s="2">
        <v>2</v>
      </c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66</v>
      </c>
      <c r="K328" s="2">
        <v>17280920313</v>
      </c>
      <c r="L328" s="7">
        <f t="shared" si="11"/>
        <v>17280920310</v>
      </c>
      <c r="M328" s="7">
        <f t="shared" si="10"/>
        <v>17280920315</v>
      </c>
      <c r="N328" s="3" t="s">
        <v>64</v>
      </c>
      <c r="O328" s="5" t="s">
        <v>521</v>
      </c>
      <c r="P328" s="3" t="s">
        <v>66</v>
      </c>
      <c r="Q328" s="3" t="s">
        <v>72</v>
      </c>
      <c r="R328" s="2">
        <v>1</v>
      </c>
      <c r="S328" s="3" t="s">
        <v>73</v>
      </c>
      <c r="T328" s="3" t="s">
        <v>84</v>
      </c>
      <c r="U328" s="3" t="s">
        <v>66</v>
      </c>
      <c r="V328" s="3" t="s">
        <v>66</v>
      </c>
      <c r="W328" s="3" t="s">
        <v>66</v>
      </c>
      <c r="X328" s="3" t="s">
        <v>66</v>
      </c>
      <c r="Y328" s="3" t="s">
        <v>66</v>
      </c>
      <c r="Z328" s="3" t="s">
        <v>66</v>
      </c>
      <c r="AA328" s="3" t="s">
        <v>76</v>
      </c>
      <c r="AB328" s="3" t="s">
        <v>66</v>
      </c>
      <c r="AC328" s="2">
        <v>0</v>
      </c>
      <c r="AD328" s="3" t="s">
        <v>68</v>
      </c>
      <c r="AE328" s="3" t="s">
        <v>66</v>
      </c>
      <c r="AF328" s="3" t="s">
        <v>66</v>
      </c>
      <c r="AG328" s="3" t="s">
        <v>66</v>
      </c>
      <c r="AH328" s="3" t="s">
        <v>66</v>
      </c>
      <c r="AI328" s="3" t="s">
        <v>66</v>
      </c>
      <c r="AJ328" s="3" t="s">
        <v>66</v>
      </c>
      <c r="AK328" s="3" t="s">
        <v>66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3" t="s">
        <v>66</v>
      </c>
      <c r="BC328" s="3" t="s">
        <v>66</v>
      </c>
      <c r="BD328" s="2">
        <v>731527</v>
      </c>
      <c r="BE328" s="2">
        <v>3762523</v>
      </c>
      <c r="BF328" s="4"/>
      <c r="BG328" s="4"/>
      <c r="BH328" s="4"/>
      <c r="BI328" s="2">
        <v>0</v>
      </c>
      <c r="BJ328" s="2">
        <v>0</v>
      </c>
    </row>
    <row r="329" spans="1:62" hidden="1" x14ac:dyDescent="0.35">
      <c r="A329" s="2">
        <v>103697</v>
      </c>
      <c r="B329" s="2">
        <v>327</v>
      </c>
      <c r="C329" s="3" t="s">
        <v>57</v>
      </c>
      <c r="D329" s="3" t="s">
        <v>518</v>
      </c>
      <c r="E329" s="2">
        <v>3</v>
      </c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66</v>
      </c>
      <c r="K329" s="2">
        <v>17280920314</v>
      </c>
      <c r="L329" s="7">
        <f t="shared" si="11"/>
        <v>17280920310</v>
      </c>
      <c r="M329" s="7">
        <f t="shared" si="10"/>
        <v>17280920315</v>
      </c>
      <c r="N329" s="3" t="s">
        <v>64</v>
      </c>
      <c r="O329" s="5" t="s">
        <v>522</v>
      </c>
      <c r="P329" s="3" t="s">
        <v>66</v>
      </c>
      <c r="Q329" s="3" t="s">
        <v>72</v>
      </c>
      <c r="R329" s="2">
        <v>1</v>
      </c>
      <c r="S329" s="3" t="s">
        <v>73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3" t="s">
        <v>66</v>
      </c>
      <c r="BC329" s="3" t="s">
        <v>66</v>
      </c>
      <c r="BD329" s="2">
        <v>731491.00000000105</v>
      </c>
      <c r="BE329" s="2">
        <v>3762483</v>
      </c>
      <c r="BF329" s="4"/>
      <c r="BG329" s="4"/>
      <c r="BH329" s="4"/>
      <c r="BI329" s="2">
        <v>0</v>
      </c>
      <c r="BJ329" s="2">
        <v>0</v>
      </c>
    </row>
    <row r="330" spans="1:62" hidden="1" x14ac:dyDescent="0.35">
      <c r="A330" s="2">
        <v>103698</v>
      </c>
      <c r="B330" s="2">
        <v>328</v>
      </c>
      <c r="C330" s="3" t="s">
        <v>57</v>
      </c>
      <c r="D330" s="3" t="s">
        <v>518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17280920315</v>
      </c>
      <c r="L330" s="7">
        <f t="shared" si="11"/>
        <v>17280920315</v>
      </c>
      <c r="M330" s="7">
        <f t="shared" si="10"/>
        <v>17280920315</v>
      </c>
      <c r="N330" s="3" t="s">
        <v>64</v>
      </c>
      <c r="O330" s="5" t="s">
        <v>523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165</v>
      </c>
      <c r="V330" s="3" t="s">
        <v>165</v>
      </c>
      <c r="W330" s="3" t="s">
        <v>165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66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3" t="s">
        <v>66</v>
      </c>
      <c r="BC330" s="3" t="s">
        <v>66</v>
      </c>
      <c r="BD330" s="2">
        <v>731520</v>
      </c>
      <c r="BE330" s="2">
        <v>3762406</v>
      </c>
      <c r="BF330" s="4"/>
      <c r="BG330" s="4"/>
      <c r="BH330" s="4"/>
      <c r="BI330" s="2">
        <v>0</v>
      </c>
      <c r="BJ330" s="2">
        <v>0</v>
      </c>
    </row>
    <row r="331" spans="1:62" hidden="1" x14ac:dyDescent="0.35">
      <c r="A331" s="2">
        <v>103699</v>
      </c>
      <c r="B331" s="2">
        <v>329</v>
      </c>
      <c r="C331" s="3" t="s">
        <v>57</v>
      </c>
      <c r="D331" s="3" t="s">
        <v>524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17280920315</v>
      </c>
      <c r="L331" s="7">
        <f t="shared" si="11"/>
        <v>17280920315</v>
      </c>
      <c r="M331" s="7">
        <f t="shared" si="10"/>
        <v>17280920316</v>
      </c>
      <c r="N331" s="3" t="s">
        <v>64</v>
      </c>
      <c r="O331" s="5" t="s">
        <v>523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3" t="s">
        <v>66</v>
      </c>
      <c r="BC331" s="3" t="s">
        <v>66</v>
      </c>
      <c r="BD331" s="2">
        <v>731520</v>
      </c>
      <c r="BE331" s="2">
        <v>3762406</v>
      </c>
      <c r="BF331" s="4"/>
      <c r="BG331" s="4"/>
      <c r="BH331" s="4"/>
      <c r="BI331" s="2">
        <v>0</v>
      </c>
      <c r="BJ331" s="2">
        <v>0</v>
      </c>
    </row>
    <row r="332" spans="1:62" ht="58" hidden="1" x14ac:dyDescent="0.35">
      <c r="A332" s="2">
        <v>103700</v>
      </c>
      <c r="B332" s="2">
        <v>330</v>
      </c>
      <c r="C332" s="3" t="s">
        <v>57</v>
      </c>
      <c r="D332" s="3" t="s">
        <v>524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17280920316</v>
      </c>
      <c r="L332" s="7">
        <f t="shared" si="11"/>
        <v>17280920316</v>
      </c>
      <c r="M332" s="7">
        <f t="shared" si="10"/>
        <v>17280920316</v>
      </c>
      <c r="N332" s="3" t="s">
        <v>64</v>
      </c>
      <c r="O332" s="5" t="s">
        <v>525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526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174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3" t="s">
        <v>410</v>
      </c>
      <c r="BC332" s="3" t="s">
        <v>527</v>
      </c>
      <c r="BD332" s="2">
        <v>731520</v>
      </c>
      <c r="BE332" s="2">
        <v>3762405</v>
      </c>
      <c r="BF332" s="4"/>
      <c r="BG332" s="4"/>
      <c r="BH332" s="4"/>
      <c r="BI332" s="2">
        <v>0</v>
      </c>
      <c r="BJ332" s="2">
        <v>0</v>
      </c>
    </row>
    <row r="333" spans="1:62" ht="58" hidden="1" x14ac:dyDescent="0.35">
      <c r="A333" s="2">
        <v>103701</v>
      </c>
      <c r="B333" s="2">
        <v>331</v>
      </c>
      <c r="C333" s="3" t="s">
        <v>57</v>
      </c>
      <c r="D333" s="3" t="s">
        <v>528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17280920316</v>
      </c>
      <c r="L333" s="7">
        <f t="shared" si="11"/>
        <v>17280920316</v>
      </c>
      <c r="M333" s="7">
        <f t="shared" si="10"/>
        <v>17280920317</v>
      </c>
      <c r="N333" s="3" t="s">
        <v>179</v>
      </c>
      <c r="O333" s="5" t="s">
        <v>525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526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174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3" t="s">
        <v>410</v>
      </c>
      <c r="BC333" s="3" t="s">
        <v>527</v>
      </c>
      <c r="BD333" s="2">
        <v>731520</v>
      </c>
      <c r="BE333" s="2">
        <v>3762405</v>
      </c>
      <c r="BF333" s="4"/>
      <c r="BG333" s="4"/>
      <c r="BH333" s="4"/>
      <c r="BI333" s="2">
        <v>0</v>
      </c>
      <c r="BJ333" s="2">
        <v>0</v>
      </c>
    </row>
    <row r="334" spans="1:62" ht="58" hidden="1" x14ac:dyDescent="0.35">
      <c r="A334" s="2">
        <v>103702</v>
      </c>
      <c r="B334" s="2">
        <v>332</v>
      </c>
      <c r="C334" s="3" t="s">
        <v>57</v>
      </c>
      <c r="D334" s="3" t="s">
        <v>528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17280920317</v>
      </c>
      <c r="L334" s="7">
        <f t="shared" si="11"/>
        <v>17280920317</v>
      </c>
      <c r="M334" s="7">
        <f t="shared" si="10"/>
        <v>17280920317</v>
      </c>
      <c r="N334" s="3" t="s">
        <v>179</v>
      </c>
      <c r="O334" s="5" t="s">
        <v>529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526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174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3" t="s">
        <v>410</v>
      </c>
      <c r="BC334" s="3" t="s">
        <v>527</v>
      </c>
      <c r="BD334" s="2">
        <v>731520</v>
      </c>
      <c r="BE334" s="2">
        <v>3762406</v>
      </c>
      <c r="BF334" s="4"/>
      <c r="BG334" s="4"/>
      <c r="BH334" s="4"/>
      <c r="BI334" s="2">
        <v>0</v>
      </c>
      <c r="BJ334" s="2">
        <v>0</v>
      </c>
    </row>
    <row r="335" spans="1:62" hidden="1" x14ac:dyDescent="0.35">
      <c r="A335" s="2">
        <v>103703</v>
      </c>
      <c r="B335" s="2">
        <v>333</v>
      </c>
      <c r="C335" s="3" t="s">
        <v>57</v>
      </c>
      <c r="D335" s="3" t="s">
        <v>530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17280920315</v>
      </c>
      <c r="L335" s="7">
        <f t="shared" si="11"/>
        <v>17280920317</v>
      </c>
      <c r="M335" s="7">
        <f t="shared" si="10"/>
        <v>17280920319</v>
      </c>
      <c r="N335" s="3" t="s">
        <v>64</v>
      </c>
      <c r="O335" s="5" t="s">
        <v>523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3" t="s">
        <v>66</v>
      </c>
      <c r="BC335" s="3" t="s">
        <v>66</v>
      </c>
      <c r="BD335" s="2">
        <v>731520</v>
      </c>
      <c r="BE335" s="2">
        <v>3762406</v>
      </c>
      <c r="BF335" s="4"/>
      <c r="BG335" s="4"/>
      <c r="BH335" s="4"/>
      <c r="BI335" s="2">
        <v>0</v>
      </c>
      <c r="BJ335" s="2">
        <v>0</v>
      </c>
    </row>
    <row r="336" spans="1:62" hidden="1" x14ac:dyDescent="0.35">
      <c r="A336" s="2">
        <v>103704</v>
      </c>
      <c r="B336" s="2">
        <v>334</v>
      </c>
      <c r="C336" s="3" t="s">
        <v>57</v>
      </c>
      <c r="D336" s="3" t="s">
        <v>530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17280920318</v>
      </c>
      <c r="L336" s="7">
        <f t="shared" si="11"/>
        <v>17280920317</v>
      </c>
      <c r="M336" s="7">
        <f t="shared" si="10"/>
        <v>17280920319</v>
      </c>
      <c r="N336" s="3" t="s">
        <v>64</v>
      </c>
      <c r="O336" s="5" t="s">
        <v>531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126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3" t="s">
        <v>66</v>
      </c>
      <c r="BC336" s="3" t="s">
        <v>66</v>
      </c>
      <c r="BD336" s="2">
        <v>731531.00000000105</v>
      </c>
      <c r="BE336" s="2">
        <v>3762374</v>
      </c>
      <c r="BF336" s="4"/>
      <c r="BG336" s="4"/>
      <c r="BH336" s="4"/>
      <c r="BI336" s="2">
        <v>0</v>
      </c>
      <c r="BJ336" s="2">
        <v>0</v>
      </c>
    </row>
    <row r="337" spans="1:62" hidden="1" x14ac:dyDescent="0.35">
      <c r="A337" s="2">
        <v>103705</v>
      </c>
      <c r="B337" s="2">
        <v>335</v>
      </c>
      <c r="C337" s="3" t="s">
        <v>57</v>
      </c>
      <c r="D337" s="3" t="s">
        <v>530</v>
      </c>
      <c r="E337" s="4"/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69</v>
      </c>
      <c r="K337" s="2">
        <v>17280920319</v>
      </c>
      <c r="L337" s="7">
        <f t="shared" si="11"/>
        <v>17280920319</v>
      </c>
      <c r="M337" s="7">
        <f t="shared" si="10"/>
        <v>17280920319</v>
      </c>
      <c r="N337" s="3" t="s">
        <v>64</v>
      </c>
      <c r="O337" s="5" t="s">
        <v>532</v>
      </c>
      <c r="P337" s="3" t="s">
        <v>71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165</v>
      </c>
      <c r="V337" s="3" t="s">
        <v>165</v>
      </c>
      <c r="W337" s="3" t="s">
        <v>165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3" t="s">
        <v>66</v>
      </c>
      <c r="BC337" s="3" t="s">
        <v>66</v>
      </c>
      <c r="BD337" s="2">
        <v>731548</v>
      </c>
      <c r="BE337" s="2">
        <v>3762330</v>
      </c>
      <c r="BF337" s="4"/>
      <c r="BG337" s="4"/>
      <c r="BH337" s="4"/>
      <c r="BI337" s="2">
        <v>0</v>
      </c>
      <c r="BJ337" s="2">
        <v>0</v>
      </c>
    </row>
    <row r="338" spans="1:62" hidden="1" x14ac:dyDescent="0.35">
      <c r="A338" s="2">
        <v>103706</v>
      </c>
      <c r="B338" s="2">
        <v>336</v>
      </c>
      <c r="C338" s="3" t="s">
        <v>57</v>
      </c>
      <c r="D338" s="3" t="s">
        <v>533</v>
      </c>
      <c r="E338" s="4"/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63</v>
      </c>
      <c r="K338" s="2">
        <v>17280920319</v>
      </c>
      <c r="L338" s="7">
        <f t="shared" si="11"/>
        <v>17280920319</v>
      </c>
      <c r="M338" s="7">
        <f t="shared" si="10"/>
        <v>17280920320</v>
      </c>
      <c r="N338" s="3" t="s">
        <v>64</v>
      </c>
      <c r="O338" s="5" t="s">
        <v>532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3" t="s">
        <v>66</v>
      </c>
      <c r="BC338" s="3" t="s">
        <v>66</v>
      </c>
      <c r="BD338" s="2">
        <v>731548</v>
      </c>
      <c r="BE338" s="2">
        <v>3762330</v>
      </c>
      <c r="BF338" s="4"/>
      <c r="BG338" s="4"/>
      <c r="BH338" s="4"/>
      <c r="BI338" s="2">
        <v>0</v>
      </c>
      <c r="BJ338" s="2">
        <v>0</v>
      </c>
    </row>
    <row r="339" spans="1:62" ht="58" hidden="1" x14ac:dyDescent="0.35">
      <c r="A339" s="2">
        <v>103707</v>
      </c>
      <c r="B339" s="2">
        <v>337</v>
      </c>
      <c r="C339" s="3" t="s">
        <v>57</v>
      </c>
      <c r="D339" s="3" t="s">
        <v>533</v>
      </c>
      <c r="E339" s="4"/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69</v>
      </c>
      <c r="K339" s="2">
        <v>17280920320</v>
      </c>
      <c r="L339" s="7">
        <f t="shared" si="11"/>
        <v>17280920320</v>
      </c>
      <c r="M339" s="7">
        <f t="shared" ref="M339:M402" si="12">IF(J339="E",K339,M340)</f>
        <v>17280920320</v>
      </c>
      <c r="N339" s="3" t="s">
        <v>64</v>
      </c>
      <c r="O339" s="5" t="s">
        <v>534</v>
      </c>
      <c r="P339" s="3" t="s">
        <v>71</v>
      </c>
      <c r="Q339" s="3" t="s">
        <v>72</v>
      </c>
      <c r="R339" s="2">
        <v>0</v>
      </c>
      <c r="S339" s="3" t="s">
        <v>66</v>
      </c>
      <c r="T339" s="3" t="s">
        <v>168</v>
      </c>
      <c r="U339" s="3" t="s">
        <v>165</v>
      </c>
      <c r="V339" s="3" t="s">
        <v>165</v>
      </c>
      <c r="W339" s="3" t="s">
        <v>165</v>
      </c>
      <c r="X339" s="3" t="s">
        <v>66</v>
      </c>
      <c r="Y339" s="3" t="s">
        <v>66</v>
      </c>
      <c r="Z339" s="3" t="s">
        <v>66</v>
      </c>
      <c r="AA339" s="3" t="s">
        <v>169</v>
      </c>
      <c r="AB339" s="3" t="s">
        <v>535</v>
      </c>
      <c r="AC339" s="2">
        <v>0</v>
      </c>
      <c r="AD339" s="3" t="s">
        <v>191</v>
      </c>
      <c r="AE339" s="3" t="s">
        <v>71</v>
      </c>
      <c r="AF339" s="3" t="s">
        <v>172</v>
      </c>
      <c r="AG339" s="3" t="s">
        <v>173</v>
      </c>
      <c r="AH339" s="3" t="s">
        <v>174</v>
      </c>
      <c r="AI339" s="3" t="s">
        <v>66</v>
      </c>
      <c r="AJ339" s="3" t="s">
        <v>66</v>
      </c>
      <c r="AK339" s="3" t="s">
        <v>205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3" t="s">
        <v>410</v>
      </c>
      <c r="BC339" s="3" t="s">
        <v>536</v>
      </c>
      <c r="BD339" s="2">
        <v>731549.00000000105</v>
      </c>
      <c r="BE339" s="2">
        <v>3762330</v>
      </c>
      <c r="BF339" s="4"/>
      <c r="BG339" s="4"/>
      <c r="BH339" s="4"/>
      <c r="BI339" s="2">
        <v>0</v>
      </c>
      <c r="BJ339" s="2">
        <v>0</v>
      </c>
    </row>
    <row r="340" spans="1:62" ht="58" hidden="1" x14ac:dyDescent="0.35">
      <c r="A340" s="2">
        <v>103708</v>
      </c>
      <c r="B340" s="2">
        <v>338</v>
      </c>
      <c r="C340" s="3" t="s">
        <v>57</v>
      </c>
      <c r="D340" s="3" t="s">
        <v>537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63</v>
      </c>
      <c r="K340" s="2">
        <v>17280920320</v>
      </c>
      <c r="L340" s="7">
        <f t="shared" si="11"/>
        <v>17280920320</v>
      </c>
      <c r="M340" s="7">
        <f t="shared" si="12"/>
        <v>17280920321</v>
      </c>
      <c r="N340" s="3" t="s">
        <v>179</v>
      </c>
      <c r="O340" s="5" t="s">
        <v>534</v>
      </c>
      <c r="P340" s="3" t="s">
        <v>66</v>
      </c>
      <c r="Q340" s="3" t="s">
        <v>180</v>
      </c>
      <c r="R340" s="2">
        <v>0</v>
      </c>
      <c r="S340" s="3" t="s">
        <v>66</v>
      </c>
      <c r="T340" s="3" t="s">
        <v>168</v>
      </c>
      <c r="U340" s="3" t="s">
        <v>66</v>
      </c>
      <c r="V340" s="3" t="s">
        <v>66</v>
      </c>
      <c r="W340" s="3" t="s">
        <v>66</v>
      </c>
      <c r="X340" s="3" t="s">
        <v>66</v>
      </c>
      <c r="Y340" s="3" t="s">
        <v>66</v>
      </c>
      <c r="Z340" s="3" t="s">
        <v>66</v>
      </c>
      <c r="AA340" s="3" t="s">
        <v>181</v>
      </c>
      <c r="AB340" s="3" t="s">
        <v>535</v>
      </c>
      <c r="AC340" s="2">
        <v>0</v>
      </c>
      <c r="AD340" s="3" t="s">
        <v>191</v>
      </c>
      <c r="AE340" s="3" t="s">
        <v>71</v>
      </c>
      <c r="AF340" s="3" t="s">
        <v>172</v>
      </c>
      <c r="AG340" s="3" t="s">
        <v>173</v>
      </c>
      <c r="AH340" s="3" t="s">
        <v>174</v>
      </c>
      <c r="AI340" s="3" t="s">
        <v>66</v>
      </c>
      <c r="AJ340" s="3" t="s">
        <v>66</v>
      </c>
      <c r="AK340" s="3" t="s">
        <v>205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3" t="s">
        <v>410</v>
      </c>
      <c r="BC340" s="3" t="s">
        <v>536</v>
      </c>
      <c r="BD340" s="2">
        <v>731549.00000000105</v>
      </c>
      <c r="BE340" s="2">
        <v>3762330</v>
      </c>
      <c r="BF340" s="4"/>
      <c r="BG340" s="4"/>
      <c r="BH340" s="4"/>
      <c r="BI340" s="2">
        <v>0</v>
      </c>
      <c r="BJ340" s="2">
        <v>0</v>
      </c>
    </row>
    <row r="341" spans="1:62" ht="58" hidden="1" x14ac:dyDescent="0.35">
      <c r="A341" s="2">
        <v>103709</v>
      </c>
      <c r="B341" s="2">
        <v>339</v>
      </c>
      <c r="C341" s="3" t="s">
        <v>57</v>
      </c>
      <c r="D341" s="3" t="s">
        <v>537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69</v>
      </c>
      <c r="K341" s="2">
        <v>17280920321</v>
      </c>
      <c r="L341" s="7">
        <f t="shared" si="11"/>
        <v>17280920321</v>
      </c>
      <c r="M341" s="7">
        <f t="shared" si="12"/>
        <v>17280920321</v>
      </c>
      <c r="N341" s="3" t="s">
        <v>179</v>
      </c>
      <c r="O341" s="5" t="s">
        <v>538</v>
      </c>
      <c r="P341" s="3" t="s">
        <v>183</v>
      </c>
      <c r="Q341" s="3" t="s">
        <v>180</v>
      </c>
      <c r="R341" s="2">
        <v>0</v>
      </c>
      <c r="S341" s="3" t="s">
        <v>66</v>
      </c>
      <c r="T341" s="3" t="s">
        <v>168</v>
      </c>
      <c r="U341" s="3" t="s">
        <v>184</v>
      </c>
      <c r="V341" s="3" t="s">
        <v>184</v>
      </c>
      <c r="W341" s="3" t="s">
        <v>184</v>
      </c>
      <c r="X341" s="3" t="s">
        <v>184</v>
      </c>
      <c r="Y341" s="3" t="s">
        <v>66</v>
      </c>
      <c r="Z341" s="3" t="s">
        <v>66</v>
      </c>
      <c r="AA341" s="3" t="s">
        <v>181</v>
      </c>
      <c r="AB341" s="3" t="s">
        <v>535</v>
      </c>
      <c r="AC341" s="2">
        <v>0</v>
      </c>
      <c r="AD341" s="3" t="s">
        <v>191</v>
      </c>
      <c r="AE341" s="3" t="s">
        <v>71</v>
      </c>
      <c r="AF341" s="3" t="s">
        <v>172</v>
      </c>
      <c r="AG341" s="3" t="s">
        <v>173</v>
      </c>
      <c r="AH341" s="3" t="s">
        <v>174</v>
      </c>
      <c r="AI341" s="3" t="s">
        <v>66</v>
      </c>
      <c r="AJ341" s="3" t="s">
        <v>66</v>
      </c>
      <c r="AK341" s="3" t="s">
        <v>205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3" t="s">
        <v>410</v>
      </c>
      <c r="BC341" s="3" t="s">
        <v>536</v>
      </c>
      <c r="BD341" s="2">
        <v>731550</v>
      </c>
      <c r="BE341" s="2">
        <v>3762331</v>
      </c>
      <c r="BF341" s="4"/>
      <c r="BG341" s="4"/>
      <c r="BH341" s="4"/>
      <c r="BI341" s="2">
        <v>0</v>
      </c>
      <c r="BJ341" s="2">
        <v>0</v>
      </c>
    </row>
    <row r="342" spans="1:62" hidden="1" x14ac:dyDescent="0.35">
      <c r="A342" s="2">
        <v>103710</v>
      </c>
      <c r="B342" s="2">
        <v>340</v>
      </c>
      <c r="C342" s="3" t="s">
        <v>57</v>
      </c>
      <c r="D342" s="3" t="s">
        <v>539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63</v>
      </c>
      <c r="K342" s="2">
        <v>17280920319</v>
      </c>
      <c r="L342" s="7">
        <f t="shared" si="11"/>
        <v>17280920321</v>
      </c>
      <c r="M342" s="7">
        <f t="shared" si="12"/>
        <v>17280920325</v>
      </c>
      <c r="N342" s="3" t="s">
        <v>64</v>
      </c>
      <c r="O342" s="5" t="s">
        <v>532</v>
      </c>
      <c r="P342" s="3" t="s">
        <v>66</v>
      </c>
      <c r="Q342" s="3" t="s">
        <v>72</v>
      </c>
      <c r="R342" s="2">
        <v>1</v>
      </c>
      <c r="S342" s="3" t="s">
        <v>73</v>
      </c>
      <c r="T342" s="3" t="s">
        <v>84</v>
      </c>
      <c r="U342" s="3" t="s">
        <v>66</v>
      </c>
      <c r="V342" s="3" t="s">
        <v>66</v>
      </c>
      <c r="W342" s="3" t="s">
        <v>66</v>
      </c>
      <c r="X342" s="3" t="s">
        <v>66</v>
      </c>
      <c r="Y342" s="3" t="s">
        <v>66</v>
      </c>
      <c r="Z342" s="3" t="s">
        <v>66</v>
      </c>
      <c r="AA342" s="3" t="s">
        <v>76</v>
      </c>
      <c r="AB342" s="3" t="s">
        <v>66</v>
      </c>
      <c r="AC342" s="2">
        <v>0</v>
      </c>
      <c r="AD342" s="3" t="s">
        <v>68</v>
      </c>
      <c r="AE342" s="3" t="s">
        <v>66</v>
      </c>
      <c r="AF342" s="3" t="s">
        <v>66</v>
      </c>
      <c r="AG342" s="3" t="s">
        <v>66</v>
      </c>
      <c r="AH342" s="3" t="s">
        <v>66</v>
      </c>
      <c r="AI342" s="3" t="s">
        <v>66</v>
      </c>
      <c r="AJ342" s="3" t="s">
        <v>66</v>
      </c>
      <c r="AK342" s="3" t="s">
        <v>66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3" t="s">
        <v>66</v>
      </c>
      <c r="BC342" s="3" t="s">
        <v>66</v>
      </c>
      <c r="BD342" s="2">
        <v>731548</v>
      </c>
      <c r="BE342" s="2">
        <v>3762330</v>
      </c>
      <c r="BF342" s="4"/>
      <c r="BG342" s="4"/>
      <c r="BH342" s="4"/>
      <c r="BI342" s="2">
        <v>0</v>
      </c>
      <c r="BJ342" s="2">
        <v>0</v>
      </c>
    </row>
    <row r="343" spans="1:62" hidden="1" x14ac:dyDescent="0.35">
      <c r="A343" s="2">
        <v>103711</v>
      </c>
      <c r="B343" s="2">
        <v>341</v>
      </c>
      <c r="C343" s="3" t="s">
        <v>57</v>
      </c>
      <c r="D343" s="3" t="s">
        <v>539</v>
      </c>
      <c r="E343" s="2">
        <v>0</v>
      </c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66</v>
      </c>
      <c r="K343" s="2">
        <v>17280920322</v>
      </c>
      <c r="L343" s="7">
        <f t="shared" si="11"/>
        <v>17280920321</v>
      </c>
      <c r="M343" s="7">
        <f t="shared" si="12"/>
        <v>17280920325</v>
      </c>
      <c r="N343" s="3" t="s">
        <v>64</v>
      </c>
      <c r="O343" s="5" t="s">
        <v>540</v>
      </c>
      <c r="P343" s="3" t="s">
        <v>66</v>
      </c>
      <c r="Q343" s="3" t="s">
        <v>72</v>
      </c>
      <c r="R343" s="2">
        <v>1</v>
      </c>
      <c r="S343" s="3" t="s">
        <v>73</v>
      </c>
      <c r="T343" s="3" t="s">
        <v>84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76</v>
      </c>
      <c r="AB343" s="3" t="s">
        <v>66</v>
      </c>
      <c r="AC343" s="2">
        <v>0</v>
      </c>
      <c r="AD343" s="3" t="s">
        <v>68</v>
      </c>
      <c r="AE343" s="3" t="s">
        <v>66</v>
      </c>
      <c r="AF343" s="3" t="s">
        <v>66</v>
      </c>
      <c r="AG343" s="3" t="s">
        <v>66</v>
      </c>
      <c r="AH343" s="3" t="s">
        <v>66</v>
      </c>
      <c r="AI343" s="3" t="s">
        <v>66</v>
      </c>
      <c r="AJ343" s="3" t="s">
        <v>66</v>
      </c>
      <c r="AK343" s="3" t="s">
        <v>66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3" t="s">
        <v>66</v>
      </c>
      <c r="BC343" s="3" t="s">
        <v>66</v>
      </c>
      <c r="BD343" s="2">
        <v>731570.00000000105</v>
      </c>
      <c r="BE343" s="2">
        <v>3762273</v>
      </c>
      <c r="BF343" s="4"/>
      <c r="BG343" s="4"/>
      <c r="BH343" s="4"/>
      <c r="BI343" s="2">
        <v>0</v>
      </c>
      <c r="BJ343" s="2">
        <v>0</v>
      </c>
    </row>
    <row r="344" spans="1:62" hidden="1" x14ac:dyDescent="0.35">
      <c r="A344" s="2">
        <v>103712</v>
      </c>
      <c r="B344" s="2">
        <v>342</v>
      </c>
      <c r="C344" s="3" t="s">
        <v>57</v>
      </c>
      <c r="D344" s="3" t="s">
        <v>539</v>
      </c>
      <c r="E344" s="2">
        <v>1</v>
      </c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66</v>
      </c>
      <c r="K344" s="2">
        <v>17280920323</v>
      </c>
      <c r="L344" s="7">
        <f t="shared" si="11"/>
        <v>17280920321</v>
      </c>
      <c r="M344" s="7">
        <f t="shared" si="12"/>
        <v>17280920325</v>
      </c>
      <c r="N344" s="3" t="s">
        <v>64</v>
      </c>
      <c r="O344" s="5" t="s">
        <v>541</v>
      </c>
      <c r="P344" s="3" t="s">
        <v>66</v>
      </c>
      <c r="Q344" s="3" t="s">
        <v>72</v>
      </c>
      <c r="R344" s="2">
        <v>1</v>
      </c>
      <c r="S344" s="3" t="s">
        <v>73</v>
      </c>
      <c r="T344" s="3" t="s">
        <v>126</v>
      </c>
      <c r="U344" s="3" t="s">
        <v>66</v>
      </c>
      <c r="V344" s="3" t="s">
        <v>66</v>
      </c>
      <c r="W344" s="3" t="s">
        <v>66</v>
      </c>
      <c r="X344" s="3" t="s">
        <v>66</v>
      </c>
      <c r="Y344" s="3" t="s">
        <v>66</v>
      </c>
      <c r="Z344" s="3" t="s">
        <v>66</v>
      </c>
      <c r="AA344" s="3" t="s">
        <v>76</v>
      </c>
      <c r="AB344" s="3" t="s">
        <v>66</v>
      </c>
      <c r="AC344" s="2">
        <v>0</v>
      </c>
      <c r="AD344" s="3" t="s">
        <v>68</v>
      </c>
      <c r="AE344" s="3" t="s">
        <v>66</v>
      </c>
      <c r="AF344" s="3" t="s">
        <v>66</v>
      </c>
      <c r="AG344" s="3" t="s">
        <v>66</v>
      </c>
      <c r="AH344" s="3" t="s">
        <v>66</v>
      </c>
      <c r="AI344" s="3" t="s">
        <v>66</v>
      </c>
      <c r="AJ344" s="3" t="s">
        <v>66</v>
      </c>
      <c r="AK344" s="3" t="s">
        <v>66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3" t="s">
        <v>66</v>
      </c>
      <c r="BC344" s="3" t="s">
        <v>66</v>
      </c>
      <c r="BD344" s="2">
        <v>731575.00000000105</v>
      </c>
      <c r="BE344" s="2">
        <v>3762252</v>
      </c>
      <c r="BF344" s="4"/>
      <c r="BG344" s="4"/>
      <c r="BH344" s="4"/>
      <c r="BI344" s="2">
        <v>0</v>
      </c>
      <c r="BJ344" s="2">
        <v>0</v>
      </c>
    </row>
    <row r="345" spans="1:62" hidden="1" x14ac:dyDescent="0.35">
      <c r="A345" s="2">
        <v>103713</v>
      </c>
      <c r="B345" s="2">
        <v>343</v>
      </c>
      <c r="C345" s="3" t="s">
        <v>57</v>
      </c>
      <c r="D345" s="3" t="s">
        <v>539</v>
      </c>
      <c r="E345" s="2">
        <v>2</v>
      </c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66</v>
      </c>
      <c r="K345" s="2">
        <v>17280920324</v>
      </c>
      <c r="L345" s="7">
        <f t="shared" si="11"/>
        <v>17280920321</v>
      </c>
      <c r="M345" s="7">
        <f t="shared" si="12"/>
        <v>17280920325</v>
      </c>
      <c r="N345" s="3" t="s">
        <v>64</v>
      </c>
      <c r="O345" s="5" t="s">
        <v>542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126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77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3" t="s">
        <v>66</v>
      </c>
      <c r="BC345" s="3" t="s">
        <v>66</v>
      </c>
      <c r="BD345" s="2">
        <v>731595.00000000105</v>
      </c>
      <c r="BE345" s="2">
        <v>3762213</v>
      </c>
      <c r="BF345" s="4"/>
      <c r="BG345" s="4"/>
      <c r="BH345" s="4"/>
      <c r="BI345" s="2">
        <v>0</v>
      </c>
      <c r="BJ345" s="2">
        <v>0</v>
      </c>
    </row>
    <row r="346" spans="1:62" hidden="1" x14ac:dyDescent="0.35">
      <c r="A346" s="2">
        <v>103714</v>
      </c>
      <c r="B346" s="2">
        <v>344</v>
      </c>
      <c r="C346" s="3" t="s">
        <v>57</v>
      </c>
      <c r="D346" s="3" t="s">
        <v>539</v>
      </c>
      <c r="E346" s="4"/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69</v>
      </c>
      <c r="K346" s="2">
        <v>17280920325</v>
      </c>
      <c r="L346" s="7">
        <f t="shared" si="11"/>
        <v>17280920325</v>
      </c>
      <c r="M346" s="7">
        <f t="shared" si="12"/>
        <v>17280920325</v>
      </c>
      <c r="N346" s="3" t="s">
        <v>64</v>
      </c>
      <c r="O346" s="5" t="s">
        <v>543</v>
      </c>
      <c r="P346" s="3" t="s">
        <v>71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165</v>
      </c>
      <c r="V346" s="3" t="s">
        <v>165</v>
      </c>
      <c r="W346" s="3" t="s">
        <v>165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3" t="s">
        <v>66</v>
      </c>
      <c r="BC346" s="3" t="s">
        <v>66</v>
      </c>
      <c r="BD346" s="2">
        <v>731627</v>
      </c>
      <c r="BE346" s="2">
        <v>3762217</v>
      </c>
      <c r="BF346" s="4"/>
      <c r="BG346" s="4"/>
      <c r="BH346" s="4"/>
      <c r="BI346" s="2">
        <v>0</v>
      </c>
      <c r="BJ346" s="2">
        <v>0</v>
      </c>
    </row>
    <row r="347" spans="1:62" hidden="1" x14ac:dyDescent="0.35">
      <c r="A347" s="2">
        <v>103715</v>
      </c>
      <c r="B347" s="2">
        <v>345</v>
      </c>
      <c r="C347" s="3" t="s">
        <v>57</v>
      </c>
      <c r="D347" s="3" t="s">
        <v>544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63</v>
      </c>
      <c r="K347" s="2">
        <v>17280920325</v>
      </c>
      <c r="L347" s="7">
        <f t="shared" si="11"/>
        <v>17280920325</v>
      </c>
      <c r="M347" s="7">
        <f t="shared" si="12"/>
        <v>17280920326</v>
      </c>
      <c r="N347" s="3" t="s">
        <v>64</v>
      </c>
      <c r="O347" s="5" t="s">
        <v>543</v>
      </c>
      <c r="P347" s="3" t="s">
        <v>66</v>
      </c>
      <c r="Q347" s="3" t="s">
        <v>72</v>
      </c>
      <c r="R347" s="2">
        <v>1</v>
      </c>
      <c r="S347" s="3" t="s">
        <v>73</v>
      </c>
      <c r="T347" s="3" t="s">
        <v>126</v>
      </c>
      <c r="U347" s="3" t="s">
        <v>66</v>
      </c>
      <c r="V347" s="3" t="s">
        <v>66</v>
      </c>
      <c r="W347" s="3" t="s">
        <v>66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3" t="s">
        <v>66</v>
      </c>
      <c r="BC347" s="3" t="s">
        <v>66</v>
      </c>
      <c r="BD347" s="2">
        <v>731627</v>
      </c>
      <c r="BE347" s="2">
        <v>3762217</v>
      </c>
      <c r="BF347" s="4"/>
      <c r="BG347" s="4"/>
      <c r="BH347" s="4"/>
      <c r="BI347" s="2">
        <v>0</v>
      </c>
      <c r="BJ347" s="2">
        <v>0</v>
      </c>
    </row>
    <row r="348" spans="1:62" ht="58" hidden="1" x14ac:dyDescent="0.35">
      <c r="A348" s="2">
        <v>103716</v>
      </c>
      <c r="B348" s="2">
        <v>346</v>
      </c>
      <c r="C348" s="3" t="s">
        <v>57</v>
      </c>
      <c r="D348" s="3" t="s">
        <v>544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69</v>
      </c>
      <c r="K348" s="2">
        <v>17280920326</v>
      </c>
      <c r="L348" s="7">
        <f t="shared" si="11"/>
        <v>17280920326</v>
      </c>
      <c r="M348" s="7">
        <f t="shared" si="12"/>
        <v>17280920326</v>
      </c>
      <c r="N348" s="3" t="s">
        <v>64</v>
      </c>
      <c r="O348" s="5" t="s">
        <v>545</v>
      </c>
      <c r="P348" s="3" t="s">
        <v>71</v>
      </c>
      <c r="Q348" s="3" t="s">
        <v>72</v>
      </c>
      <c r="R348" s="2">
        <v>0</v>
      </c>
      <c r="S348" s="3" t="s">
        <v>66</v>
      </c>
      <c r="T348" s="3" t="s">
        <v>168</v>
      </c>
      <c r="U348" s="3" t="s">
        <v>165</v>
      </c>
      <c r="V348" s="3" t="s">
        <v>165</v>
      </c>
      <c r="W348" s="3" t="s">
        <v>165</v>
      </c>
      <c r="X348" s="3" t="s">
        <v>66</v>
      </c>
      <c r="Y348" s="3" t="s">
        <v>66</v>
      </c>
      <c r="Z348" s="3" t="s">
        <v>66</v>
      </c>
      <c r="AA348" s="3" t="s">
        <v>169</v>
      </c>
      <c r="AB348" s="3" t="s">
        <v>546</v>
      </c>
      <c r="AC348" s="2">
        <v>0</v>
      </c>
      <c r="AD348" s="3" t="s">
        <v>454</v>
      </c>
      <c r="AE348" s="3" t="s">
        <v>71</v>
      </c>
      <c r="AF348" s="3" t="s">
        <v>172</v>
      </c>
      <c r="AG348" s="3" t="s">
        <v>173</v>
      </c>
      <c r="AH348" s="3" t="s">
        <v>231</v>
      </c>
      <c r="AI348" s="3" t="s">
        <v>66</v>
      </c>
      <c r="AJ348" s="3" t="s">
        <v>66</v>
      </c>
      <c r="AK348" s="3" t="s">
        <v>175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3" t="s">
        <v>410</v>
      </c>
      <c r="BC348" s="3" t="s">
        <v>547</v>
      </c>
      <c r="BD348" s="2">
        <v>731625</v>
      </c>
      <c r="BE348" s="2">
        <v>3762219</v>
      </c>
      <c r="BF348" s="4"/>
      <c r="BG348" s="4"/>
      <c r="BH348" s="4"/>
      <c r="BI348" s="2">
        <v>0</v>
      </c>
      <c r="BJ348" s="2">
        <v>0</v>
      </c>
    </row>
    <row r="349" spans="1:62" ht="58" hidden="1" x14ac:dyDescent="0.35">
      <c r="A349" s="2">
        <v>103717</v>
      </c>
      <c r="B349" s="2">
        <v>347</v>
      </c>
      <c r="C349" s="3" t="s">
        <v>57</v>
      </c>
      <c r="D349" s="3" t="s">
        <v>548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63</v>
      </c>
      <c r="K349" s="2">
        <v>17280920326</v>
      </c>
      <c r="L349" s="7">
        <f t="shared" si="11"/>
        <v>17280920326</v>
      </c>
      <c r="M349" s="7">
        <f t="shared" si="12"/>
        <v>17280920327</v>
      </c>
      <c r="N349" s="3" t="s">
        <v>179</v>
      </c>
      <c r="O349" s="5" t="s">
        <v>545</v>
      </c>
      <c r="P349" s="3" t="s">
        <v>66</v>
      </c>
      <c r="Q349" s="3" t="s">
        <v>180</v>
      </c>
      <c r="R349" s="2">
        <v>0</v>
      </c>
      <c r="S349" s="3" t="s">
        <v>66</v>
      </c>
      <c r="T349" s="3" t="s">
        <v>168</v>
      </c>
      <c r="U349" s="3" t="s">
        <v>66</v>
      </c>
      <c r="V349" s="3" t="s">
        <v>66</v>
      </c>
      <c r="W349" s="3" t="s">
        <v>66</v>
      </c>
      <c r="X349" s="3" t="s">
        <v>66</v>
      </c>
      <c r="Y349" s="3" t="s">
        <v>66</v>
      </c>
      <c r="Z349" s="3" t="s">
        <v>66</v>
      </c>
      <c r="AA349" s="3" t="s">
        <v>181</v>
      </c>
      <c r="AB349" s="3" t="s">
        <v>546</v>
      </c>
      <c r="AC349" s="2">
        <v>0</v>
      </c>
      <c r="AD349" s="3" t="s">
        <v>454</v>
      </c>
      <c r="AE349" s="3" t="s">
        <v>71</v>
      </c>
      <c r="AF349" s="3" t="s">
        <v>172</v>
      </c>
      <c r="AG349" s="3" t="s">
        <v>173</v>
      </c>
      <c r="AH349" s="3" t="s">
        <v>231</v>
      </c>
      <c r="AI349" s="3" t="s">
        <v>66</v>
      </c>
      <c r="AJ349" s="3" t="s">
        <v>66</v>
      </c>
      <c r="AK349" s="3" t="s">
        <v>175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3" t="s">
        <v>410</v>
      </c>
      <c r="BC349" s="3" t="s">
        <v>547</v>
      </c>
      <c r="BD349" s="2">
        <v>731625</v>
      </c>
      <c r="BE349" s="2">
        <v>3762219</v>
      </c>
      <c r="BF349" s="4"/>
      <c r="BG349" s="4"/>
      <c r="BH349" s="4"/>
      <c r="BI349" s="2">
        <v>0</v>
      </c>
      <c r="BJ349" s="2">
        <v>0</v>
      </c>
    </row>
    <row r="350" spans="1:62" ht="58" hidden="1" x14ac:dyDescent="0.35">
      <c r="A350" s="2">
        <v>103718</v>
      </c>
      <c r="B350" s="2">
        <v>348</v>
      </c>
      <c r="C350" s="3" t="s">
        <v>57</v>
      </c>
      <c r="D350" s="3" t="s">
        <v>548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69</v>
      </c>
      <c r="K350" s="2">
        <v>17280920327</v>
      </c>
      <c r="L350" s="7">
        <f t="shared" si="11"/>
        <v>17280920327</v>
      </c>
      <c r="M350" s="7">
        <f t="shared" si="12"/>
        <v>17280920327</v>
      </c>
      <c r="N350" s="3" t="s">
        <v>179</v>
      </c>
      <c r="O350" s="5" t="s">
        <v>549</v>
      </c>
      <c r="P350" s="3" t="s">
        <v>183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392</v>
      </c>
      <c r="V350" s="3" t="s">
        <v>392</v>
      </c>
      <c r="W350" s="3" t="s">
        <v>392</v>
      </c>
      <c r="X350" s="3" t="s">
        <v>392</v>
      </c>
      <c r="Y350" s="3" t="s">
        <v>66</v>
      </c>
      <c r="Z350" s="3" t="s">
        <v>66</v>
      </c>
      <c r="AA350" s="3" t="s">
        <v>181</v>
      </c>
      <c r="AB350" s="3" t="s">
        <v>546</v>
      </c>
      <c r="AC350" s="2">
        <v>0</v>
      </c>
      <c r="AD350" s="3" t="s">
        <v>454</v>
      </c>
      <c r="AE350" s="3" t="s">
        <v>71</v>
      </c>
      <c r="AF350" s="3" t="s">
        <v>172</v>
      </c>
      <c r="AG350" s="3" t="s">
        <v>173</v>
      </c>
      <c r="AH350" s="3" t="s">
        <v>231</v>
      </c>
      <c r="AI350" s="3" t="s">
        <v>66</v>
      </c>
      <c r="AJ350" s="3" t="s">
        <v>66</v>
      </c>
      <c r="AK350" s="3" t="s">
        <v>175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3" t="s">
        <v>410</v>
      </c>
      <c r="BC350" s="3" t="s">
        <v>547</v>
      </c>
      <c r="BD350" s="2">
        <v>731625</v>
      </c>
      <c r="BE350" s="2">
        <v>3762219</v>
      </c>
      <c r="BF350" s="4"/>
      <c r="BG350" s="4"/>
      <c r="BH350" s="4"/>
      <c r="BI350" s="2">
        <v>0</v>
      </c>
      <c r="BJ350" s="2">
        <v>0</v>
      </c>
    </row>
    <row r="351" spans="1:62" hidden="1" x14ac:dyDescent="0.35">
      <c r="A351" s="2">
        <v>103719</v>
      </c>
      <c r="B351" s="2">
        <v>349</v>
      </c>
      <c r="C351" s="3" t="s">
        <v>57</v>
      </c>
      <c r="D351" s="3" t="s">
        <v>550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63</v>
      </c>
      <c r="K351" s="2">
        <v>17280920325</v>
      </c>
      <c r="L351" s="7">
        <f t="shared" si="11"/>
        <v>17280920327</v>
      </c>
      <c r="M351" s="7">
        <f t="shared" si="12"/>
        <v>17280920329</v>
      </c>
      <c r="N351" s="3" t="s">
        <v>64</v>
      </c>
      <c r="O351" s="5" t="s">
        <v>543</v>
      </c>
      <c r="P351" s="3" t="s">
        <v>66</v>
      </c>
      <c r="Q351" s="3" t="s">
        <v>72</v>
      </c>
      <c r="R351" s="2">
        <v>1</v>
      </c>
      <c r="S351" s="3" t="s">
        <v>73</v>
      </c>
      <c r="T351" s="3" t="s">
        <v>126</v>
      </c>
      <c r="U351" s="3" t="s">
        <v>66</v>
      </c>
      <c r="V351" s="3" t="s">
        <v>66</v>
      </c>
      <c r="W351" s="3" t="s">
        <v>66</v>
      </c>
      <c r="X351" s="3" t="s">
        <v>66</v>
      </c>
      <c r="Y351" s="3" t="s">
        <v>66</v>
      </c>
      <c r="Z351" s="3" t="s">
        <v>66</v>
      </c>
      <c r="AA351" s="3" t="s">
        <v>76</v>
      </c>
      <c r="AB351" s="3" t="s">
        <v>66</v>
      </c>
      <c r="AC351" s="2">
        <v>0</v>
      </c>
      <c r="AD351" s="3" t="s">
        <v>68</v>
      </c>
      <c r="AE351" s="3" t="s">
        <v>66</v>
      </c>
      <c r="AF351" s="3" t="s">
        <v>66</v>
      </c>
      <c r="AG351" s="3" t="s">
        <v>66</v>
      </c>
      <c r="AH351" s="3" t="s">
        <v>66</v>
      </c>
      <c r="AI351" s="3" t="s">
        <v>66</v>
      </c>
      <c r="AJ351" s="3" t="s">
        <v>66</v>
      </c>
      <c r="AK351" s="3" t="s">
        <v>66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3" t="s">
        <v>66</v>
      </c>
      <c r="BC351" s="3" t="s">
        <v>66</v>
      </c>
      <c r="BD351" s="2">
        <v>731627</v>
      </c>
      <c r="BE351" s="2">
        <v>3762217</v>
      </c>
      <c r="BF351" s="4"/>
      <c r="BG351" s="4"/>
      <c r="BH351" s="4"/>
      <c r="BI351" s="2">
        <v>0</v>
      </c>
      <c r="BJ351" s="2">
        <v>0</v>
      </c>
    </row>
    <row r="352" spans="1:62" hidden="1" x14ac:dyDescent="0.35">
      <c r="A352" s="2">
        <v>103720</v>
      </c>
      <c r="B352" s="2">
        <v>350</v>
      </c>
      <c r="C352" s="3" t="s">
        <v>57</v>
      </c>
      <c r="D352" s="3" t="s">
        <v>550</v>
      </c>
      <c r="E352" s="2">
        <v>0</v>
      </c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66</v>
      </c>
      <c r="K352" s="2">
        <v>17280920328</v>
      </c>
      <c r="L352" s="7">
        <f t="shared" si="11"/>
        <v>17280920327</v>
      </c>
      <c r="M352" s="7">
        <f t="shared" si="12"/>
        <v>17280920329</v>
      </c>
      <c r="N352" s="3" t="s">
        <v>64</v>
      </c>
      <c r="O352" s="5" t="s">
        <v>551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126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87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3" t="s">
        <v>66</v>
      </c>
      <c r="BC352" s="3" t="s">
        <v>66</v>
      </c>
      <c r="BD352" s="2">
        <v>731662.00000000105</v>
      </c>
      <c r="BE352" s="2">
        <v>3762220</v>
      </c>
      <c r="BF352" s="4"/>
      <c r="BG352" s="4"/>
      <c r="BH352" s="4"/>
      <c r="BI352" s="2">
        <v>0</v>
      </c>
      <c r="BJ352" s="2">
        <v>0</v>
      </c>
    </row>
    <row r="353" spans="1:62" hidden="1" x14ac:dyDescent="0.35">
      <c r="A353" s="2">
        <v>103721</v>
      </c>
      <c r="B353" s="2">
        <v>351</v>
      </c>
      <c r="C353" s="3" t="s">
        <v>57</v>
      </c>
      <c r="D353" s="3" t="s">
        <v>550</v>
      </c>
      <c r="E353" s="4"/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69</v>
      </c>
      <c r="K353" s="2">
        <v>17280920329</v>
      </c>
      <c r="L353" s="7">
        <f t="shared" si="11"/>
        <v>17280920329</v>
      </c>
      <c r="M353" s="7">
        <f t="shared" si="12"/>
        <v>17280920329</v>
      </c>
      <c r="N353" s="3" t="s">
        <v>64</v>
      </c>
      <c r="O353" s="5" t="s">
        <v>552</v>
      </c>
      <c r="P353" s="3" t="s">
        <v>71</v>
      </c>
      <c r="Q353" s="3" t="s">
        <v>72</v>
      </c>
      <c r="R353" s="2">
        <v>1</v>
      </c>
      <c r="S353" s="3" t="s">
        <v>73</v>
      </c>
      <c r="T353" s="3" t="s">
        <v>126</v>
      </c>
      <c r="U353" s="3" t="s">
        <v>165</v>
      </c>
      <c r="V353" s="3" t="s">
        <v>165</v>
      </c>
      <c r="W353" s="3" t="s">
        <v>165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87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3" t="s">
        <v>66</v>
      </c>
      <c r="BC353" s="3" t="s">
        <v>66</v>
      </c>
      <c r="BD353" s="2">
        <v>731667.00000000105</v>
      </c>
      <c r="BE353" s="2">
        <v>3762187</v>
      </c>
      <c r="BF353" s="4"/>
      <c r="BG353" s="4"/>
      <c r="BH353" s="4"/>
      <c r="BI353" s="2">
        <v>0</v>
      </c>
      <c r="BJ353" s="2">
        <v>0</v>
      </c>
    </row>
    <row r="354" spans="1:62" hidden="1" x14ac:dyDescent="0.35">
      <c r="A354" s="2">
        <v>103722</v>
      </c>
      <c r="B354" s="2">
        <v>352</v>
      </c>
      <c r="C354" s="3" t="s">
        <v>57</v>
      </c>
      <c r="D354" s="3" t="s">
        <v>553</v>
      </c>
      <c r="E354" s="4"/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63</v>
      </c>
      <c r="K354" s="2">
        <v>17280920329</v>
      </c>
      <c r="L354" s="7">
        <f t="shared" si="11"/>
        <v>17280920329</v>
      </c>
      <c r="M354" s="7">
        <f t="shared" si="12"/>
        <v>17280920330</v>
      </c>
      <c r="N354" s="3" t="s">
        <v>64</v>
      </c>
      <c r="O354" s="5" t="s">
        <v>552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3" t="s">
        <v>66</v>
      </c>
      <c r="BC354" s="3" t="s">
        <v>66</v>
      </c>
      <c r="BD354" s="2">
        <v>731667.00000000105</v>
      </c>
      <c r="BE354" s="2">
        <v>3762187</v>
      </c>
      <c r="BF354" s="4"/>
      <c r="BG354" s="4"/>
      <c r="BH354" s="4"/>
      <c r="BI354" s="2">
        <v>0</v>
      </c>
      <c r="BJ354" s="2">
        <v>0</v>
      </c>
    </row>
    <row r="355" spans="1:62" ht="58" hidden="1" x14ac:dyDescent="0.35">
      <c r="A355" s="2">
        <v>103723</v>
      </c>
      <c r="B355" s="2">
        <v>353</v>
      </c>
      <c r="C355" s="3" t="s">
        <v>57</v>
      </c>
      <c r="D355" s="3" t="s">
        <v>553</v>
      </c>
      <c r="E355" s="4"/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69</v>
      </c>
      <c r="K355" s="2">
        <v>17280920330</v>
      </c>
      <c r="L355" s="7">
        <f t="shared" si="11"/>
        <v>17280920330</v>
      </c>
      <c r="M355" s="7">
        <f t="shared" si="12"/>
        <v>17280920330</v>
      </c>
      <c r="N355" s="3" t="s">
        <v>64</v>
      </c>
      <c r="O355" s="5" t="s">
        <v>554</v>
      </c>
      <c r="P355" s="3" t="s">
        <v>71</v>
      </c>
      <c r="Q355" s="3" t="s">
        <v>72</v>
      </c>
      <c r="R355" s="2">
        <v>0</v>
      </c>
      <c r="S355" s="3" t="s">
        <v>66</v>
      </c>
      <c r="T355" s="3" t="s">
        <v>168</v>
      </c>
      <c r="U355" s="3" t="s">
        <v>165</v>
      </c>
      <c r="V355" s="3" t="s">
        <v>165</v>
      </c>
      <c r="W355" s="3" t="s">
        <v>165</v>
      </c>
      <c r="X355" s="3" t="s">
        <v>66</v>
      </c>
      <c r="Y355" s="3" t="s">
        <v>66</v>
      </c>
      <c r="Z355" s="3" t="s">
        <v>66</v>
      </c>
      <c r="AA355" s="3" t="s">
        <v>169</v>
      </c>
      <c r="AB355" s="3" t="s">
        <v>555</v>
      </c>
      <c r="AC355" s="2">
        <v>0</v>
      </c>
      <c r="AD355" s="3" t="s">
        <v>191</v>
      </c>
      <c r="AE355" s="3" t="s">
        <v>71</v>
      </c>
      <c r="AF355" s="3" t="s">
        <v>172</v>
      </c>
      <c r="AG355" s="3" t="s">
        <v>173</v>
      </c>
      <c r="AH355" s="3" t="s">
        <v>217</v>
      </c>
      <c r="AI355" s="3" t="s">
        <v>66</v>
      </c>
      <c r="AJ355" s="3" t="s">
        <v>66</v>
      </c>
      <c r="AK355" s="3" t="s">
        <v>175</v>
      </c>
      <c r="AL355" s="3" t="s">
        <v>66</v>
      </c>
      <c r="AM355" s="3" t="s">
        <v>66</v>
      </c>
      <c r="AN355" s="3" t="s">
        <v>66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3" t="s">
        <v>410</v>
      </c>
      <c r="BC355" s="3" t="s">
        <v>556</v>
      </c>
      <c r="BD355" s="2">
        <v>731667.00000000105</v>
      </c>
      <c r="BE355" s="2">
        <v>3762186</v>
      </c>
      <c r="BF355" s="4"/>
      <c r="BG355" s="4"/>
      <c r="BH355" s="4"/>
      <c r="BI355" s="2">
        <v>0</v>
      </c>
      <c r="BJ355" s="2">
        <v>0</v>
      </c>
    </row>
    <row r="356" spans="1:62" ht="58" hidden="1" x14ac:dyDescent="0.35">
      <c r="A356" s="2">
        <v>103724</v>
      </c>
      <c r="B356" s="2">
        <v>354</v>
      </c>
      <c r="C356" s="3" t="s">
        <v>57</v>
      </c>
      <c r="D356" s="3" t="s">
        <v>557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63</v>
      </c>
      <c r="K356" s="2">
        <v>17280920330</v>
      </c>
      <c r="L356" s="7">
        <f t="shared" si="11"/>
        <v>17280920330</v>
      </c>
      <c r="M356" s="7">
        <f t="shared" si="12"/>
        <v>17280920331</v>
      </c>
      <c r="N356" s="3" t="s">
        <v>179</v>
      </c>
      <c r="O356" s="5" t="s">
        <v>554</v>
      </c>
      <c r="P356" s="3" t="s">
        <v>66</v>
      </c>
      <c r="Q356" s="3" t="s">
        <v>180</v>
      </c>
      <c r="R356" s="2">
        <v>0</v>
      </c>
      <c r="S356" s="3" t="s">
        <v>66</v>
      </c>
      <c r="T356" s="3" t="s">
        <v>168</v>
      </c>
      <c r="U356" s="3" t="s">
        <v>66</v>
      </c>
      <c r="V356" s="3" t="s">
        <v>66</v>
      </c>
      <c r="W356" s="3" t="s">
        <v>66</v>
      </c>
      <c r="X356" s="3" t="s">
        <v>66</v>
      </c>
      <c r="Y356" s="3" t="s">
        <v>66</v>
      </c>
      <c r="Z356" s="3" t="s">
        <v>66</v>
      </c>
      <c r="AA356" s="3" t="s">
        <v>181</v>
      </c>
      <c r="AB356" s="3" t="s">
        <v>555</v>
      </c>
      <c r="AC356" s="2">
        <v>0</v>
      </c>
      <c r="AD356" s="3" t="s">
        <v>191</v>
      </c>
      <c r="AE356" s="3" t="s">
        <v>71</v>
      </c>
      <c r="AF356" s="3" t="s">
        <v>172</v>
      </c>
      <c r="AG356" s="3" t="s">
        <v>173</v>
      </c>
      <c r="AH356" s="3" t="s">
        <v>217</v>
      </c>
      <c r="AI356" s="3" t="s">
        <v>66</v>
      </c>
      <c r="AJ356" s="3" t="s">
        <v>66</v>
      </c>
      <c r="AK356" s="3" t="s">
        <v>175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3" t="s">
        <v>410</v>
      </c>
      <c r="BC356" s="3" t="s">
        <v>556</v>
      </c>
      <c r="BD356" s="2">
        <v>731667.00000000105</v>
      </c>
      <c r="BE356" s="2">
        <v>3762186</v>
      </c>
      <c r="BF356" s="4"/>
      <c r="BG356" s="4"/>
      <c r="BH356" s="4"/>
      <c r="BI356" s="2">
        <v>0</v>
      </c>
      <c r="BJ356" s="2">
        <v>0</v>
      </c>
    </row>
    <row r="357" spans="1:62" ht="58" hidden="1" x14ac:dyDescent="0.35">
      <c r="A357" s="2">
        <v>103725</v>
      </c>
      <c r="B357" s="2">
        <v>355</v>
      </c>
      <c r="C357" s="3" t="s">
        <v>57</v>
      </c>
      <c r="D357" s="3" t="s">
        <v>557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69</v>
      </c>
      <c r="K357" s="2">
        <v>17280920331</v>
      </c>
      <c r="L357" s="7">
        <f t="shared" si="11"/>
        <v>17280920331</v>
      </c>
      <c r="M357" s="7">
        <f t="shared" si="12"/>
        <v>17280920331</v>
      </c>
      <c r="N357" s="3" t="s">
        <v>179</v>
      </c>
      <c r="O357" s="5" t="s">
        <v>558</v>
      </c>
      <c r="P357" s="3" t="s">
        <v>183</v>
      </c>
      <c r="Q357" s="3" t="s">
        <v>180</v>
      </c>
      <c r="R357" s="2">
        <v>0</v>
      </c>
      <c r="S357" s="3" t="s">
        <v>66</v>
      </c>
      <c r="T357" s="3" t="s">
        <v>168</v>
      </c>
      <c r="U357" s="3" t="s">
        <v>195</v>
      </c>
      <c r="V357" s="3" t="s">
        <v>195</v>
      </c>
      <c r="W357" s="3" t="s">
        <v>195</v>
      </c>
      <c r="X357" s="3" t="s">
        <v>195</v>
      </c>
      <c r="Y357" s="3" t="s">
        <v>66</v>
      </c>
      <c r="Z357" s="3" t="s">
        <v>66</v>
      </c>
      <c r="AA357" s="3" t="s">
        <v>181</v>
      </c>
      <c r="AB357" s="3" t="s">
        <v>555</v>
      </c>
      <c r="AC357" s="2">
        <v>0</v>
      </c>
      <c r="AD357" s="3" t="s">
        <v>191</v>
      </c>
      <c r="AE357" s="3" t="s">
        <v>71</v>
      </c>
      <c r="AF357" s="3" t="s">
        <v>172</v>
      </c>
      <c r="AG357" s="3" t="s">
        <v>173</v>
      </c>
      <c r="AH357" s="3" t="s">
        <v>217</v>
      </c>
      <c r="AI357" s="3" t="s">
        <v>66</v>
      </c>
      <c r="AJ357" s="3" t="s">
        <v>66</v>
      </c>
      <c r="AK357" s="3" t="s">
        <v>175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3" t="s">
        <v>410</v>
      </c>
      <c r="BC357" s="3" t="s">
        <v>556</v>
      </c>
      <c r="BD357" s="2">
        <v>731668</v>
      </c>
      <c r="BE357" s="2">
        <v>3762185</v>
      </c>
      <c r="BF357" s="4"/>
      <c r="BG357" s="4"/>
      <c r="BH357" s="4"/>
      <c r="BI357" s="2">
        <v>0</v>
      </c>
      <c r="BJ357" s="2">
        <v>0</v>
      </c>
    </row>
    <row r="358" spans="1:62" hidden="1" x14ac:dyDescent="0.35">
      <c r="A358" s="2">
        <v>103726</v>
      </c>
      <c r="B358" s="2">
        <v>356</v>
      </c>
      <c r="C358" s="3" t="s">
        <v>57</v>
      </c>
      <c r="D358" s="3" t="s">
        <v>559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63</v>
      </c>
      <c r="K358" s="2">
        <v>17280920329</v>
      </c>
      <c r="L358" s="7">
        <f t="shared" si="11"/>
        <v>17280920331</v>
      </c>
      <c r="M358" s="7">
        <f t="shared" si="12"/>
        <v>17280920332</v>
      </c>
      <c r="N358" s="3" t="s">
        <v>64</v>
      </c>
      <c r="O358" s="5" t="s">
        <v>552</v>
      </c>
      <c r="P358" s="3" t="s">
        <v>66</v>
      </c>
      <c r="Q358" s="3" t="s">
        <v>72</v>
      </c>
      <c r="R358" s="2">
        <v>1</v>
      </c>
      <c r="S358" s="3" t="s">
        <v>73</v>
      </c>
      <c r="T358" s="3" t="s">
        <v>126</v>
      </c>
      <c r="U358" s="3" t="s">
        <v>66</v>
      </c>
      <c r="V358" s="3" t="s">
        <v>66</v>
      </c>
      <c r="W358" s="3" t="s">
        <v>66</v>
      </c>
      <c r="X358" s="3" t="s">
        <v>66</v>
      </c>
      <c r="Y358" s="3" t="s">
        <v>66</v>
      </c>
      <c r="Z358" s="3" t="s">
        <v>66</v>
      </c>
      <c r="AA358" s="3" t="s">
        <v>76</v>
      </c>
      <c r="AB358" s="3" t="s">
        <v>66</v>
      </c>
      <c r="AC358" s="2">
        <v>0</v>
      </c>
      <c r="AD358" s="3" t="s">
        <v>68</v>
      </c>
      <c r="AE358" s="3" t="s">
        <v>66</v>
      </c>
      <c r="AF358" s="3" t="s">
        <v>66</v>
      </c>
      <c r="AG358" s="3" t="s">
        <v>66</v>
      </c>
      <c r="AH358" s="3" t="s">
        <v>66</v>
      </c>
      <c r="AI358" s="3" t="s">
        <v>66</v>
      </c>
      <c r="AJ358" s="3" t="s">
        <v>66</v>
      </c>
      <c r="AK358" s="3" t="s">
        <v>66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3" t="s">
        <v>66</v>
      </c>
      <c r="BC358" s="3" t="s">
        <v>66</v>
      </c>
      <c r="BD358" s="2">
        <v>731667.00000000105</v>
      </c>
      <c r="BE358" s="2">
        <v>3762187</v>
      </c>
      <c r="BF358" s="4"/>
      <c r="BG358" s="4"/>
      <c r="BH358" s="4"/>
      <c r="BI358" s="2">
        <v>0</v>
      </c>
      <c r="BJ358" s="2">
        <v>0</v>
      </c>
    </row>
    <row r="359" spans="1:62" hidden="1" x14ac:dyDescent="0.35">
      <c r="A359" s="2">
        <v>103727</v>
      </c>
      <c r="B359" s="2">
        <v>357</v>
      </c>
      <c r="C359" s="3" t="s">
        <v>57</v>
      </c>
      <c r="D359" s="3" t="s">
        <v>559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69</v>
      </c>
      <c r="K359" s="2">
        <v>17280920332</v>
      </c>
      <c r="L359" s="7">
        <f t="shared" si="11"/>
        <v>17280920332</v>
      </c>
      <c r="M359" s="7">
        <f t="shared" si="12"/>
        <v>17280920332</v>
      </c>
      <c r="N359" s="3" t="s">
        <v>64</v>
      </c>
      <c r="O359" s="5" t="s">
        <v>560</v>
      </c>
      <c r="P359" s="3" t="s">
        <v>71</v>
      </c>
      <c r="Q359" s="3" t="s">
        <v>72</v>
      </c>
      <c r="R359" s="2">
        <v>1</v>
      </c>
      <c r="S359" s="3" t="s">
        <v>73</v>
      </c>
      <c r="T359" s="3" t="s">
        <v>126</v>
      </c>
      <c r="U359" s="3" t="s">
        <v>165</v>
      </c>
      <c r="V359" s="3" t="s">
        <v>165</v>
      </c>
      <c r="W359" s="3" t="s">
        <v>165</v>
      </c>
      <c r="X359" s="3" t="s">
        <v>66</v>
      </c>
      <c r="Y359" s="3" t="s">
        <v>66</v>
      </c>
      <c r="Z359" s="3" t="s">
        <v>66</v>
      </c>
      <c r="AA359" s="3" t="s">
        <v>76</v>
      </c>
      <c r="AB359" s="3" t="s">
        <v>66</v>
      </c>
      <c r="AC359" s="2">
        <v>0</v>
      </c>
      <c r="AD359" s="3" t="s">
        <v>68</v>
      </c>
      <c r="AE359" s="3" t="s">
        <v>66</v>
      </c>
      <c r="AF359" s="3" t="s">
        <v>66</v>
      </c>
      <c r="AG359" s="3" t="s">
        <v>66</v>
      </c>
      <c r="AH359" s="3" t="s">
        <v>66</v>
      </c>
      <c r="AI359" s="3" t="s">
        <v>66</v>
      </c>
      <c r="AJ359" s="3" t="s">
        <v>66</v>
      </c>
      <c r="AK359" s="3" t="s">
        <v>66</v>
      </c>
      <c r="AL359" s="3" t="s">
        <v>66</v>
      </c>
      <c r="AM359" s="3" t="s">
        <v>66</v>
      </c>
      <c r="AN359" s="3" t="s">
        <v>87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3" t="s">
        <v>66</v>
      </c>
      <c r="BC359" s="3" t="s">
        <v>66</v>
      </c>
      <c r="BD359" s="2">
        <v>731706</v>
      </c>
      <c r="BE359" s="2">
        <v>3762188</v>
      </c>
      <c r="BF359" s="4"/>
      <c r="BG359" s="4"/>
      <c r="BH359" s="4"/>
      <c r="BI359" s="2">
        <v>0</v>
      </c>
      <c r="BJ359" s="2">
        <v>0</v>
      </c>
    </row>
    <row r="360" spans="1:62" hidden="1" x14ac:dyDescent="0.35">
      <c r="A360" s="2">
        <v>103728</v>
      </c>
      <c r="B360" s="2">
        <v>358</v>
      </c>
      <c r="C360" s="3" t="s">
        <v>57</v>
      </c>
      <c r="D360" s="3" t="s">
        <v>561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63</v>
      </c>
      <c r="K360" s="2">
        <v>17280920332</v>
      </c>
      <c r="L360" s="7">
        <f t="shared" si="11"/>
        <v>17280920332</v>
      </c>
      <c r="M360" s="7">
        <f t="shared" si="12"/>
        <v>17280920333</v>
      </c>
      <c r="N360" s="3" t="s">
        <v>64</v>
      </c>
      <c r="O360" s="5" t="s">
        <v>560</v>
      </c>
      <c r="P360" s="3" t="s">
        <v>66</v>
      </c>
      <c r="Q360" s="3" t="s">
        <v>72</v>
      </c>
      <c r="R360" s="2">
        <v>1</v>
      </c>
      <c r="S360" s="3" t="s">
        <v>73</v>
      </c>
      <c r="T360" s="3" t="s">
        <v>126</v>
      </c>
      <c r="U360" s="3" t="s">
        <v>66</v>
      </c>
      <c r="V360" s="3" t="s">
        <v>66</v>
      </c>
      <c r="W360" s="3" t="s">
        <v>66</v>
      </c>
      <c r="X360" s="3" t="s">
        <v>66</v>
      </c>
      <c r="Y360" s="3" t="s">
        <v>66</v>
      </c>
      <c r="Z360" s="3" t="s">
        <v>66</v>
      </c>
      <c r="AA360" s="3" t="s">
        <v>76</v>
      </c>
      <c r="AB360" s="3" t="s">
        <v>66</v>
      </c>
      <c r="AC360" s="2">
        <v>0</v>
      </c>
      <c r="AD360" s="3" t="s">
        <v>68</v>
      </c>
      <c r="AE360" s="3" t="s">
        <v>66</v>
      </c>
      <c r="AF360" s="3" t="s">
        <v>66</v>
      </c>
      <c r="AG360" s="3" t="s">
        <v>66</v>
      </c>
      <c r="AH360" s="3" t="s">
        <v>66</v>
      </c>
      <c r="AI360" s="3" t="s">
        <v>66</v>
      </c>
      <c r="AJ360" s="3" t="s">
        <v>66</v>
      </c>
      <c r="AK360" s="3" t="s">
        <v>66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3" t="s">
        <v>66</v>
      </c>
      <c r="BC360" s="3" t="s">
        <v>66</v>
      </c>
      <c r="BD360" s="2">
        <v>731706</v>
      </c>
      <c r="BE360" s="2">
        <v>3762188</v>
      </c>
      <c r="BF360" s="4"/>
      <c r="BG360" s="4"/>
      <c r="BH360" s="4"/>
      <c r="BI360" s="2">
        <v>0</v>
      </c>
      <c r="BJ360" s="2">
        <v>0</v>
      </c>
    </row>
    <row r="361" spans="1:62" ht="58" hidden="1" x14ac:dyDescent="0.35">
      <c r="A361" s="2">
        <v>103729</v>
      </c>
      <c r="B361" s="2">
        <v>359</v>
      </c>
      <c r="C361" s="3" t="s">
        <v>57</v>
      </c>
      <c r="D361" s="3" t="s">
        <v>561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69</v>
      </c>
      <c r="K361" s="2">
        <v>17280920333</v>
      </c>
      <c r="L361" s="7">
        <f t="shared" si="11"/>
        <v>17280920333</v>
      </c>
      <c r="M361" s="7">
        <f t="shared" si="12"/>
        <v>17280920333</v>
      </c>
      <c r="N361" s="3" t="s">
        <v>64</v>
      </c>
      <c r="O361" s="5" t="s">
        <v>562</v>
      </c>
      <c r="P361" s="3" t="s">
        <v>71</v>
      </c>
      <c r="Q361" s="3" t="s">
        <v>72</v>
      </c>
      <c r="R361" s="2">
        <v>0</v>
      </c>
      <c r="S361" s="3" t="s">
        <v>66</v>
      </c>
      <c r="T361" s="3" t="s">
        <v>168</v>
      </c>
      <c r="U361" s="3" t="s">
        <v>165</v>
      </c>
      <c r="V361" s="3" t="s">
        <v>165</v>
      </c>
      <c r="W361" s="3" t="s">
        <v>165</v>
      </c>
      <c r="X361" s="3" t="s">
        <v>66</v>
      </c>
      <c r="Y361" s="3" t="s">
        <v>66</v>
      </c>
      <c r="Z361" s="3" t="s">
        <v>66</v>
      </c>
      <c r="AA361" s="3" t="s">
        <v>169</v>
      </c>
      <c r="AB361" s="3" t="s">
        <v>563</v>
      </c>
      <c r="AC361" s="2">
        <v>0</v>
      </c>
      <c r="AD361" s="3" t="s">
        <v>191</v>
      </c>
      <c r="AE361" s="3" t="s">
        <v>71</v>
      </c>
      <c r="AF361" s="3" t="s">
        <v>172</v>
      </c>
      <c r="AG361" s="3" t="s">
        <v>173</v>
      </c>
      <c r="AH361" s="3" t="s">
        <v>174</v>
      </c>
      <c r="AI361" s="3" t="s">
        <v>66</v>
      </c>
      <c r="AJ361" s="3" t="s">
        <v>66</v>
      </c>
      <c r="AK361" s="3" t="s">
        <v>205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3" t="s">
        <v>410</v>
      </c>
      <c r="BC361" s="3" t="s">
        <v>564</v>
      </c>
      <c r="BD361" s="2">
        <v>731706.99999999895</v>
      </c>
      <c r="BE361" s="2">
        <v>3762187</v>
      </c>
      <c r="BF361" s="4"/>
      <c r="BG361" s="4"/>
      <c r="BH361" s="4"/>
      <c r="BI361" s="2">
        <v>0</v>
      </c>
      <c r="BJ361" s="2">
        <v>0</v>
      </c>
    </row>
    <row r="362" spans="1:62" ht="58" hidden="1" x14ac:dyDescent="0.35">
      <c r="A362" s="2">
        <v>103730</v>
      </c>
      <c r="B362" s="2">
        <v>360</v>
      </c>
      <c r="C362" s="3" t="s">
        <v>57</v>
      </c>
      <c r="D362" s="3" t="s">
        <v>565</v>
      </c>
      <c r="E362" s="4"/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63</v>
      </c>
      <c r="K362" s="2">
        <v>17280920333</v>
      </c>
      <c r="L362" s="7">
        <f t="shared" si="11"/>
        <v>17280920333</v>
      </c>
      <c r="M362" s="7">
        <f t="shared" si="12"/>
        <v>17280920334</v>
      </c>
      <c r="N362" s="3" t="s">
        <v>179</v>
      </c>
      <c r="O362" s="5" t="s">
        <v>562</v>
      </c>
      <c r="P362" s="3" t="s">
        <v>66</v>
      </c>
      <c r="Q362" s="3" t="s">
        <v>180</v>
      </c>
      <c r="R362" s="2">
        <v>0</v>
      </c>
      <c r="S362" s="3" t="s">
        <v>66</v>
      </c>
      <c r="T362" s="3" t="s">
        <v>168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181</v>
      </c>
      <c r="AB362" s="3" t="s">
        <v>563</v>
      </c>
      <c r="AC362" s="2">
        <v>0</v>
      </c>
      <c r="AD362" s="3" t="s">
        <v>191</v>
      </c>
      <c r="AE362" s="3" t="s">
        <v>71</v>
      </c>
      <c r="AF362" s="3" t="s">
        <v>172</v>
      </c>
      <c r="AG362" s="3" t="s">
        <v>173</v>
      </c>
      <c r="AH362" s="3" t="s">
        <v>174</v>
      </c>
      <c r="AI362" s="3" t="s">
        <v>66</v>
      </c>
      <c r="AJ362" s="3" t="s">
        <v>66</v>
      </c>
      <c r="AK362" s="3" t="s">
        <v>205</v>
      </c>
      <c r="AL362" s="3" t="s">
        <v>66</v>
      </c>
      <c r="AM362" s="3" t="s">
        <v>66</v>
      </c>
      <c r="AN362" s="3" t="s">
        <v>66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3" t="s">
        <v>410</v>
      </c>
      <c r="BC362" s="3" t="s">
        <v>564</v>
      </c>
      <c r="BD362" s="2">
        <v>731706.99999999895</v>
      </c>
      <c r="BE362" s="2">
        <v>3762187</v>
      </c>
      <c r="BF362" s="4"/>
      <c r="BG362" s="4"/>
      <c r="BH362" s="4"/>
      <c r="BI362" s="2">
        <v>0</v>
      </c>
      <c r="BJ362" s="2">
        <v>0</v>
      </c>
    </row>
    <row r="363" spans="1:62" ht="58" hidden="1" x14ac:dyDescent="0.35">
      <c r="A363" s="2">
        <v>103731</v>
      </c>
      <c r="B363" s="2">
        <v>361</v>
      </c>
      <c r="C363" s="3" t="s">
        <v>57</v>
      </c>
      <c r="D363" s="3" t="s">
        <v>565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17280920334</v>
      </c>
      <c r="L363" s="7">
        <f t="shared" si="11"/>
        <v>17280920334</v>
      </c>
      <c r="M363" s="7">
        <f t="shared" si="12"/>
        <v>17280920334</v>
      </c>
      <c r="N363" s="3" t="s">
        <v>179</v>
      </c>
      <c r="O363" s="5" t="s">
        <v>566</v>
      </c>
      <c r="P363" s="3" t="s">
        <v>183</v>
      </c>
      <c r="Q363" s="3" t="s">
        <v>180</v>
      </c>
      <c r="R363" s="2">
        <v>0</v>
      </c>
      <c r="S363" s="3" t="s">
        <v>66</v>
      </c>
      <c r="T363" s="3" t="s">
        <v>168</v>
      </c>
      <c r="U363" s="3" t="s">
        <v>184</v>
      </c>
      <c r="V363" s="3" t="s">
        <v>184</v>
      </c>
      <c r="W363" s="3" t="s">
        <v>184</v>
      </c>
      <c r="X363" s="3" t="s">
        <v>184</v>
      </c>
      <c r="Y363" s="3" t="s">
        <v>66</v>
      </c>
      <c r="Z363" s="3" t="s">
        <v>66</v>
      </c>
      <c r="AA363" s="3" t="s">
        <v>181</v>
      </c>
      <c r="AB363" s="3" t="s">
        <v>563</v>
      </c>
      <c r="AC363" s="2">
        <v>0</v>
      </c>
      <c r="AD363" s="3" t="s">
        <v>191</v>
      </c>
      <c r="AE363" s="3" t="s">
        <v>71</v>
      </c>
      <c r="AF363" s="3" t="s">
        <v>172</v>
      </c>
      <c r="AG363" s="3" t="s">
        <v>173</v>
      </c>
      <c r="AH363" s="3" t="s">
        <v>174</v>
      </c>
      <c r="AI363" s="3" t="s">
        <v>66</v>
      </c>
      <c r="AJ363" s="3" t="s">
        <v>66</v>
      </c>
      <c r="AK363" s="3" t="s">
        <v>205</v>
      </c>
      <c r="AL363" s="3" t="s">
        <v>66</v>
      </c>
      <c r="AM363" s="3" t="s">
        <v>66</v>
      </c>
      <c r="AN363" s="3" t="s">
        <v>66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3" t="s">
        <v>410</v>
      </c>
      <c r="BC363" s="3" t="s">
        <v>564</v>
      </c>
      <c r="BD363" s="2">
        <v>731706</v>
      </c>
      <c r="BE363" s="2">
        <v>3762189</v>
      </c>
      <c r="BF363" s="4"/>
      <c r="BG363" s="4"/>
      <c r="BH363" s="4"/>
      <c r="BI363" s="2">
        <v>0</v>
      </c>
      <c r="BJ363" s="2">
        <v>0</v>
      </c>
    </row>
    <row r="364" spans="1:62" hidden="1" x14ac:dyDescent="0.35">
      <c r="A364" s="2">
        <v>103732</v>
      </c>
      <c r="B364" s="2">
        <v>362</v>
      </c>
      <c r="C364" s="3" t="s">
        <v>57</v>
      </c>
      <c r="D364" s="3" t="s">
        <v>567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17280920332</v>
      </c>
      <c r="L364" s="7">
        <f t="shared" si="11"/>
        <v>17280920334</v>
      </c>
      <c r="M364" s="7">
        <f t="shared" si="12"/>
        <v>17280920335</v>
      </c>
      <c r="N364" s="3" t="s">
        <v>64</v>
      </c>
      <c r="O364" s="5" t="s">
        <v>560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3" t="s">
        <v>66</v>
      </c>
      <c r="BC364" s="3" t="s">
        <v>66</v>
      </c>
      <c r="BD364" s="2">
        <v>731706</v>
      </c>
      <c r="BE364" s="2">
        <v>3762188</v>
      </c>
      <c r="BF364" s="4"/>
      <c r="BG364" s="4"/>
      <c r="BH364" s="4"/>
      <c r="BI364" s="2">
        <v>0</v>
      </c>
      <c r="BJ364" s="2">
        <v>0</v>
      </c>
    </row>
    <row r="365" spans="1:62" hidden="1" x14ac:dyDescent="0.35">
      <c r="A365" s="2">
        <v>103733</v>
      </c>
      <c r="B365" s="2">
        <v>363</v>
      </c>
      <c r="C365" s="3" t="s">
        <v>57</v>
      </c>
      <c r="D365" s="3" t="s">
        <v>567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17280920335</v>
      </c>
      <c r="L365" s="7">
        <f t="shared" si="11"/>
        <v>17280920335</v>
      </c>
      <c r="M365" s="7">
        <f t="shared" si="12"/>
        <v>17280920335</v>
      </c>
      <c r="N365" s="3" t="s">
        <v>64</v>
      </c>
      <c r="O365" s="5" t="s">
        <v>568</v>
      </c>
      <c r="P365" s="3" t="s">
        <v>71</v>
      </c>
      <c r="Q365" s="3" t="s">
        <v>72</v>
      </c>
      <c r="R365" s="2">
        <v>1</v>
      </c>
      <c r="S365" s="3" t="s">
        <v>73</v>
      </c>
      <c r="T365" s="3" t="s">
        <v>84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76</v>
      </c>
      <c r="AB365" s="3" t="s">
        <v>66</v>
      </c>
      <c r="AC365" s="2">
        <v>0</v>
      </c>
      <c r="AD365" s="3" t="s">
        <v>68</v>
      </c>
      <c r="AE365" s="3" t="s">
        <v>66</v>
      </c>
      <c r="AF365" s="3" t="s">
        <v>66</v>
      </c>
      <c r="AG365" s="3" t="s">
        <v>66</v>
      </c>
      <c r="AH365" s="3" t="s">
        <v>66</v>
      </c>
      <c r="AI365" s="3" t="s">
        <v>66</v>
      </c>
      <c r="AJ365" s="3" t="s">
        <v>66</v>
      </c>
      <c r="AK365" s="3" t="s">
        <v>66</v>
      </c>
      <c r="AL365" s="3" t="s">
        <v>66</v>
      </c>
      <c r="AM365" s="3" t="s">
        <v>66</v>
      </c>
      <c r="AN365" s="3" t="s">
        <v>77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3" t="s">
        <v>66</v>
      </c>
      <c r="BC365" s="3" t="s">
        <v>66</v>
      </c>
      <c r="BD365" s="2">
        <v>731708.00000000105</v>
      </c>
      <c r="BE365" s="2">
        <v>3762151</v>
      </c>
      <c r="BF365" s="4"/>
      <c r="BG365" s="4"/>
      <c r="BH365" s="4"/>
      <c r="BI365" s="2">
        <v>0</v>
      </c>
      <c r="BJ365" s="2">
        <v>0</v>
      </c>
    </row>
    <row r="366" spans="1:62" hidden="1" x14ac:dyDescent="0.35">
      <c r="A366" s="2">
        <v>103734</v>
      </c>
      <c r="B366" s="2">
        <v>364</v>
      </c>
      <c r="C366" s="3" t="s">
        <v>57</v>
      </c>
      <c r="D366" s="3" t="s">
        <v>569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17280920335</v>
      </c>
      <c r="L366" s="7">
        <f t="shared" si="11"/>
        <v>17280920335</v>
      </c>
      <c r="M366" s="7">
        <f t="shared" si="12"/>
        <v>17280920336</v>
      </c>
      <c r="N366" s="3" t="s">
        <v>64</v>
      </c>
      <c r="O366" s="5" t="s">
        <v>568</v>
      </c>
      <c r="P366" s="3" t="s">
        <v>66</v>
      </c>
      <c r="Q366" s="3" t="s">
        <v>72</v>
      </c>
      <c r="R366" s="2">
        <v>1</v>
      </c>
      <c r="S366" s="3" t="s">
        <v>73</v>
      </c>
      <c r="T366" s="3" t="s">
        <v>84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76</v>
      </c>
      <c r="AB366" s="3" t="s">
        <v>66</v>
      </c>
      <c r="AC366" s="2">
        <v>0</v>
      </c>
      <c r="AD366" s="3" t="s">
        <v>68</v>
      </c>
      <c r="AE366" s="3" t="s">
        <v>66</v>
      </c>
      <c r="AF366" s="3" t="s">
        <v>66</v>
      </c>
      <c r="AG366" s="3" t="s">
        <v>66</v>
      </c>
      <c r="AH366" s="3" t="s">
        <v>66</v>
      </c>
      <c r="AI366" s="3" t="s">
        <v>66</v>
      </c>
      <c r="AJ366" s="3" t="s">
        <v>66</v>
      </c>
      <c r="AK366" s="3" t="s">
        <v>66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3" t="s">
        <v>66</v>
      </c>
      <c r="BC366" s="3" t="s">
        <v>66</v>
      </c>
      <c r="BD366" s="2">
        <v>731708.00000000105</v>
      </c>
      <c r="BE366" s="2">
        <v>3762151</v>
      </c>
      <c r="BF366" s="4"/>
      <c r="BG366" s="4"/>
      <c r="BH366" s="4"/>
      <c r="BI366" s="2">
        <v>0</v>
      </c>
      <c r="BJ366" s="2">
        <v>0</v>
      </c>
    </row>
    <row r="367" spans="1:62" ht="58" hidden="1" x14ac:dyDescent="0.35">
      <c r="A367" s="2">
        <v>103735</v>
      </c>
      <c r="B367" s="2">
        <v>365</v>
      </c>
      <c r="C367" s="3" t="s">
        <v>57</v>
      </c>
      <c r="D367" s="3" t="s">
        <v>569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17280920336</v>
      </c>
      <c r="L367" s="7">
        <f t="shared" si="11"/>
        <v>17280920336</v>
      </c>
      <c r="M367" s="7">
        <f t="shared" si="12"/>
        <v>17280920336</v>
      </c>
      <c r="N367" s="3" t="s">
        <v>64</v>
      </c>
      <c r="O367" s="5" t="s">
        <v>570</v>
      </c>
      <c r="P367" s="3" t="s">
        <v>71</v>
      </c>
      <c r="Q367" s="3" t="s">
        <v>72</v>
      </c>
      <c r="R367" s="2">
        <v>0</v>
      </c>
      <c r="S367" s="3" t="s">
        <v>66</v>
      </c>
      <c r="T367" s="3" t="s">
        <v>168</v>
      </c>
      <c r="U367" s="3" t="s">
        <v>165</v>
      </c>
      <c r="V367" s="3" t="s">
        <v>165</v>
      </c>
      <c r="W367" s="3" t="s">
        <v>165</v>
      </c>
      <c r="X367" s="3" t="s">
        <v>66</v>
      </c>
      <c r="Y367" s="3" t="s">
        <v>66</v>
      </c>
      <c r="Z367" s="3" t="s">
        <v>66</v>
      </c>
      <c r="AA367" s="3" t="s">
        <v>169</v>
      </c>
      <c r="AB367" s="3" t="s">
        <v>571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231</v>
      </c>
      <c r="AI367" s="3" t="s">
        <v>66</v>
      </c>
      <c r="AJ367" s="3" t="s">
        <v>66</v>
      </c>
      <c r="AK367" s="3" t="s">
        <v>205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3" t="s">
        <v>410</v>
      </c>
      <c r="BC367" s="3" t="s">
        <v>572</v>
      </c>
      <c r="BD367" s="2">
        <v>731708.00000000105</v>
      </c>
      <c r="BE367" s="2">
        <v>3762150</v>
      </c>
      <c r="BF367" s="4"/>
      <c r="BG367" s="4"/>
      <c r="BH367" s="4"/>
      <c r="BI367" s="2">
        <v>0</v>
      </c>
      <c r="BJ367" s="2">
        <v>0</v>
      </c>
    </row>
    <row r="368" spans="1:62" ht="58" hidden="1" x14ac:dyDescent="0.35">
      <c r="A368" s="2">
        <v>103736</v>
      </c>
      <c r="B368" s="2">
        <v>366</v>
      </c>
      <c r="C368" s="3" t="s">
        <v>57</v>
      </c>
      <c r="D368" s="3" t="s">
        <v>573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17280920336</v>
      </c>
      <c r="L368" s="7">
        <f t="shared" si="11"/>
        <v>17280920336</v>
      </c>
      <c r="M368" s="7">
        <f t="shared" si="12"/>
        <v>17280920337</v>
      </c>
      <c r="N368" s="3" t="s">
        <v>179</v>
      </c>
      <c r="O368" s="5" t="s">
        <v>570</v>
      </c>
      <c r="P368" s="3" t="s">
        <v>66</v>
      </c>
      <c r="Q368" s="3" t="s">
        <v>180</v>
      </c>
      <c r="R368" s="2">
        <v>0</v>
      </c>
      <c r="S368" s="3" t="s">
        <v>66</v>
      </c>
      <c r="T368" s="3" t="s">
        <v>168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181</v>
      </c>
      <c r="AB368" s="3" t="s">
        <v>571</v>
      </c>
      <c r="AC368" s="2">
        <v>0</v>
      </c>
      <c r="AD368" s="3" t="s">
        <v>191</v>
      </c>
      <c r="AE368" s="3" t="s">
        <v>71</v>
      </c>
      <c r="AF368" s="3" t="s">
        <v>172</v>
      </c>
      <c r="AG368" s="3" t="s">
        <v>173</v>
      </c>
      <c r="AH368" s="3" t="s">
        <v>231</v>
      </c>
      <c r="AI368" s="3" t="s">
        <v>66</v>
      </c>
      <c r="AJ368" s="3" t="s">
        <v>66</v>
      </c>
      <c r="AK368" s="3" t="s">
        <v>205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3" t="s">
        <v>410</v>
      </c>
      <c r="BC368" s="3" t="s">
        <v>572</v>
      </c>
      <c r="BD368" s="2">
        <v>731708.00000000105</v>
      </c>
      <c r="BE368" s="2">
        <v>3762150</v>
      </c>
      <c r="BF368" s="4"/>
      <c r="BG368" s="4"/>
      <c r="BH368" s="4"/>
      <c r="BI368" s="2">
        <v>0</v>
      </c>
      <c r="BJ368" s="2">
        <v>0</v>
      </c>
    </row>
    <row r="369" spans="1:62" ht="58" hidden="1" x14ac:dyDescent="0.35">
      <c r="A369" s="2">
        <v>103737</v>
      </c>
      <c r="B369" s="2">
        <v>367</v>
      </c>
      <c r="C369" s="3" t="s">
        <v>57</v>
      </c>
      <c r="D369" s="3" t="s">
        <v>573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17280920337</v>
      </c>
      <c r="L369" s="7">
        <f t="shared" si="11"/>
        <v>17280920337</v>
      </c>
      <c r="M369" s="7">
        <f t="shared" si="12"/>
        <v>17280920337</v>
      </c>
      <c r="N369" s="3" t="s">
        <v>179</v>
      </c>
      <c r="O369" s="5" t="s">
        <v>574</v>
      </c>
      <c r="P369" s="3" t="s">
        <v>183</v>
      </c>
      <c r="Q369" s="3" t="s">
        <v>180</v>
      </c>
      <c r="R369" s="2">
        <v>0</v>
      </c>
      <c r="S369" s="3" t="s">
        <v>66</v>
      </c>
      <c r="T369" s="3" t="s">
        <v>168</v>
      </c>
      <c r="U369" s="3" t="s">
        <v>195</v>
      </c>
      <c r="V369" s="3" t="s">
        <v>195</v>
      </c>
      <c r="W369" s="3" t="s">
        <v>195</v>
      </c>
      <c r="X369" s="3" t="s">
        <v>195</v>
      </c>
      <c r="Y369" s="3" t="s">
        <v>66</v>
      </c>
      <c r="Z369" s="3" t="s">
        <v>66</v>
      </c>
      <c r="AA369" s="3" t="s">
        <v>181</v>
      </c>
      <c r="AB369" s="3" t="s">
        <v>571</v>
      </c>
      <c r="AC369" s="2">
        <v>0</v>
      </c>
      <c r="AD369" s="3" t="s">
        <v>191</v>
      </c>
      <c r="AE369" s="3" t="s">
        <v>71</v>
      </c>
      <c r="AF369" s="3" t="s">
        <v>172</v>
      </c>
      <c r="AG369" s="3" t="s">
        <v>173</v>
      </c>
      <c r="AH369" s="3" t="s">
        <v>231</v>
      </c>
      <c r="AI369" s="3" t="s">
        <v>66</v>
      </c>
      <c r="AJ369" s="3" t="s">
        <v>66</v>
      </c>
      <c r="AK369" s="3" t="s">
        <v>205</v>
      </c>
      <c r="AL369" s="3" t="s">
        <v>66</v>
      </c>
      <c r="AM369" s="3" t="s">
        <v>66</v>
      </c>
      <c r="AN369" s="3" t="s">
        <v>66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3" t="s">
        <v>410</v>
      </c>
      <c r="BC369" s="3" t="s">
        <v>572</v>
      </c>
      <c r="BD369" s="2">
        <v>731708.00000000105</v>
      </c>
      <c r="BE369" s="2">
        <v>3762152</v>
      </c>
      <c r="BF369" s="4"/>
      <c r="BG369" s="4"/>
      <c r="BH369" s="4"/>
      <c r="BI369" s="2">
        <v>0</v>
      </c>
      <c r="BJ369" s="2">
        <v>0</v>
      </c>
    </row>
    <row r="370" spans="1:62" hidden="1" x14ac:dyDescent="0.35">
      <c r="A370" s="2">
        <v>103738</v>
      </c>
      <c r="B370" s="2">
        <v>368</v>
      </c>
      <c r="C370" s="3" t="s">
        <v>57</v>
      </c>
      <c r="D370" s="3" t="s">
        <v>575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17280920308</v>
      </c>
      <c r="L370" s="7">
        <f t="shared" si="11"/>
        <v>17280920337</v>
      </c>
      <c r="M370" s="7">
        <f t="shared" si="12"/>
        <v>17280920339</v>
      </c>
      <c r="N370" s="3" t="s">
        <v>64</v>
      </c>
      <c r="O370" s="5" t="s">
        <v>511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84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3" t="s">
        <v>66</v>
      </c>
      <c r="BC370" s="3" t="s">
        <v>66</v>
      </c>
      <c r="BD370" s="2">
        <v>731602</v>
      </c>
      <c r="BE370" s="2">
        <v>3762628</v>
      </c>
      <c r="BF370" s="4"/>
      <c r="BG370" s="4"/>
      <c r="BH370" s="4"/>
      <c r="BI370" s="2">
        <v>0</v>
      </c>
      <c r="BJ370" s="2">
        <v>0</v>
      </c>
    </row>
    <row r="371" spans="1:62" hidden="1" x14ac:dyDescent="0.35">
      <c r="A371" s="2">
        <v>103739</v>
      </c>
      <c r="B371" s="2">
        <v>369</v>
      </c>
      <c r="C371" s="3" t="s">
        <v>57</v>
      </c>
      <c r="D371" s="3" t="s">
        <v>575</v>
      </c>
      <c r="E371" s="2">
        <v>0</v>
      </c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66</v>
      </c>
      <c r="K371" s="2">
        <v>17280920338</v>
      </c>
      <c r="L371" s="7">
        <f t="shared" si="11"/>
        <v>17280920337</v>
      </c>
      <c r="M371" s="7">
        <f t="shared" si="12"/>
        <v>17280920339</v>
      </c>
      <c r="N371" s="3" t="s">
        <v>64</v>
      </c>
      <c r="O371" s="5" t="s">
        <v>576</v>
      </c>
      <c r="P371" s="3" t="s">
        <v>66</v>
      </c>
      <c r="Q371" s="3" t="s">
        <v>72</v>
      </c>
      <c r="R371" s="2">
        <v>1</v>
      </c>
      <c r="S371" s="3" t="s">
        <v>73</v>
      </c>
      <c r="T371" s="3" t="s">
        <v>144</v>
      </c>
      <c r="U371" s="3" t="s">
        <v>66</v>
      </c>
      <c r="V371" s="3" t="s">
        <v>66</v>
      </c>
      <c r="W371" s="3" t="s">
        <v>66</v>
      </c>
      <c r="X371" s="3" t="s">
        <v>66</v>
      </c>
      <c r="Y371" s="3" t="s">
        <v>66</v>
      </c>
      <c r="Z371" s="3" t="s">
        <v>66</v>
      </c>
      <c r="AA371" s="3" t="s">
        <v>76</v>
      </c>
      <c r="AB371" s="3" t="s">
        <v>66</v>
      </c>
      <c r="AC371" s="2">
        <v>0</v>
      </c>
      <c r="AD371" s="3" t="s">
        <v>68</v>
      </c>
      <c r="AE371" s="3" t="s">
        <v>66</v>
      </c>
      <c r="AF371" s="3" t="s">
        <v>66</v>
      </c>
      <c r="AG371" s="3" t="s">
        <v>66</v>
      </c>
      <c r="AH371" s="3" t="s">
        <v>66</v>
      </c>
      <c r="AI371" s="3" t="s">
        <v>66</v>
      </c>
      <c r="AJ371" s="3" t="s">
        <v>66</v>
      </c>
      <c r="AK371" s="3" t="s">
        <v>66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3" t="s">
        <v>66</v>
      </c>
      <c r="BC371" s="3" t="s">
        <v>66</v>
      </c>
      <c r="BD371" s="2">
        <v>731640</v>
      </c>
      <c r="BE371" s="2">
        <v>3762630</v>
      </c>
      <c r="BF371" s="4"/>
      <c r="BG371" s="4"/>
      <c r="BH371" s="4"/>
      <c r="BI371" s="2">
        <v>0</v>
      </c>
      <c r="BJ371" s="2">
        <v>0</v>
      </c>
    </row>
    <row r="372" spans="1:62" hidden="1" x14ac:dyDescent="0.35">
      <c r="A372" s="2">
        <v>103740</v>
      </c>
      <c r="B372" s="2">
        <v>370</v>
      </c>
      <c r="C372" s="3" t="s">
        <v>57</v>
      </c>
      <c r="D372" s="3" t="s">
        <v>575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69</v>
      </c>
      <c r="K372" s="2">
        <v>17280920339</v>
      </c>
      <c r="L372" s="7">
        <f t="shared" si="11"/>
        <v>17280920339</v>
      </c>
      <c r="M372" s="7">
        <f t="shared" si="12"/>
        <v>17280920339</v>
      </c>
      <c r="N372" s="3" t="s">
        <v>64</v>
      </c>
      <c r="O372" s="5" t="s">
        <v>577</v>
      </c>
      <c r="P372" s="3" t="s">
        <v>71</v>
      </c>
      <c r="Q372" s="3" t="s">
        <v>72</v>
      </c>
      <c r="R372" s="2">
        <v>1</v>
      </c>
      <c r="S372" s="3" t="s">
        <v>73</v>
      </c>
      <c r="T372" s="3" t="s">
        <v>126</v>
      </c>
      <c r="U372" s="3" t="s">
        <v>269</v>
      </c>
      <c r="V372" s="3" t="s">
        <v>269</v>
      </c>
      <c r="W372" s="3" t="s">
        <v>269</v>
      </c>
      <c r="X372" s="3" t="s">
        <v>66</v>
      </c>
      <c r="Y372" s="3" t="s">
        <v>66</v>
      </c>
      <c r="Z372" s="3" t="s">
        <v>66</v>
      </c>
      <c r="AA372" s="3" t="s">
        <v>76</v>
      </c>
      <c r="AB372" s="3" t="s">
        <v>66</v>
      </c>
      <c r="AC372" s="2">
        <v>0</v>
      </c>
      <c r="AD372" s="3" t="s">
        <v>68</v>
      </c>
      <c r="AE372" s="3" t="s">
        <v>66</v>
      </c>
      <c r="AF372" s="3" t="s">
        <v>66</v>
      </c>
      <c r="AG372" s="3" t="s">
        <v>66</v>
      </c>
      <c r="AH372" s="3" t="s">
        <v>66</v>
      </c>
      <c r="AI372" s="3" t="s">
        <v>66</v>
      </c>
      <c r="AJ372" s="3" t="s">
        <v>66</v>
      </c>
      <c r="AK372" s="3" t="s">
        <v>66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3" t="s">
        <v>66</v>
      </c>
      <c r="BC372" s="3" t="s">
        <v>66</v>
      </c>
      <c r="BD372" s="2">
        <v>731665</v>
      </c>
      <c r="BE372" s="2">
        <v>3762625</v>
      </c>
      <c r="BF372" s="4"/>
      <c r="BG372" s="4"/>
      <c r="BH372" s="4"/>
      <c r="BI372" s="2">
        <v>0</v>
      </c>
      <c r="BJ372" s="2">
        <v>0</v>
      </c>
    </row>
    <row r="373" spans="1:62" hidden="1" x14ac:dyDescent="0.35">
      <c r="A373" s="2">
        <v>103741</v>
      </c>
      <c r="B373" s="2">
        <v>371</v>
      </c>
      <c r="C373" s="3" t="s">
        <v>57</v>
      </c>
      <c r="D373" s="3" t="s">
        <v>578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63</v>
      </c>
      <c r="K373" s="2">
        <v>17280920339</v>
      </c>
      <c r="L373" s="7">
        <f t="shared" si="11"/>
        <v>17280920339</v>
      </c>
      <c r="M373" s="7">
        <f t="shared" si="12"/>
        <v>17280920340</v>
      </c>
      <c r="N373" s="3" t="s">
        <v>64</v>
      </c>
      <c r="O373" s="5" t="s">
        <v>577</v>
      </c>
      <c r="P373" s="3" t="s">
        <v>66</v>
      </c>
      <c r="Q373" s="3" t="s">
        <v>72</v>
      </c>
      <c r="R373" s="2">
        <v>1</v>
      </c>
      <c r="S373" s="3" t="s">
        <v>73</v>
      </c>
      <c r="T373" s="3" t="s">
        <v>126</v>
      </c>
      <c r="U373" s="3" t="s">
        <v>66</v>
      </c>
      <c r="V373" s="3" t="s">
        <v>66</v>
      </c>
      <c r="W373" s="3" t="s">
        <v>66</v>
      </c>
      <c r="X373" s="3" t="s">
        <v>66</v>
      </c>
      <c r="Y373" s="3" t="s">
        <v>66</v>
      </c>
      <c r="Z373" s="3" t="s">
        <v>66</v>
      </c>
      <c r="AA373" s="3" t="s">
        <v>76</v>
      </c>
      <c r="AB373" s="3" t="s">
        <v>66</v>
      </c>
      <c r="AC373" s="2">
        <v>0</v>
      </c>
      <c r="AD373" s="3" t="s">
        <v>68</v>
      </c>
      <c r="AE373" s="3" t="s">
        <v>66</v>
      </c>
      <c r="AF373" s="3" t="s">
        <v>66</v>
      </c>
      <c r="AG373" s="3" t="s">
        <v>66</v>
      </c>
      <c r="AH373" s="3" t="s">
        <v>66</v>
      </c>
      <c r="AI373" s="3" t="s">
        <v>66</v>
      </c>
      <c r="AJ373" s="3" t="s">
        <v>66</v>
      </c>
      <c r="AK373" s="3" t="s">
        <v>66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3" t="s">
        <v>66</v>
      </c>
      <c r="BC373" s="3" t="s">
        <v>66</v>
      </c>
      <c r="BD373" s="2">
        <v>731665</v>
      </c>
      <c r="BE373" s="2">
        <v>3762625</v>
      </c>
      <c r="BF373" s="4"/>
      <c r="BG373" s="4"/>
      <c r="BH373" s="4"/>
      <c r="BI373" s="2">
        <v>0</v>
      </c>
      <c r="BJ373" s="2">
        <v>0</v>
      </c>
    </row>
    <row r="374" spans="1:62" ht="58" hidden="1" x14ac:dyDescent="0.35">
      <c r="A374" s="2">
        <v>103742</v>
      </c>
      <c r="B374" s="2">
        <v>372</v>
      </c>
      <c r="C374" s="3" t="s">
        <v>57</v>
      </c>
      <c r="D374" s="3" t="s">
        <v>578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69</v>
      </c>
      <c r="K374" s="2">
        <v>17280920340</v>
      </c>
      <c r="L374" s="7">
        <f t="shared" si="11"/>
        <v>17280920340</v>
      </c>
      <c r="M374" s="7">
        <f t="shared" si="12"/>
        <v>17280920340</v>
      </c>
      <c r="N374" s="3" t="s">
        <v>64</v>
      </c>
      <c r="O374" s="5" t="s">
        <v>579</v>
      </c>
      <c r="P374" s="3" t="s">
        <v>71</v>
      </c>
      <c r="Q374" s="3" t="s">
        <v>72</v>
      </c>
      <c r="R374" s="2">
        <v>0</v>
      </c>
      <c r="S374" s="3" t="s">
        <v>66</v>
      </c>
      <c r="T374" s="3" t="s">
        <v>168</v>
      </c>
      <c r="U374" s="3" t="s">
        <v>165</v>
      </c>
      <c r="V374" s="3" t="s">
        <v>165</v>
      </c>
      <c r="W374" s="3" t="s">
        <v>165</v>
      </c>
      <c r="X374" s="3" t="s">
        <v>66</v>
      </c>
      <c r="Y374" s="3" t="s">
        <v>66</v>
      </c>
      <c r="Z374" s="3" t="s">
        <v>66</v>
      </c>
      <c r="AA374" s="3" t="s">
        <v>169</v>
      </c>
      <c r="AB374" s="3" t="s">
        <v>580</v>
      </c>
      <c r="AC374" s="2">
        <v>0</v>
      </c>
      <c r="AD374" s="3" t="s">
        <v>171</v>
      </c>
      <c r="AE374" s="3" t="s">
        <v>71</v>
      </c>
      <c r="AF374" s="3" t="s">
        <v>172</v>
      </c>
      <c r="AG374" s="3" t="s">
        <v>173</v>
      </c>
      <c r="AH374" s="3" t="s">
        <v>581</v>
      </c>
      <c r="AI374" s="3" t="s">
        <v>66</v>
      </c>
      <c r="AJ374" s="3" t="s">
        <v>66</v>
      </c>
      <c r="AK374" s="3" t="s">
        <v>205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3" t="s">
        <v>410</v>
      </c>
      <c r="BC374" s="3" t="s">
        <v>582</v>
      </c>
      <c r="BD374" s="2">
        <v>731665</v>
      </c>
      <c r="BE374" s="2">
        <v>3762626</v>
      </c>
      <c r="BF374" s="4"/>
      <c r="BG374" s="4"/>
      <c r="BH374" s="4"/>
      <c r="BI374" s="2">
        <v>0</v>
      </c>
      <c r="BJ374" s="2">
        <v>0</v>
      </c>
    </row>
    <row r="375" spans="1:62" ht="58" hidden="1" x14ac:dyDescent="0.35">
      <c r="A375" s="2">
        <v>103743</v>
      </c>
      <c r="B375" s="2">
        <v>373</v>
      </c>
      <c r="C375" s="3" t="s">
        <v>57</v>
      </c>
      <c r="D375" s="3" t="s">
        <v>583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63</v>
      </c>
      <c r="K375" s="2">
        <v>17280920340</v>
      </c>
      <c r="L375" s="7">
        <f t="shared" si="11"/>
        <v>17280920340</v>
      </c>
      <c r="M375" s="7">
        <f t="shared" si="12"/>
        <v>17280920341</v>
      </c>
      <c r="N375" s="3" t="s">
        <v>179</v>
      </c>
      <c r="O375" s="5" t="s">
        <v>579</v>
      </c>
      <c r="P375" s="3" t="s">
        <v>66</v>
      </c>
      <c r="Q375" s="3" t="s">
        <v>180</v>
      </c>
      <c r="R375" s="2">
        <v>0</v>
      </c>
      <c r="S375" s="3" t="s">
        <v>66</v>
      </c>
      <c r="T375" s="3" t="s">
        <v>168</v>
      </c>
      <c r="U375" s="3" t="s">
        <v>66</v>
      </c>
      <c r="V375" s="3" t="s">
        <v>66</v>
      </c>
      <c r="W375" s="3" t="s">
        <v>66</v>
      </c>
      <c r="X375" s="3" t="s">
        <v>66</v>
      </c>
      <c r="Y375" s="3" t="s">
        <v>66</v>
      </c>
      <c r="Z375" s="3" t="s">
        <v>66</v>
      </c>
      <c r="AA375" s="3" t="s">
        <v>181</v>
      </c>
      <c r="AB375" s="3" t="s">
        <v>580</v>
      </c>
      <c r="AC375" s="2">
        <v>0</v>
      </c>
      <c r="AD375" s="3" t="s">
        <v>171</v>
      </c>
      <c r="AE375" s="3" t="s">
        <v>71</v>
      </c>
      <c r="AF375" s="3" t="s">
        <v>172</v>
      </c>
      <c r="AG375" s="3" t="s">
        <v>173</v>
      </c>
      <c r="AH375" s="3" t="s">
        <v>581</v>
      </c>
      <c r="AI375" s="3" t="s">
        <v>66</v>
      </c>
      <c r="AJ375" s="3" t="s">
        <v>66</v>
      </c>
      <c r="AK375" s="3" t="s">
        <v>205</v>
      </c>
      <c r="AL375" s="3" t="s">
        <v>66</v>
      </c>
      <c r="AM375" s="3" t="s">
        <v>66</v>
      </c>
      <c r="AN375" s="3" t="s">
        <v>66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3" t="s">
        <v>410</v>
      </c>
      <c r="BC375" s="3" t="s">
        <v>582</v>
      </c>
      <c r="BD375" s="2">
        <v>731665</v>
      </c>
      <c r="BE375" s="2">
        <v>3762626</v>
      </c>
      <c r="BF375" s="4"/>
      <c r="BG375" s="4"/>
      <c r="BH375" s="4"/>
      <c r="BI375" s="2">
        <v>0</v>
      </c>
      <c r="BJ375" s="2">
        <v>0</v>
      </c>
    </row>
    <row r="376" spans="1:62" ht="58" hidden="1" x14ac:dyDescent="0.35">
      <c r="A376" s="2">
        <v>103744</v>
      </c>
      <c r="B376" s="2">
        <v>374</v>
      </c>
      <c r="C376" s="3" t="s">
        <v>57</v>
      </c>
      <c r="D376" s="3" t="s">
        <v>583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69</v>
      </c>
      <c r="K376" s="2">
        <v>17280920341</v>
      </c>
      <c r="L376" s="7">
        <f t="shared" si="11"/>
        <v>17280920341</v>
      </c>
      <c r="M376" s="7">
        <f t="shared" si="12"/>
        <v>17280920341</v>
      </c>
      <c r="N376" s="3" t="s">
        <v>179</v>
      </c>
      <c r="O376" s="5" t="s">
        <v>584</v>
      </c>
      <c r="P376" s="3" t="s">
        <v>183</v>
      </c>
      <c r="Q376" s="3" t="s">
        <v>180</v>
      </c>
      <c r="R376" s="2">
        <v>0</v>
      </c>
      <c r="S376" s="3" t="s">
        <v>66</v>
      </c>
      <c r="T376" s="3" t="s">
        <v>168</v>
      </c>
      <c r="U376" s="3" t="s">
        <v>248</v>
      </c>
      <c r="V376" s="3" t="s">
        <v>248</v>
      </c>
      <c r="W376" s="3" t="s">
        <v>248</v>
      </c>
      <c r="X376" s="3" t="s">
        <v>248</v>
      </c>
      <c r="Y376" s="3" t="s">
        <v>66</v>
      </c>
      <c r="Z376" s="3" t="s">
        <v>66</v>
      </c>
      <c r="AA376" s="3" t="s">
        <v>181</v>
      </c>
      <c r="AB376" s="3" t="s">
        <v>580</v>
      </c>
      <c r="AC376" s="2">
        <v>0</v>
      </c>
      <c r="AD376" s="3" t="s">
        <v>171</v>
      </c>
      <c r="AE376" s="3" t="s">
        <v>71</v>
      </c>
      <c r="AF376" s="3" t="s">
        <v>172</v>
      </c>
      <c r="AG376" s="3" t="s">
        <v>173</v>
      </c>
      <c r="AH376" s="3" t="s">
        <v>581</v>
      </c>
      <c r="AI376" s="3" t="s">
        <v>66</v>
      </c>
      <c r="AJ376" s="3" t="s">
        <v>66</v>
      </c>
      <c r="AK376" s="3" t="s">
        <v>205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3" t="s">
        <v>410</v>
      </c>
      <c r="BC376" s="3" t="s">
        <v>582</v>
      </c>
      <c r="BD376" s="2">
        <v>731667.00000000105</v>
      </c>
      <c r="BE376" s="2">
        <v>3762626</v>
      </c>
      <c r="BF376" s="4"/>
      <c r="BG376" s="4"/>
      <c r="BH376" s="4"/>
      <c r="BI376" s="2">
        <v>0</v>
      </c>
      <c r="BJ376" s="2">
        <v>0</v>
      </c>
    </row>
    <row r="377" spans="1:62" hidden="1" x14ac:dyDescent="0.35">
      <c r="A377" s="2">
        <v>103745</v>
      </c>
      <c r="B377" s="2">
        <v>375</v>
      </c>
      <c r="C377" s="3" t="s">
        <v>57</v>
      </c>
      <c r="D377" s="3" t="s">
        <v>585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63</v>
      </c>
      <c r="K377" s="2">
        <v>17280920339</v>
      </c>
      <c r="L377" s="7">
        <f t="shared" si="11"/>
        <v>17280920341</v>
      </c>
      <c r="M377" s="7">
        <f t="shared" si="12"/>
        <v>17280920342</v>
      </c>
      <c r="N377" s="3" t="s">
        <v>64</v>
      </c>
      <c r="O377" s="5" t="s">
        <v>577</v>
      </c>
      <c r="P377" s="3" t="s">
        <v>66</v>
      </c>
      <c r="Q377" s="3" t="s">
        <v>72</v>
      </c>
      <c r="R377" s="2">
        <v>1</v>
      </c>
      <c r="S377" s="3" t="s">
        <v>73</v>
      </c>
      <c r="T377" s="3" t="s">
        <v>126</v>
      </c>
      <c r="U377" s="3" t="s">
        <v>66</v>
      </c>
      <c r="V377" s="3" t="s">
        <v>66</v>
      </c>
      <c r="W377" s="3" t="s">
        <v>66</v>
      </c>
      <c r="X377" s="3" t="s">
        <v>66</v>
      </c>
      <c r="Y377" s="3" t="s">
        <v>66</v>
      </c>
      <c r="Z377" s="3" t="s">
        <v>66</v>
      </c>
      <c r="AA377" s="3" t="s">
        <v>76</v>
      </c>
      <c r="AB377" s="3" t="s">
        <v>66</v>
      </c>
      <c r="AC377" s="2">
        <v>0</v>
      </c>
      <c r="AD377" s="3" t="s">
        <v>68</v>
      </c>
      <c r="AE377" s="3" t="s">
        <v>66</v>
      </c>
      <c r="AF377" s="3" t="s">
        <v>66</v>
      </c>
      <c r="AG377" s="3" t="s">
        <v>66</v>
      </c>
      <c r="AH377" s="3" t="s">
        <v>66</v>
      </c>
      <c r="AI377" s="3" t="s">
        <v>66</v>
      </c>
      <c r="AJ377" s="3" t="s">
        <v>66</v>
      </c>
      <c r="AK377" s="3" t="s">
        <v>66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3" t="s">
        <v>66</v>
      </c>
      <c r="BC377" s="3" t="s">
        <v>66</v>
      </c>
      <c r="BD377" s="2">
        <v>731665</v>
      </c>
      <c r="BE377" s="2">
        <v>3762625</v>
      </c>
      <c r="BF377" s="4"/>
      <c r="BG377" s="4"/>
      <c r="BH377" s="4"/>
      <c r="BI377" s="2">
        <v>0</v>
      </c>
      <c r="BJ377" s="2">
        <v>0</v>
      </c>
    </row>
    <row r="378" spans="1:62" hidden="1" x14ac:dyDescent="0.35">
      <c r="A378" s="2">
        <v>103746</v>
      </c>
      <c r="B378" s="2">
        <v>376</v>
      </c>
      <c r="C378" s="3" t="s">
        <v>57</v>
      </c>
      <c r="D378" s="3" t="s">
        <v>585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69</v>
      </c>
      <c r="K378" s="2">
        <v>17280920342</v>
      </c>
      <c r="L378" s="7">
        <f t="shared" si="11"/>
        <v>17280920342</v>
      </c>
      <c r="M378" s="7">
        <f t="shared" si="12"/>
        <v>17280920342</v>
      </c>
      <c r="N378" s="3" t="s">
        <v>64</v>
      </c>
      <c r="O378" s="5" t="s">
        <v>586</v>
      </c>
      <c r="P378" s="3" t="s">
        <v>71</v>
      </c>
      <c r="Q378" s="3" t="s">
        <v>72</v>
      </c>
      <c r="R378" s="2">
        <v>1</v>
      </c>
      <c r="S378" s="3" t="s">
        <v>73</v>
      </c>
      <c r="T378" s="3" t="s">
        <v>84</v>
      </c>
      <c r="U378" s="3" t="s">
        <v>269</v>
      </c>
      <c r="V378" s="3" t="s">
        <v>269</v>
      </c>
      <c r="W378" s="3" t="s">
        <v>269</v>
      </c>
      <c r="X378" s="3" t="s">
        <v>66</v>
      </c>
      <c r="Y378" s="3" t="s">
        <v>66</v>
      </c>
      <c r="Z378" s="3" t="s">
        <v>66</v>
      </c>
      <c r="AA378" s="3" t="s">
        <v>76</v>
      </c>
      <c r="AB378" s="3" t="s">
        <v>66</v>
      </c>
      <c r="AC378" s="2">
        <v>0</v>
      </c>
      <c r="AD378" s="3" t="s">
        <v>68</v>
      </c>
      <c r="AE378" s="3" t="s">
        <v>66</v>
      </c>
      <c r="AF378" s="3" t="s">
        <v>66</v>
      </c>
      <c r="AG378" s="3" t="s">
        <v>66</v>
      </c>
      <c r="AH378" s="3" t="s">
        <v>66</v>
      </c>
      <c r="AI378" s="3" t="s">
        <v>66</v>
      </c>
      <c r="AJ378" s="3" t="s">
        <v>66</v>
      </c>
      <c r="AK378" s="3" t="s">
        <v>66</v>
      </c>
      <c r="AL378" s="3" t="s">
        <v>66</v>
      </c>
      <c r="AM378" s="3" t="s">
        <v>66</v>
      </c>
      <c r="AN378" s="3" t="s">
        <v>77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3" t="s">
        <v>66</v>
      </c>
      <c r="BC378" s="3" t="s">
        <v>66</v>
      </c>
      <c r="BD378" s="2">
        <v>731712</v>
      </c>
      <c r="BE378" s="2">
        <v>3762625</v>
      </c>
      <c r="BF378" s="4"/>
      <c r="BG378" s="4"/>
      <c r="BH378" s="4"/>
      <c r="BI378" s="2">
        <v>0</v>
      </c>
      <c r="BJ378" s="2">
        <v>0</v>
      </c>
    </row>
    <row r="379" spans="1:62" hidden="1" x14ac:dyDescent="0.35">
      <c r="A379" s="2">
        <v>103747</v>
      </c>
      <c r="B379" s="2">
        <v>377</v>
      </c>
      <c r="C379" s="3" t="s">
        <v>57</v>
      </c>
      <c r="D379" s="3" t="s">
        <v>587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63</v>
      </c>
      <c r="K379" s="2">
        <v>17280920342</v>
      </c>
      <c r="L379" s="7">
        <f t="shared" si="11"/>
        <v>17280920342</v>
      </c>
      <c r="M379" s="7">
        <f t="shared" si="12"/>
        <v>17280920343</v>
      </c>
      <c r="N379" s="3" t="s">
        <v>64</v>
      </c>
      <c r="O379" s="5" t="s">
        <v>586</v>
      </c>
      <c r="P379" s="3" t="s">
        <v>66</v>
      </c>
      <c r="Q379" s="3" t="s">
        <v>72</v>
      </c>
      <c r="R379" s="2">
        <v>1</v>
      </c>
      <c r="S379" s="3" t="s">
        <v>73</v>
      </c>
      <c r="T379" s="3" t="s">
        <v>84</v>
      </c>
      <c r="U379" s="3" t="s">
        <v>66</v>
      </c>
      <c r="V379" s="3" t="s">
        <v>66</v>
      </c>
      <c r="W379" s="3" t="s">
        <v>66</v>
      </c>
      <c r="X379" s="3" t="s">
        <v>66</v>
      </c>
      <c r="Y379" s="3" t="s">
        <v>66</v>
      </c>
      <c r="Z379" s="3" t="s">
        <v>66</v>
      </c>
      <c r="AA379" s="3" t="s">
        <v>76</v>
      </c>
      <c r="AB379" s="3" t="s">
        <v>66</v>
      </c>
      <c r="AC379" s="2">
        <v>0</v>
      </c>
      <c r="AD379" s="3" t="s">
        <v>68</v>
      </c>
      <c r="AE379" s="3" t="s">
        <v>66</v>
      </c>
      <c r="AF379" s="3" t="s">
        <v>66</v>
      </c>
      <c r="AG379" s="3" t="s">
        <v>66</v>
      </c>
      <c r="AH379" s="3" t="s">
        <v>66</v>
      </c>
      <c r="AI379" s="3" t="s">
        <v>66</v>
      </c>
      <c r="AJ379" s="3" t="s">
        <v>66</v>
      </c>
      <c r="AK379" s="3" t="s">
        <v>66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3" t="s">
        <v>66</v>
      </c>
      <c r="BC379" s="3" t="s">
        <v>66</v>
      </c>
      <c r="BD379" s="2">
        <v>731712</v>
      </c>
      <c r="BE379" s="2">
        <v>3762625</v>
      </c>
      <c r="BF379" s="4"/>
      <c r="BG379" s="4"/>
      <c r="BH379" s="4"/>
      <c r="BI379" s="2">
        <v>0</v>
      </c>
      <c r="BJ379" s="2">
        <v>0</v>
      </c>
    </row>
    <row r="380" spans="1:62" hidden="1" x14ac:dyDescent="0.35">
      <c r="A380" s="2">
        <v>103748</v>
      </c>
      <c r="B380" s="2">
        <v>378</v>
      </c>
      <c r="C380" s="3" t="s">
        <v>57</v>
      </c>
      <c r="D380" s="3" t="s">
        <v>587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69</v>
      </c>
      <c r="K380" s="2">
        <v>17280920343</v>
      </c>
      <c r="L380" s="7">
        <f t="shared" si="11"/>
        <v>17280920343</v>
      </c>
      <c r="M380" s="7">
        <f t="shared" si="12"/>
        <v>17280920343</v>
      </c>
      <c r="N380" s="3" t="s">
        <v>64</v>
      </c>
      <c r="O380" s="5" t="s">
        <v>588</v>
      </c>
      <c r="P380" s="3" t="s">
        <v>71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165</v>
      </c>
      <c r="V380" s="3" t="s">
        <v>165</v>
      </c>
      <c r="W380" s="3" t="s">
        <v>165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77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3" t="s">
        <v>66</v>
      </c>
      <c r="BC380" s="3" t="s">
        <v>66</v>
      </c>
      <c r="BD380" s="2">
        <v>731709</v>
      </c>
      <c r="BE380" s="2">
        <v>3762650</v>
      </c>
      <c r="BF380" s="4"/>
      <c r="BG380" s="4"/>
      <c r="BH380" s="4"/>
      <c r="BI380" s="2">
        <v>0</v>
      </c>
      <c r="BJ380" s="2">
        <v>0</v>
      </c>
    </row>
    <row r="381" spans="1:62" hidden="1" x14ac:dyDescent="0.35">
      <c r="A381" s="2">
        <v>103749</v>
      </c>
      <c r="B381" s="2">
        <v>379</v>
      </c>
      <c r="C381" s="3" t="s">
        <v>57</v>
      </c>
      <c r="D381" s="3" t="s">
        <v>589</v>
      </c>
      <c r="E381" s="4"/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63</v>
      </c>
      <c r="K381" s="2">
        <v>17280920343</v>
      </c>
      <c r="L381" s="7">
        <f t="shared" si="11"/>
        <v>17280920343</v>
      </c>
      <c r="M381" s="7">
        <f t="shared" si="12"/>
        <v>17280920344</v>
      </c>
      <c r="N381" s="3" t="s">
        <v>64</v>
      </c>
      <c r="O381" s="5" t="s">
        <v>588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84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3" t="s">
        <v>66</v>
      </c>
      <c r="BC381" s="3" t="s">
        <v>66</v>
      </c>
      <c r="BD381" s="2">
        <v>731709</v>
      </c>
      <c r="BE381" s="2">
        <v>3762650</v>
      </c>
      <c r="BF381" s="4"/>
      <c r="BG381" s="4"/>
      <c r="BH381" s="4"/>
      <c r="BI381" s="2">
        <v>0</v>
      </c>
      <c r="BJ381" s="2">
        <v>0</v>
      </c>
    </row>
    <row r="382" spans="1:62" ht="58" hidden="1" x14ac:dyDescent="0.35">
      <c r="A382" s="2">
        <v>103750</v>
      </c>
      <c r="B382" s="2">
        <v>380</v>
      </c>
      <c r="C382" s="3" t="s">
        <v>57</v>
      </c>
      <c r="D382" s="3" t="s">
        <v>589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17280920344</v>
      </c>
      <c r="L382" s="7">
        <f t="shared" si="11"/>
        <v>17280920344</v>
      </c>
      <c r="M382" s="7">
        <f t="shared" si="12"/>
        <v>17280920344</v>
      </c>
      <c r="N382" s="3" t="s">
        <v>64</v>
      </c>
      <c r="O382" s="5" t="s">
        <v>590</v>
      </c>
      <c r="P382" s="3" t="s">
        <v>71</v>
      </c>
      <c r="Q382" s="3" t="s">
        <v>72</v>
      </c>
      <c r="R382" s="2">
        <v>0</v>
      </c>
      <c r="S382" s="3" t="s">
        <v>66</v>
      </c>
      <c r="T382" s="3" t="s">
        <v>168</v>
      </c>
      <c r="U382" s="3" t="s">
        <v>165</v>
      </c>
      <c r="V382" s="3" t="s">
        <v>165</v>
      </c>
      <c r="W382" s="3" t="s">
        <v>165</v>
      </c>
      <c r="X382" s="3" t="s">
        <v>66</v>
      </c>
      <c r="Y382" s="3" t="s">
        <v>66</v>
      </c>
      <c r="Z382" s="3" t="s">
        <v>66</v>
      </c>
      <c r="AA382" s="3" t="s">
        <v>169</v>
      </c>
      <c r="AB382" s="3" t="s">
        <v>591</v>
      </c>
      <c r="AC382" s="2">
        <v>0</v>
      </c>
      <c r="AD382" s="3" t="s">
        <v>171</v>
      </c>
      <c r="AE382" s="3" t="s">
        <v>71</v>
      </c>
      <c r="AF382" s="3" t="s">
        <v>172</v>
      </c>
      <c r="AG382" s="3" t="s">
        <v>173</v>
      </c>
      <c r="AH382" s="3" t="s">
        <v>217</v>
      </c>
      <c r="AI382" s="3" t="s">
        <v>66</v>
      </c>
      <c r="AJ382" s="3" t="s">
        <v>66</v>
      </c>
      <c r="AK382" s="3" t="s">
        <v>205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3" t="s">
        <v>410</v>
      </c>
      <c r="BC382" s="3" t="s">
        <v>592</v>
      </c>
      <c r="BD382" s="2">
        <v>731710.00000000105</v>
      </c>
      <c r="BE382" s="2">
        <v>3762650</v>
      </c>
      <c r="BF382" s="4"/>
      <c r="BG382" s="4"/>
      <c r="BH382" s="4"/>
      <c r="BI382" s="2">
        <v>0</v>
      </c>
      <c r="BJ382" s="2">
        <v>0</v>
      </c>
    </row>
    <row r="383" spans="1:62" ht="58" hidden="1" x14ac:dyDescent="0.35">
      <c r="A383" s="2">
        <v>103751</v>
      </c>
      <c r="B383" s="2">
        <v>381</v>
      </c>
      <c r="C383" s="3" t="s">
        <v>57</v>
      </c>
      <c r="D383" s="3" t="s">
        <v>593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17280920344</v>
      </c>
      <c r="L383" s="7">
        <f t="shared" si="11"/>
        <v>17280920344</v>
      </c>
      <c r="M383" s="7">
        <f t="shared" si="12"/>
        <v>17280920345</v>
      </c>
      <c r="N383" s="3" t="s">
        <v>179</v>
      </c>
      <c r="O383" s="5" t="s">
        <v>590</v>
      </c>
      <c r="P383" s="3" t="s">
        <v>66</v>
      </c>
      <c r="Q383" s="3" t="s">
        <v>180</v>
      </c>
      <c r="R383" s="2">
        <v>0</v>
      </c>
      <c r="S383" s="3" t="s">
        <v>66</v>
      </c>
      <c r="T383" s="3" t="s">
        <v>168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181</v>
      </c>
      <c r="AB383" s="3" t="s">
        <v>591</v>
      </c>
      <c r="AC383" s="2">
        <v>0</v>
      </c>
      <c r="AD383" s="3" t="s">
        <v>171</v>
      </c>
      <c r="AE383" s="3" t="s">
        <v>71</v>
      </c>
      <c r="AF383" s="3" t="s">
        <v>172</v>
      </c>
      <c r="AG383" s="3" t="s">
        <v>173</v>
      </c>
      <c r="AH383" s="3" t="s">
        <v>217</v>
      </c>
      <c r="AI383" s="3" t="s">
        <v>66</v>
      </c>
      <c r="AJ383" s="3" t="s">
        <v>66</v>
      </c>
      <c r="AK383" s="3" t="s">
        <v>205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3" t="s">
        <v>410</v>
      </c>
      <c r="BC383" s="3" t="s">
        <v>592</v>
      </c>
      <c r="BD383" s="2">
        <v>731710.00000000105</v>
      </c>
      <c r="BE383" s="2">
        <v>3762650</v>
      </c>
      <c r="BF383" s="4"/>
      <c r="BG383" s="4"/>
      <c r="BH383" s="4"/>
      <c r="BI383" s="2">
        <v>0</v>
      </c>
      <c r="BJ383" s="2">
        <v>0</v>
      </c>
    </row>
    <row r="384" spans="1:62" ht="58" hidden="1" x14ac:dyDescent="0.35">
      <c r="A384" s="2">
        <v>103752</v>
      </c>
      <c r="B384" s="2">
        <v>382</v>
      </c>
      <c r="C384" s="3" t="s">
        <v>57</v>
      </c>
      <c r="D384" s="3" t="s">
        <v>593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17280920345</v>
      </c>
      <c r="L384" s="7">
        <f t="shared" si="11"/>
        <v>17280920345</v>
      </c>
      <c r="M384" s="7">
        <f t="shared" si="12"/>
        <v>17280920345</v>
      </c>
      <c r="N384" s="3" t="s">
        <v>179</v>
      </c>
      <c r="O384" s="5" t="s">
        <v>594</v>
      </c>
      <c r="P384" s="3" t="s">
        <v>183</v>
      </c>
      <c r="Q384" s="3" t="s">
        <v>180</v>
      </c>
      <c r="R384" s="2">
        <v>0</v>
      </c>
      <c r="S384" s="3" t="s">
        <v>66</v>
      </c>
      <c r="T384" s="3" t="s">
        <v>168</v>
      </c>
      <c r="U384" s="3" t="s">
        <v>223</v>
      </c>
      <c r="V384" s="3" t="s">
        <v>223</v>
      </c>
      <c r="W384" s="3" t="s">
        <v>223</v>
      </c>
      <c r="X384" s="3" t="s">
        <v>223</v>
      </c>
      <c r="Y384" s="3" t="s">
        <v>66</v>
      </c>
      <c r="Z384" s="3" t="s">
        <v>66</v>
      </c>
      <c r="AA384" s="3" t="s">
        <v>181</v>
      </c>
      <c r="AB384" s="3" t="s">
        <v>591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217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3" t="s">
        <v>410</v>
      </c>
      <c r="BC384" s="3" t="s">
        <v>592</v>
      </c>
      <c r="BD384" s="2">
        <v>731708.00000000105</v>
      </c>
      <c r="BE384" s="2">
        <v>3762650</v>
      </c>
      <c r="BF384" s="4"/>
      <c r="BG384" s="4"/>
      <c r="BH384" s="4"/>
      <c r="BI384" s="2">
        <v>0</v>
      </c>
      <c r="BJ384" s="2">
        <v>0</v>
      </c>
    </row>
    <row r="385" spans="1:62" hidden="1" x14ac:dyDescent="0.35">
      <c r="A385" s="2">
        <v>103753</v>
      </c>
      <c r="B385" s="2">
        <v>383</v>
      </c>
      <c r="C385" s="3" t="s">
        <v>57</v>
      </c>
      <c r="D385" s="3" t="s">
        <v>595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17280920342</v>
      </c>
      <c r="L385" s="7">
        <f t="shared" si="11"/>
        <v>17280920345</v>
      </c>
      <c r="M385" s="7">
        <f t="shared" si="12"/>
        <v>17280920346</v>
      </c>
      <c r="N385" s="3" t="s">
        <v>64</v>
      </c>
      <c r="O385" s="5" t="s">
        <v>586</v>
      </c>
      <c r="P385" s="3" t="s">
        <v>66</v>
      </c>
      <c r="Q385" s="3" t="s">
        <v>72</v>
      </c>
      <c r="R385" s="2">
        <v>1</v>
      </c>
      <c r="S385" s="3" t="s">
        <v>73</v>
      </c>
      <c r="T385" s="3" t="s">
        <v>84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76</v>
      </c>
      <c r="AB385" s="3" t="s">
        <v>66</v>
      </c>
      <c r="AC385" s="2">
        <v>0</v>
      </c>
      <c r="AD385" s="3" t="s">
        <v>68</v>
      </c>
      <c r="AE385" s="3" t="s">
        <v>66</v>
      </c>
      <c r="AF385" s="3" t="s">
        <v>66</v>
      </c>
      <c r="AG385" s="3" t="s">
        <v>66</v>
      </c>
      <c r="AH385" s="3" t="s">
        <v>66</v>
      </c>
      <c r="AI385" s="3" t="s">
        <v>66</v>
      </c>
      <c r="AJ385" s="3" t="s">
        <v>66</v>
      </c>
      <c r="AK385" s="3" t="s">
        <v>66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3" t="s">
        <v>66</v>
      </c>
      <c r="BC385" s="3" t="s">
        <v>66</v>
      </c>
      <c r="BD385" s="2">
        <v>731712</v>
      </c>
      <c r="BE385" s="2">
        <v>3762625</v>
      </c>
      <c r="BF385" s="4"/>
      <c r="BG385" s="4"/>
      <c r="BH385" s="4"/>
      <c r="BI385" s="2">
        <v>0</v>
      </c>
      <c r="BJ385" s="2">
        <v>0</v>
      </c>
    </row>
    <row r="386" spans="1:62" hidden="1" x14ac:dyDescent="0.35">
      <c r="A386" s="2">
        <v>103754</v>
      </c>
      <c r="B386" s="2">
        <v>384</v>
      </c>
      <c r="C386" s="3" t="s">
        <v>57</v>
      </c>
      <c r="D386" s="3" t="s">
        <v>595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17280920346</v>
      </c>
      <c r="L386" s="7">
        <f t="shared" si="11"/>
        <v>17280920346</v>
      </c>
      <c r="M386" s="7">
        <f t="shared" si="12"/>
        <v>17280920346</v>
      </c>
      <c r="N386" s="3" t="s">
        <v>64</v>
      </c>
      <c r="O386" s="5" t="s">
        <v>596</v>
      </c>
      <c r="P386" s="3" t="s">
        <v>71</v>
      </c>
      <c r="Q386" s="3" t="s">
        <v>72</v>
      </c>
      <c r="R386" s="2">
        <v>1</v>
      </c>
      <c r="S386" s="3" t="s">
        <v>73</v>
      </c>
      <c r="T386" s="3" t="s">
        <v>84</v>
      </c>
      <c r="U386" s="3" t="s">
        <v>269</v>
      </c>
      <c r="V386" s="3" t="s">
        <v>269</v>
      </c>
      <c r="W386" s="3" t="s">
        <v>269</v>
      </c>
      <c r="X386" s="3" t="s">
        <v>66</v>
      </c>
      <c r="Y386" s="3" t="s">
        <v>66</v>
      </c>
      <c r="Z386" s="3" t="s">
        <v>66</v>
      </c>
      <c r="AA386" s="3" t="s">
        <v>76</v>
      </c>
      <c r="AB386" s="3" t="s">
        <v>66</v>
      </c>
      <c r="AC386" s="2">
        <v>0</v>
      </c>
      <c r="AD386" s="3" t="s">
        <v>68</v>
      </c>
      <c r="AE386" s="3" t="s">
        <v>66</v>
      </c>
      <c r="AF386" s="3" t="s">
        <v>66</v>
      </c>
      <c r="AG386" s="3" t="s">
        <v>66</v>
      </c>
      <c r="AH386" s="3" t="s">
        <v>66</v>
      </c>
      <c r="AI386" s="3" t="s">
        <v>66</v>
      </c>
      <c r="AJ386" s="3" t="s">
        <v>66</v>
      </c>
      <c r="AK386" s="3" t="s">
        <v>66</v>
      </c>
      <c r="AL386" s="3" t="s">
        <v>66</v>
      </c>
      <c r="AM386" s="3" t="s">
        <v>66</v>
      </c>
      <c r="AN386" s="3" t="s">
        <v>87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3" t="s">
        <v>66</v>
      </c>
      <c r="BC386" s="3" t="s">
        <v>66</v>
      </c>
      <c r="BD386" s="2">
        <v>731749.00000000105</v>
      </c>
      <c r="BE386" s="2">
        <v>3762618</v>
      </c>
      <c r="BF386" s="4"/>
      <c r="BG386" s="4"/>
      <c r="BH386" s="4"/>
      <c r="BI386" s="2">
        <v>0</v>
      </c>
      <c r="BJ386" s="2">
        <v>0</v>
      </c>
    </row>
    <row r="387" spans="1:62" hidden="1" x14ac:dyDescent="0.35">
      <c r="A387" s="2">
        <v>103755</v>
      </c>
      <c r="B387" s="2">
        <v>385</v>
      </c>
      <c r="C387" s="3" t="s">
        <v>57</v>
      </c>
      <c r="D387" s="3" t="s">
        <v>597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17280920346</v>
      </c>
      <c r="L387" s="7">
        <f t="shared" si="11"/>
        <v>17280920346</v>
      </c>
      <c r="M387" s="7">
        <f t="shared" si="12"/>
        <v>17280920347</v>
      </c>
      <c r="N387" s="3" t="s">
        <v>64</v>
      </c>
      <c r="O387" s="5" t="s">
        <v>596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84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3" t="s">
        <v>66</v>
      </c>
      <c r="BC387" s="3" t="s">
        <v>66</v>
      </c>
      <c r="BD387" s="2">
        <v>731749.00000000105</v>
      </c>
      <c r="BE387" s="2">
        <v>3762618</v>
      </c>
      <c r="BF387" s="4"/>
      <c r="BG387" s="4"/>
      <c r="BH387" s="4"/>
      <c r="BI387" s="2">
        <v>0</v>
      </c>
      <c r="BJ387" s="2">
        <v>0</v>
      </c>
    </row>
    <row r="388" spans="1:62" ht="58" hidden="1" x14ac:dyDescent="0.35">
      <c r="A388" s="2">
        <v>103756</v>
      </c>
      <c r="B388" s="2">
        <v>386</v>
      </c>
      <c r="C388" s="3" t="s">
        <v>57</v>
      </c>
      <c r="D388" s="3" t="s">
        <v>597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17280920347</v>
      </c>
      <c r="L388" s="7">
        <f t="shared" ref="L388:L451" si="13">IF(J388="E",K388,L387)</f>
        <v>17280920347</v>
      </c>
      <c r="M388" s="7">
        <f t="shared" si="12"/>
        <v>17280920347</v>
      </c>
      <c r="N388" s="3" t="s">
        <v>64</v>
      </c>
      <c r="O388" s="5" t="s">
        <v>598</v>
      </c>
      <c r="P388" s="3" t="s">
        <v>71</v>
      </c>
      <c r="Q388" s="3" t="s">
        <v>72</v>
      </c>
      <c r="R388" s="2">
        <v>0</v>
      </c>
      <c r="S388" s="3" t="s">
        <v>66</v>
      </c>
      <c r="T388" s="3" t="s">
        <v>168</v>
      </c>
      <c r="U388" s="3" t="s">
        <v>165</v>
      </c>
      <c r="V388" s="3" t="s">
        <v>165</v>
      </c>
      <c r="W388" s="3" t="s">
        <v>165</v>
      </c>
      <c r="X388" s="3" t="s">
        <v>66</v>
      </c>
      <c r="Y388" s="3" t="s">
        <v>66</v>
      </c>
      <c r="Z388" s="3" t="s">
        <v>66</v>
      </c>
      <c r="AA388" s="3" t="s">
        <v>169</v>
      </c>
      <c r="AB388" s="3" t="s">
        <v>599</v>
      </c>
      <c r="AC388" s="2">
        <v>0</v>
      </c>
      <c r="AD388" s="3" t="s">
        <v>191</v>
      </c>
      <c r="AE388" s="3" t="s">
        <v>71</v>
      </c>
      <c r="AF388" s="3" t="s">
        <v>172</v>
      </c>
      <c r="AG388" s="3" t="s">
        <v>173</v>
      </c>
      <c r="AH388" s="3" t="s">
        <v>217</v>
      </c>
      <c r="AI388" s="3" t="s">
        <v>66</v>
      </c>
      <c r="AJ388" s="3" t="s">
        <v>66</v>
      </c>
      <c r="AK388" s="3" t="s">
        <v>175</v>
      </c>
      <c r="AL388" s="3" t="s">
        <v>66</v>
      </c>
      <c r="AM388" s="3" t="s">
        <v>66</v>
      </c>
      <c r="AN388" s="3" t="s">
        <v>66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3" t="s">
        <v>600</v>
      </c>
      <c r="BC388" s="3" t="s">
        <v>601</v>
      </c>
      <c r="BD388" s="2">
        <v>731750</v>
      </c>
      <c r="BE388" s="2">
        <v>3762617</v>
      </c>
      <c r="BF388" s="4"/>
      <c r="BG388" s="4"/>
      <c r="BH388" s="4"/>
      <c r="BI388" s="2">
        <v>0</v>
      </c>
      <c r="BJ388" s="2">
        <v>0</v>
      </c>
    </row>
    <row r="389" spans="1:62" ht="58" hidden="1" x14ac:dyDescent="0.35">
      <c r="A389" s="2">
        <v>103757</v>
      </c>
      <c r="B389" s="2">
        <v>387</v>
      </c>
      <c r="C389" s="3" t="s">
        <v>57</v>
      </c>
      <c r="D389" s="3" t="s">
        <v>602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17280920347</v>
      </c>
      <c r="L389" s="7">
        <f t="shared" si="13"/>
        <v>17280920347</v>
      </c>
      <c r="M389" s="7">
        <f t="shared" si="12"/>
        <v>17280920348</v>
      </c>
      <c r="N389" s="3" t="s">
        <v>179</v>
      </c>
      <c r="O389" s="5" t="s">
        <v>598</v>
      </c>
      <c r="P389" s="3" t="s">
        <v>66</v>
      </c>
      <c r="Q389" s="3" t="s">
        <v>180</v>
      </c>
      <c r="R389" s="2">
        <v>0</v>
      </c>
      <c r="S389" s="3" t="s">
        <v>66</v>
      </c>
      <c r="T389" s="3" t="s">
        <v>168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181</v>
      </c>
      <c r="AB389" s="3" t="s">
        <v>599</v>
      </c>
      <c r="AC389" s="2">
        <v>0</v>
      </c>
      <c r="AD389" s="3" t="s">
        <v>191</v>
      </c>
      <c r="AE389" s="3" t="s">
        <v>71</v>
      </c>
      <c r="AF389" s="3" t="s">
        <v>172</v>
      </c>
      <c r="AG389" s="3" t="s">
        <v>173</v>
      </c>
      <c r="AH389" s="3" t="s">
        <v>217</v>
      </c>
      <c r="AI389" s="3" t="s">
        <v>66</v>
      </c>
      <c r="AJ389" s="3" t="s">
        <v>66</v>
      </c>
      <c r="AK389" s="3" t="s">
        <v>175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3" t="s">
        <v>600</v>
      </c>
      <c r="BC389" s="3" t="s">
        <v>601</v>
      </c>
      <c r="BD389" s="2">
        <v>731750</v>
      </c>
      <c r="BE389" s="2">
        <v>3762617</v>
      </c>
      <c r="BF389" s="4"/>
      <c r="BG389" s="4"/>
      <c r="BH389" s="4"/>
      <c r="BI389" s="2">
        <v>0</v>
      </c>
      <c r="BJ389" s="2">
        <v>0</v>
      </c>
    </row>
    <row r="390" spans="1:62" ht="58" hidden="1" x14ac:dyDescent="0.35">
      <c r="A390" s="2">
        <v>103758</v>
      </c>
      <c r="B390" s="2">
        <v>388</v>
      </c>
      <c r="C390" s="3" t="s">
        <v>57</v>
      </c>
      <c r="D390" s="3" t="s">
        <v>602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17280920348</v>
      </c>
      <c r="L390" s="7">
        <f t="shared" si="13"/>
        <v>17280920348</v>
      </c>
      <c r="M390" s="7">
        <f t="shared" si="12"/>
        <v>17280920348</v>
      </c>
      <c r="N390" s="3" t="s">
        <v>179</v>
      </c>
      <c r="O390" s="5" t="s">
        <v>603</v>
      </c>
      <c r="P390" s="3" t="s">
        <v>183</v>
      </c>
      <c r="Q390" s="3" t="s">
        <v>180</v>
      </c>
      <c r="R390" s="2">
        <v>0</v>
      </c>
      <c r="S390" s="3" t="s">
        <v>66</v>
      </c>
      <c r="T390" s="3" t="s">
        <v>168</v>
      </c>
      <c r="U390" s="3" t="s">
        <v>195</v>
      </c>
      <c r="V390" s="3" t="s">
        <v>195</v>
      </c>
      <c r="W390" s="3" t="s">
        <v>195</v>
      </c>
      <c r="X390" s="3" t="s">
        <v>195</v>
      </c>
      <c r="Y390" s="3" t="s">
        <v>66</v>
      </c>
      <c r="Z390" s="3" t="s">
        <v>66</v>
      </c>
      <c r="AA390" s="3" t="s">
        <v>181</v>
      </c>
      <c r="AB390" s="3" t="s">
        <v>599</v>
      </c>
      <c r="AC390" s="2">
        <v>0</v>
      </c>
      <c r="AD390" s="3" t="s">
        <v>191</v>
      </c>
      <c r="AE390" s="3" t="s">
        <v>71</v>
      </c>
      <c r="AF390" s="3" t="s">
        <v>172</v>
      </c>
      <c r="AG390" s="3" t="s">
        <v>173</v>
      </c>
      <c r="AH390" s="3" t="s">
        <v>217</v>
      </c>
      <c r="AI390" s="3" t="s">
        <v>66</v>
      </c>
      <c r="AJ390" s="3" t="s">
        <v>66</v>
      </c>
      <c r="AK390" s="3" t="s">
        <v>175</v>
      </c>
      <c r="AL390" s="3" t="s">
        <v>66</v>
      </c>
      <c r="AM390" s="3" t="s">
        <v>66</v>
      </c>
      <c r="AN390" s="3" t="s">
        <v>66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3" t="s">
        <v>600</v>
      </c>
      <c r="BC390" s="3" t="s">
        <v>601</v>
      </c>
      <c r="BD390" s="2">
        <v>731751.00000000105</v>
      </c>
      <c r="BE390" s="2">
        <v>3762617</v>
      </c>
      <c r="BF390" s="4"/>
      <c r="BG390" s="4"/>
      <c r="BH390" s="4"/>
      <c r="BI390" s="2">
        <v>0</v>
      </c>
      <c r="BJ390" s="2">
        <v>0</v>
      </c>
    </row>
    <row r="391" spans="1:62" hidden="1" x14ac:dyDescent="0.35">
      <c r="A391" s="2">
        <v>103759</v>
      </c>
      <c r="B391" s="2">
        <v>389</v>
      </c>
      <c r="C391" s="3" t="s">
        <v>57</v>
      </c>
      <c r="D391" s="3" t="s">
        <v>604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17280920346</v>
      </c>
      <c r="L391" s="7">
        <f t="shared" si="13"/>
        <v>17280920348</v>
      </c>
      <c r="M391" s="7">
        <f t="shared" si="12"/>
        <v>17280920349</v>
      </c>
      <c r="N391" s="3" t="s">
        <v>64</v>
      </c>
      <c r="O391" s="5" t="s">
        <v>596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3" t="s">
        <v>66</v>
      </c>
      <c r="BC391" s="3" t="s">
        <v>66</v>
      </c>
      <c r="BD391" s="2">
        <v>731749.00000000105</v>
      </c>
      <c r="BE391" s="2">
        <v>3762618</v>
      </c>
      <c r="BF391" s="4"/>
      <c r="BG391" s="4"/>
      <c r="BH391" s="4"/>
      <c r="BI391" s="2">
        <v>0</v>
      </c>
      <c r="BJ391" s="2">
        <v>0</v>
      </c>
    </row>
    <row r="392" spans="1:62" hidden="1" x14ac:dyDescent="0.35">
      <c r="A392" s="2">
        <v>103760</v>
      </c>
      <c r="B392" s="2">
        <v>390</v>
      </c>
      <c r="C392" s="3" t="s">
        <v>57</v>
      </c>
      <c r="D392" s="3" t="s">
        <v>604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17280920349</v>
      </c>
      <c r="L392" s="7">
        <f t="shared" si="13"/>
        <v>17280920349</v>
      </c>
      <c r="M392" s="7">
        <f t="shared" si="12"/>
        <v>17280920349</v>
      </c>
      <c r="N392" s="3" t="s">
        <v>64</v>
      </c>
      <c r="O392" s="5" t="s">
        <v>605</v>
      </c>
      <c r="P392" s="3" t="s">
        <v>71</v>
      </c>
      <c r="Q392" s="3" t="s">
        <v>72</v>
      </c>
      <c r="R392" s="2">
        <v>1</v>
      </c>
      <c r="S392" s="3" t="s">
        <v>73</v>
      </c>
      <c r="T392" s="3" t="s">
        <v>84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76</v>
      </c>
      <c r="AB392" s="3" t="s">
        <v>66</v>
      </c>
      <c r="AC392" s="2">
        <v>0</v>
      </c>
      <c r="AD392" s="3" t="s">
        <v>68</v>
      </c>
      <c r="AE392" s="3" t="s">
        <v>66</v>
      </c>
      <c r="AF392" s="3" t="s">
        <v>66</v>
      </c>
      <c r="AG392" s="3" t="s">
        <v>66</v>
      </c>
      <c r="AH392" s="3" t="s">
        <v>66</v>
      </c>
      <c r="AI392" s="3" t="s">
        <v>66</v>
      </c>
      <c r="AJ392" s="3" t="s">
        <v>66</v>
      </c>
      <c r="AK392" s="3" t="s">
        <v>66</v>
      </c>
      <c r="AL392" s="3" t="s">
        <v>66</v>
      </c>
      <c r="AM392" s="3" t="s">
        <v>66</v>
      </c>
      <c r="AN392" s="3" t="s">
        <v>77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3" t="s">
        <v>66</v>
      </c>
      <c r="BC392" s="3" t="s">
        <v>66</v>
      </c>
      <c r="BD392" s="2">
        <v>731792.00000000105</v>
      </c>
      <c r="BE392" s="2">
        <v>3762626</v>
      </c>
      <c r="BF392" s="4"/>
      <c r="BG392" s="4"/>
      <c r="BH392" s="4"/>
      <c r="BI392" s="2">
        <v>0</v>
      </c>
      <c r="BJ392" s="2">
        <v>0</v>
      </c>
    </row>
    <row r="393" spans="1:62" hidden="1" x14ac:dyDescent="0.35">
      <c r="A393" s="2">
        <v>103761</v>
      </c>
      <c r="B393" s="2">
        <v>391</v>
      </c>
      <c r="C393" s="3" t="s">
        <v>57</v>
      </c>
      <c r="D393" s="3" t="s">
        <v>606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17280920349</v>
      </c>
      <c r="L393" s="7">
        <f t="shared" si="13"/>
        <v>17280920349</v>
      </c>
      <c r="M393" s="7">
        <f t="shared" si="12"/>
        <v>17280920350</v>
      </c>
      <c r="N393" s="3" t="s">
        <v>64</v>
      </c>
      <c r="O393" s="5" t="s">
        <v>605</v>
      </c>
      <c r="P393" s="3" t="s">
        <v>66</v>
      </c>
      <c r="Q393" s="3" t="s">
        <v>72</v>
      </c>
      <c r="R393" s="2">
        <v>1</v>
      </c>
      <c r="S393" s="3" t="s">
        <v>73</v>
      </c>
      <c r="T393" s="3" t="s">
        <v>84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76</v>
      </c>
      <c r="AB393" s="3" t="s">
        <v>66</v>
      </c>
      <c r="AC393" s="2">
        <v>0</v>
      </c>
      <c r="AD393" s="3" t="s">
        <v>68</v>
      </c>
      <c r="AE393" s="3" t="s">
        <v>66</v>
      </c>
      <c r="AF393" s="3" t="s">
        <v>66</v>
      </c>
      <c r="AG393" s="3" t="s">
        <v>66</v>
      </c>
      <c r="AH393" s="3" t="s">
        <v>66</v>
      </c>
      <c r="AI393" s="3" t="s">
        <v>66</v>
      </c>
      <c r="AJ393" s="3" t="s">
        <v>66</v>
      </c>
      <c r="AK393" s="3" t="s">
        <v>66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3" t="s">
        <v>66</v>
      </c>
      <c r="BC393" s="3" t="s">
        <v>66</v>
      </c>
      <c r="BD393" s="2">
        <v>731792.00000000105</v>
      </c>
      <c r="BE393" s="2">
        <v>3762626</v>
      </c>
      <c r="BF393" s="4"/>
      <c r="BG393" s="4"/>
      <c r="BH393" s="4"/>
      <c r="BI393" s="2">
        <v>0</v>
      </c>
      <c r="BJ393" s="2">
        <v>0</v>
      </c>
    </row>
    <row r="394" spans="1:62" ht="58" hidden="1" x14ac:dyDescent="0.35">
      <c r="A394" s="2">
        <v>103762</v>
      </c>
      <c r="B394" s="2">
        <v>392</v>
      </c>
      <c r="C394" s="3" t="s">
        <v>57</v>
      </c>
      <c r="D394" s="3" t="s">
        <v>606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17280920350</v>
      </c>
      <c r="L394" s="7">
        <f t="shared" si="13"/>
        <v>17280920350</v>
      </c>
      <c r="M394" s="7">
        <f t="shared" si="12"/>
        <v>17280920350</v>
      </c>
      <c r="N394" s="3" t="s">
        <v>64</v>
      </c>
      <c r="O394" s="5" t="s">
        <v>607</v>
      </c>
      <c r="P394" s="3" t="s">
        <v>71</v>
      </c>
      <c r="Q394" s="3" t="s">
        <v>72</v>
      </c>
      <c r="R394" s="2">
        <v>0</v>
      </c>
      <c r="S394" s="3" t="s">
        <v>66</v>
      </c>
      <c r="T394" s="3" t="s">
        <v>168</v>
      </c>
      <c r="U394" s="3" t="s">
        <v>165</v>
      </c>
      <c r="V394" s="3" t="s">
        <v>165</v>
      </c>
      <c r="W394" s="3" t="s">
        <v>165</v>
      </c>
      <c r="X394" s="3" t="s">
        <v>66</v>
      </c>
      <c r="Y394" s="3" t="s">
        <v>66</v>
      </c>
      <c r="Z394" s="3" t="s">
        <v>66</v>
      </c>
      <c r="AA394" s="3" t="s">
        <v>169</v>
      </c>
      <c r="AB394" s="3" t="s">
        <v>608</v>
      </c>
      <c r="AC394" s="2">
        <v>0</v>
      </c>
      <c r="AD394" s="3" t="s">
        <v>171</v>
      </c>
      <c r="AE394" s="3" t="s">
        <v>71</v>
      </c>
      <c r="AF394" s="3" t="s">
        <v>216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609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3" t="s">
        <v>610</v>
      </c>
      <c r="BC394" s="3" t="s">
        <v>611</v>
      </c>
      <c r="BD394" s="2">
        <v>731793</v>
      </c>
      <c r="BE394" s="2">
        <v>3762624</v>
      </c>
      <c r="BF394" s="4"/>
      <c r="BG394" s="4"/>
      <c r="BH394" s="4"/>
      <c r="BI394" s="2">
        <v>0</v>
      </c>
      <c r="BJ394" s="2">
        <v>0</v>
      </c>
    </row>
    <row r="395" spans="1:62" ht="58" hidden="1" x14ac:dyDescent="0.35">
      <c r="A395" s="2">
        <v>103763</v>
      </c>
      <c r="B395" s="2">
        <v>393</v>
      </c>
      <c r="C395" s="3" t="s">
        <v>57</v>
      </c>
      <c r="D395" s="3" t="s">
        <v>612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17280920350</v>
      </c>
      <c r="L395" s="7">
        <f t="shared" si="13"/>
        <v>17280920350</v>
      </c>
      <c r="M395" s="7">
        <f t="shared" si="12"/>
        <v>17280920351</v>
      </c>
      <c r="N395" s="3" t="s">
        <v>179</v>
      </c>
      <c r="O395" s="5" t="s">
        <v>607</v>
      </c>
      <c r="P395" s="3" t="s">
        <v>66</v>
      </c>
      <c r="Q395" s="3" t="s">
        <v>180</v>
      </c>
      <c r="R395" s="2">
        <v>0</v>
      </c>
      <c r="S395" s="3" t="s">
        <v>66</v>
      </c>
      <c r="T395" s="3" t="s">
        <v>168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181</v>
      </c>
      <c r="AB395" s="3" t="s">
        <v>608</v>
      </c>
      <c r="AC395" s="2">
        <v>0</v>
      </c>
      <c r="AD395" s="3" t="s">
        <v>171</v>
      </c>
      <c r="AE395" s="3" t="s">
        <v>71</v>
      </c>
      <c r="AF395" s="3" t="s">
        <v>216</v>
      </c>
      <c r="AG395" s="3" t="s">
        <v>173</v>
      </c>
      <c r="AH395" s="3" t="s">
        <v>217</v>
      </c>
      <c r="AI395" s="3" t="s">
        <v>66</v>
      </c>
      <c r="AJ395" s="3" t="s">
        <v>66</v>
      </c>
      <c r="AK395" s="3" t="s">
        <v>205</v>
      </c>
      <c r="AL395" s="3" t="s">
        <v>609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3" t="s">
        <v>610</v>
      </c>
      <c r="BC395" s="3" t="s">
        <v>611</v>
      </c>
      <c r="BD395" s="2">
        <v>731793</v>
      </c>
      <c r="BE395" s="2">
        <v>3762624</v>
      </c>
      <c r="BF395" s="4"/>
      <c r="BG395" s="4"/>
      <c r="BH395" s="4"/>
      <c r="BI395" s="2">
        <v>0</v>
      </c>
      <c r="BJ395" s="2">
        <v>0</v>
      </c>
    </row>
    <row r="396" spans="1:62" ht="58" hidden="1" x14ac:dyDescent="0.35">
      <c r="A396" s="2">
        <v>103764</v>
      </c>
      <c r="B396" s="2">
        <v>394</v>
      </c>
      <c r="C396" s="3" t="s">
        <v>57</v>
      </c>
      <c r="D396" s="3" t="s">
        <v>612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17280920351</v>
      </c>
      <c r="L396" s="7">
        <f t="shared" si="13"/>
        <v>17280920351</v>
      </c>
      <c r="M396" s="7">
        <f t="shared" si="12"/>
        <v>17280920351</v>
      </c>
      <c r="N396" s="3" t="s">
        <v>179</v>
      </c>
      <c r="O396" s="5" t="s">
        <v>613</v>
      </c>
      <c r="P396" s="3" t="s">
        <v>183</v>
      </c>
      <c r="Q396" s="3" t="s">
        <v>180</v>
      </c>
      <c r="R396" s="2">
        <v>0</v>
      </c>
      <c r="S396" s="3" t="s">
        <v>66</v>
      </c>
      <c r="T396" s="3" t="s">
        <v>168</v>
      </c>
      <c r="U396" s="3" t="s">
        <v>614</v>
      </c>
      <c r="V396" s="3" t="s">
        <v>614</v>
      </c>
      <c r="W396" s="3" t="s">
        <v>614</v>
      </c>
      <c r="X396" s="3" t="s">
        <v>614</v>
      </c>
      <c r="Y396" s="3" t="s">
        <v>66</v>
      </c>
      <c r="Z396" s="3" t="s">
        <v>66</v>
      </c>
      <c r="AA396" s="3" t="s">
        <v>181</v>
      </c>
      <c r="AB396" s="3" t="s">
        <v>608</v>
      </c>
      <c r="AC396" s="2">
        <v>0</v>
      </c>
      <c r="AD396" s="3" t="s">
        <v>171</v>
      </c>
      <c r="AE396" s="3" t="s">
        <v>71</v>
      </c>
      <c r="AF396" s="3" t="s">
        <v>216</v>
      </c>
      <c r="AG396" s="3" t="s">
        <v>173</v>
      </c>
      <c r="AH396" s="3" t="s">
        <v>217</v>
      </c>
      <c r="AI396" s="3" t="s">
        <v>66</v>
      </c>
      <c r="AJ396" s="3" t="s">
        <v>66</v>
      </c>
      <c r="AK396" s="3" t="s">
        <v>205</v>
      </c>
      <c r="AL396" s="3" t="s">
        <v>609</v>
      </c>
      <c r="AM396" s="3" t="s">
        <v>66</v>
      </c>
      <c r="AN396" s="3" t="s">
        <v>66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3" t="s">
        <v>610</v>
      </c>
      <c r="BC396" s="3" t="s">
        <v>611</v>
      </c>
      <c r="BD396" s="2">
        <v>731792.00000000105</v>
      </c>
      <c r="BE396" s="2">
        <v>3762626</v>
      </c>
      <c r="BF396" s="4"/>
      <c r="BG396" s="4"/>
      <c r="BH396" s="4"/>
      <c r="BI396" s="2">
        <v>0</v>
      </c>
      <c r="BJ396" s="2">
        <v>0</v>
      </c>
    </row>
    <row r="397" spans="1:62" hidden="1" x14ac:dyDescent="0.35">
      <c r="A397" s="2">
        <v>103765</v>
      </c>
      <c r="B397" s="2">
        <v>395</v>
      </c>
      <c r="C397" s="3" t="s">
        <v>57</v>
      </c>
      <c r="D397" s="3" t="s">
        <v>615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3"/>
        <v>17280920351</v>
      </c>
      <c r="M397" s="7">
        <f t="shared" si="12"/>
        <v>17280920355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3" t="s">
        <v>66</v>
      </c>
      <c r="BC397" s="3" t="s">
        <v>66</v>
      </c>
      <c r="BD397" s="2">
        <v>731749.00000000105</v>
      </c>
      <c r="BE397" s="2">
        <v>3762618</v>
      </c>
      <c r="BF397" s="4"/>
      <c r="BG397" s="4"/>
      <c r="BH397" s="4"/>
      <c r="BI397" s="2">
        <v>0</v>
      </c>
      <c r="BJ397" s="2">
        <v>0</v>
      </c>
    </row>
    <row r="398" spans="1:62" hidden="1" x14ac:dyDescent="0.35">
      <c r="A398" s="2">
        <v>103766</v>
      </c>
      <c r="B398" s="2">
        <v>396</v>
      </c>
      <c r="C398" s="3" t="s">
        <v>57</v>
      </c>
      <c r="D398" s="3" t="s">
        <v>615</v>
      </c>
      <c r="E398" s="2">
        <v>0</v>
      </c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66</v>
      </c>
      <c r="K398" s="2">
        <v>17280920352</v>
      </c>
      <c r="L398" s="7">
        <f t="shared" si="13"/>
        <v>17280920351</v>
      </c>
      <c r="M398" s="7">
        <f t="shared" si="12"/>
        <v>17280920355</v>
      </c>
      <c r="N398" s="3" t="s">
        <v>64</v>
      </c>
      <c r="O398" s="5" t="s">
        <v>616</v>
      </c>
      <c r="P398" s="3" t="s">
        <v>66</v>
      </c>
      <c r="Q398" s="3" t="s">
        <v>72</v>
      </c>
      <c r="R398" s="2">
        <v>1</v>
      </c>
      <c r="S398" s="3" t="s">
        <v>73</v>
      </c>
      <c r="T398" s="3" t="s">
        <v>126</v>
      </c>
      <c r="U398" s="3" t="s">
        <v>66</v>
      </c>
      <c r="V398" s="3" t="s">
        <v>66</v>
      </c>
      <c r="W398" s="3" t="s">
        <v>66</v>
      </c>
      <c r="X398" s="3" t="s">
        <v>66</v>
      </c>
      <c r="Y398" s="3" t="s">
        <v>66</v>
      </c>
      <c r="Z398" s="3" t="s">
        <v>66</v>
      </c>
      <c r="AA398" s="3" t="s">
        <v>76</v>
      </c>
      <c r="AB398" s="3" t="s">
        <v>66</v>
      </c>
      <c r="AC398" s="2">
        <v>0</v>
      </c>
      <c r="AD398" s="3" t="s">
        <v>68</v>
      </c>
      <c r="AE398" s="3" t="s">
        <v>66</v>
      </c>
      <c r="AF398" s="3" t="s">
        <v>66</v>
      </c>
      <c r="AG398" s="3" t="s">
        <v>66</v>
      </c>
      <c r="AH398" s="3" t="s">
        <v>66</v>
      </c>
      <c r="AI398" s="3" t="s">
        <v>66</v>
      </c>
      <c r="AJ398" s="3" t="s">
        <v>66</v>
      </c>
      <c r="AK398" s="3" t="s">
        <v>66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3" t="s">
        <v>66</v>
      </c>
      <c r="BC398" s="3" t="s">
        <v>66</v>
      </c>
      <c r="BD398" s="2">
        <v>731752</v>
      </c>
      <c r="BE398" s="2">
        <v>3762582</v>
      </c>
      <c r="BF398" s="4"/>
      <c r="BG398" s="4"/>
      <c r="BH398" s="4"/>
      <c r="BI398" s="2">
        <v>0</v>
      </c>
      <c r="BJ398" s="2">
        <v>0</v>
      </c>
    </row>
    <row r="399" spans="1:62" hidden="1" x14ac:dyDescent="0.35">
      <c r="A399" s="2">
        <v>103767</v>
      </c>
      <c r="B399" s="2">
        <v>397</v>
      </c>
      <c r="C399" s="3" t="s">
        <v>57</v>
      </c>
      <c r="D399" s="3" t="s">
        <v>615</v>
      </c>
      <c r="E399" s="2">
        <v>1</v>
      </c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66</v>
      </c>
      <c r="K399" s="2">
        <v>17280920353</v>
      </c>
      <c r="L399" s="7">
        <f t="shared" si="13"/>
        <v>17280920351</v>
      </c>
      <c r="M399" s="7">
        <f t="shared" si="12"/>
        <v>17280920355</v>
      </c>
      <c r="N399" s="3" t="s">
        <v>64</v>
      </c>
      <c r="O399" s="5" t="s">
        <v>617</v>
      </c>
      <c r="P399" s="3" t="s">
        <v>66</v>
      </c>
      <c r="Q399" s="3" t="s">
        <v>72</v>
      </c>
      <c r="R399" s="2">
        <v>1</v>
      </c>
      <c r="S399" s="3" t="s">
        <v>73</v>
      </c>
      <c r="T399" s="3" t="s">
        <v>126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76</v>
      </c>
      <c r="AB399" s="3" t="s">
        <v>66</v>
      </c>
      <c r="AC399" s="2">
        <v>0</v>
      </c>
      <c r="AD399" s="3" t="s">
        <v>68</v>
      </c>
      <c r="AE399" s="3" t="s">
        <v>66</v>
      </c>
      <c r="AF399" s="3" t="s">
        <v>66</v>
      </c>
      <c r="AG399" s="3" t="s">
        <v>66</v>
      </c>
      <c r="AH399" s="3" t="s">
        <v>66</v>
      </c>
      <c r="AI399" s="3" t="s">
        <v>66</v>
      </c>
      <c r="AJ399" s="3" t="s">
        <v>66</v>
      </c>
      <c r="AK399" s="3" t="s">
        <v>66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3" t="s">
        <v>66</v>
      </c>
      <c r="BC399" s="3" t="s">
        <v>66</v>
      </c>
      <c r="BD399" s="2">
        <v>731756.00000000105</v>
      </c>
      <c r="BE399" s="2">
        <v>3762519</v>
      </c>
      <c r="BF399" s="4"/>
      <c r="BG399" s="4"/>
      <c r="BH399" s="4"/>
      <c r="BI399" s="2">
        <v>0</v>
      </c>
      <c r="BJ399" s="2">
        <v>0</v>
      </c>
    </row>
    <row r="400" spans="1:62" hidden="1" x14ac:dyDescent="0.35">
      <c r="A400" s="2">
        <v>103768</v>
      </c>
      <c r="B400" s="2">
        <v>398</v>
      </c>
      <c r="C400" s="3" t="s">
        <v>57</v>
      </c>
      <c r="D400" s="3" t="s">
        <v>615</v>
      </c>
      <c r="E400" s="2">
        <v>2</v>
      </c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66</v>
      </c>
      <c r="K400" s="2">
        <v>17280920354</v>
      </c>
      <c r="L400" s="7">
        <f t="shared" si="13"/>
        <v>17280920351</v>
      </c>
      <c r="M400" s="7">
        <f t="shared" si="12"/>
        <v>17280920355</v>
      </c>
      <c r="N400" s="3" t="s">
        <v>64</v>
      </c>
      <c r="O400" s="5" t="s">
        <v>618</v>
      </c>
      <c r="P400" s="3" t="s">
        <v>66</v>
      </c>
      <c r="Q400" s="3" t="s">
        <v>72</v>
      </c>
      <c r="R400" s="2">
        <v>1</v>
      </c>
      <c r="S400" s="3" t="s">
        <v>73</v>
      </c>
      <c r="T400" s="3" t="s">
        <v>84</v>
      </c>
      <c r="U400" s="3" t="s">
        <v>66</v>
      </c>
      <c r="V400" s="3" t="s">
        <v>66</v>
      </c>
      <c r="W400" s="3" t="s">
        <v>66</v>
      </c>
      <c r="X400" s="3" t="s">
        <v>66</v>
      </c>
      <c r="Y400" s="3" t="s">
        <v>66</v>
      </c>
      <c r="Z400" s="3" t="s">
        <v>66</v>
      </c>
      <c r="AA400" s="3" t="s">
        <v>76</v>
      </c>
      <c r="AB400" s="3" t="s">
        <v>66</v>
      </c>
      <c r="AC400" s="2">
        <v>0</v>
      </c>
      <c r="AD400" s="3" t="s">
        <v>68</v>
      </c>
      <c r="AE400" s="3" t="s">
        <v>66</v>
      </c>
      <c r="AF400" s="3" t="s">
        <v>66</v>
      </c>
      <c r="AG400" s="3" t="s">
        <v>66</v>
      </c>
      <c r="AH400" s="3" t="s">
        <v>66</v>
      </c>
      <c r="AI400" s="3" t="s">
        <v>66</v>
      </c>
      <c r="AJ400" s="3" t="s">
        <v>66</v>
      </c>
      <c r="AK400" s="3" t="s">
        <v>66</v>
      </c>
      <c r="AL400" s="3" t="s">
        <v>66</v>
      </c>
      <c r="AM400" s="3" t="s">
        <v>66</v>
      </c>
      <c r="AN400" s="3" t="s">
        <v>77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3" t="s">
        <v>66</v>
      </c>
      <c r="BC400" s="3" t="s">
        <v>66</v>
      </c>
      <c r="BD400" s="2">
        <v>731764.00000000105</v>
      </c>
      <c r="BE400" s="2">
        <v>3762496</v>
      </c>
      <c r="BF400" s="4"/>
      <c r="BG400" s="4"/>
      <c r="BH400" s="4"/>
      <c r="BI400" s="2">
        <v>0</v>
      </c>
      <c r="BJ400" s="2">
        <v>0</v>
      </c>
    </row>
    <row r="401" spans="1:62" hidden="1" x14ac:dyDescent="0.35">
      <c r="A401" s="2">
        <v>103769</v>
      </c>
      <c r="B401" s="2">
        <v>399</v>
      </c>
      <c r="C401" s="3" t="s">
        <v>57</v>
      </c>
      <c r="D401" s="3" t="s">
        <v>615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69</v>
      </c>
      <c r="K401" s="2">
        <v>17280920355</v>
      </c>
      <c r="L401" s="7">
        <f t="shared" si="13"/>
        <v>17280920355</v>
      </c>
      <c r="M401" s="7">
        <f t="shared" si="12"/>
        <v>17280920355</v>
      </c>
      <c r="N401" s="3" t="s">
        <v>64</v>
      </c>
      <c r="O401" s="5" t="s">
        <v>619</v>
      </c>
      <c r="P401" s="3" t="s">
        <v>71</v>
      </c>
      <c r="Q401" s="3" t="s">
        <v>72</v>
      </c>
      <c r="R401" s="2">
        <v>1</v>
      </c>
      <c r="S401" s="3" t="s">
        <v>73</v>
      </c>
      <c r="T401" s="3" t="s">
        <v>126</v>
      </c>
      <c r="U401" s="3" t="s">
        <v>165</v>
      </c>
      <c r="V401" s="3" t="s">
        <v>165</v>
      </c>
      <c r="W401" s="3" t="s">
        <v>165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77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3" t="s">
        <v>66</v>
      </c>
      <c r="BC401" s="3" t="s">
        <v>66</v>
      </c>
      <c r="BD401" s="2">
        <v>731768</v>
      </c>
      <c r="BE401" s="2">
        <v>3762465</v>
      </c>
      <c r="BF401" s="4"/>
      <c r="BG401" s="4"/>
      <c r="BH401" s="4"/>
      <c r="BI401" s="2">
        <v>0</v>
      </c>
      <c r="BJ401" s="2">
        <v>0</v>
      </c>
    </row>
    <row r="402" spans="1:62" hidden="1" x14ac:dyDescent="0.35">
      <c r="A402" s="2">
        <v>103770</v>
      </c>
      <c r="B402" s="2">
        <v>400</v>
      </c>
      <c r="C402" s="3" t="s">
        <v>57</v>
      </c>
      <c r="D402" s="3" t="s">
        <v>620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63</v>
      </c>
      <c r="K402" s="2">
        <v>17280920355</v>
      </c>
      <c r="L402" s="7">
        <f t="shared" si="13"/>
        <v>17280920355</v>
      </c>
      <c r="M402" s="7">
        <f t="shared" si="12"/>
        <v>17280920356</v>
      </c>
      <c r="N402" s="3" t="s">
        <v>64</v>
      </c>
      <c r="O402" s="5" t="s">
        <v>619</v>
      </c>
      <c r="P402" s="3" t="s">
        <v>66</v>
      </c>
      <c r="Q402" s="3" t="s">
        <v>72</v>
      </c>
      <c r="R402" s="2">
        <v>1</v>
      </c>
      <c r="S402" s="3" t="s">
        <v>73</v>
      </c>
      <c r="T402" s="3" t="s">
        <v>126</v>
      </c>
      <c r="U402" s="3" t="s">
        <v>66</v>
      </c>
      <c r="V402" s="3" t="s">
        <v>66</v>
      </c>
      <c r="W402" s="3" t="s">
        <v>66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66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3" t="s">
        <v>66</v>
      </c>
      <c r="BC402" s="3" t="s">
        <v>66</v>
      </c>
      <c r="BD402" s="2">
        <v>731768</v>
      </c>
      <c r="BE402" s="2">
        <v>3762465</v>
      </c>
      <c r="BF402" s="4"/>
      <c r="BG402" s="4"/>
      <c r="BH402" s="4"/>
      <c r="BI402" s="2">
        <v>0</v>
      </c>
      <c r="BJ402" s="2">
        <v>0</v>
      </c>
    </row>
    <row r="403" spans="1:62" ht="58" hidden="1" x14ac:dyDescent="0.35">
      <c r="A403" s="2">
        <v>103771</v>
      </c>
      <c r="B403" s="2">
        <v>401</v>
      </c>
      <c r="C403" s="3" t="s">
        <v>57</v>
      </c>
      <c r="D403" s="3" t="s">
        <v>620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69</v>
      </c>
      <c r="K403" s="2">
        <v>17280920356</v>
      </c>
      <c r="L403" s="7">
        <f t="shared" si="13"/>
        <v>17280920356</v>
      </c>
      <c r="M403" s="7">
        <f t="shared" ref="M403:M466" si="14">IF(J403="E",K403,M404)</f>
        <v>17280920356</v>
      </c>
      <c r="N403" s="3" t="s">
        <v>64</v>
      </c>
      <c r="O403" s="5" t="s">
        <v>621</v>
      </c>
      <c r="P403" s="3" t="s">
        <v>71</v>
      </c>
      <c r="Q403" s="3" t="s">
        <v>72</v>
      </c>
      <c r="R403" s="2">
        <v>0</v>
      </c>
      <c r="S403" s="3" t="s">
        <v>66</v>
      </c>
      <c r="T403" s="3" t="s">
        <v>168</v>
      </c>
      <c r="U403" s="3" t="s">
        <v>165</v>
      </c>
      <c r="V403" s="3" t="s">
        <v>165</v>
      </c>
      <c r="W403" s="3" t="s">
        <v>165</v>
      </c>
      <c r="X403" s="3" t="s">
        <v>66</v>
      </c>
      <c r="Y403" s="3" t="s">
        <v>66</v>
      </c>
      <c r="Z403" s="3" t="s">
        <v>66</v>
      </c>
      <c r="AA403" s="3" t="s">
        <v>169</v>
      </c>
      <c r="AB403" s="3" t="s">
        <v>622</v>
      </c>
      <c r="AC403" s="2">
        <v>0</v>
      </c>
      <c r="AD403" s="3" t="s">
        <v>191</v>
      </c>
      <c r="AE403" s="3" t="s">
        <v>71</v>
      </c>
      <c r="AF403" s="3" t="s">
        <v>172</v>
      </c>
      <c r="AG403" s="3" t="s">
        <v>173</v>
      </c>
      <c r="AH403" s="3" t="s">
        <v>338</v>
      </c>
      <c r="AI403" s="3" t="s">
        <v>66</v>
      </c>
      <c r="AJ403" s="3" t="s">
        <v>66</v>
      </c>
      <c r="AK403" s="3" t="s">
        <v>175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3" t="s">
        <v>600</v>
      </c>
      <c r="BC403" s="3" t="s">
        <v>623</v>
      </c>
      <c r="BD403" s="2">
        <v>731768</v>
      </c>
      <c r="BE403" s="2">
        <v>3762464</v>
      </c>
      <c r="BF403" s="4"/>
      <c r="BG403" s="4"/>
      <c r="BH403" s="4"/>
      <c r="BI403" s="2">
        <v>0</v>
      </c>
      <c r="BJ403" s="2">
        <v>0</v>
      </c>
    </row>
    <row r="404" spans="1:62" ht="58" hidden="1" x14ac:dyDescent="0.35">
      <c r="A404" s="2">
        <v>103772</v>
      </c>
      <c r="B404" s="2">
        <v>402</v>
      </c>
      <c r="C404" s="3" t="s">
        <v>57</v>
      </c>
      <c r="D404" s="3" t="s">
        <v>624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63</v>
      </c>
      <c r="K404" s="2">
        <v>17280920356</v>
      </c>
      <c r="L404" s="7">
        <f t="shared" si="13"/>
        <v>17280920356</v>
      </c>
      <c r="M404" s="7">
        <f t="shared" si="14"/>
        <v>17280920357</v>
      </c>
      <c r="N404" s="3" t="s">
        <v>179</v>
      </c>
      <c r="O404" s="5" t="s">
        <v>621</v>
      </c>
      <c r="P404" s="3" t="s">
        <v>66</v>
      </c>
      <c r="Q404" s="3" t="s">
        <v>180</v>
      </c>
      <c r="R404" s="2">
        <v>0</v>
      </c>
      <c r="S404" s="3" t="s">
        <v>66</v>
      </c>
      <c r="T404" s="3" t="s">
        <v>168</v>
      </c>
      <c r="U404" s="3" t="s">
        <v>66</v>
      </c>
      <c r="V404" s="3" t="s">
        <v>66</v>
      </c>
      <c r="W404" s="3" t="s">
        <v>66</v>
      </c>
      <c r="X404" s="3" t="s">
        <v>66</v>
      </c>
      <c r="Y404" s="3" t="s">
        <v>66</v>
      </c>
      <c r="Z404" s="3" t="s">
        <v>66</v>
      </c>
      <c r="AA404" s="3" t="s">
        <v>181</v>
      </c>
      <c r="AB404" s="3" t="s">
        <v>622</v>
      </c>
      <c r="AC404" s="2">
        <v>0</v>
      </c>
      <c r="AD404" s="3" t="s">
        <v>191</v>
      </c>
      <c r="AE404" s="3" t="s">
        <v>71</v>
      </c>
      <c r="AF404" s="3" t="s">
        <v>172</v>
      </c>
      <c r="AG404" s="3" t="s">
        <v>173</v>
      </c>
      <c r="AH404" s="3" t="s">
        <v>338</v>
      </c>
      <c r="AI404" s="3" t="s">
        <v>66</v>
      </c>
      <c r="AJ404" s="3" t="s">
        <v>66</v>
      </c>
      <c r="AK404" s="3" t="s">
        <v>175</v>
      </c>
      <c r="AL404" s="3" t="s">
        <v>66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3" t="s">
        <v>600</v>
      </c>
      <c r="BC404" s="3" t="s">
        <v>623</v>
      </c>
      <c r="BD404" s="2">
        <v>731768</v>
      </c>
      <c r="BE404" s="2">
        <v>3762464</v>
      </c>
      <c r="BF404" s="4"/>
      <c r="BG404" s="4"/>
      <c r="BH404" s="4"/>
      <c r="BI404" s="2">
        <v>0</v>
      </c>
      <c r="BJ404" s="2">
        <v>0</v>
      </c>
    </row>
    <row r="405" spans="1:62" ht="58" hidden="1" x14ac:dyDescent="0.35">
      <c r="A405" s="2">
        <v>103773</v>
      </c>
      <c r="B405" s="2">
        <v>403</v>
      </c>
      <c r="C405" s="3" t="s">
        <v>57</v>
      </c>
      <c r="D405" s="3" t="s">
        <v>624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69</v>
      </c>
      <c r="K405" s="2">
        <v>17280920357</v>
      </c>
      <c r="L405" s="7">
        <f t="shared" si="13"/>
        <v>17280920357</v>
      </c>
      <c r="M405" s="7">
        <f t="shared" si="14"/>
        <v>17280920357</v>
      </c>
      <c r="N405" s="3" t="s">
        <v>179</v>
      </c>
      <c r="O405" s="5" t="s">
        <v>625</v>
      </c>
      <c r="P405" s="3" t="s">
        <v>183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392</v>
      </c>
      <c r="V405" s="3" t="s">
        <v>392</v>
      </c>
      <c r="W405" s="3" t="s">
        <v>392</v>
      </c>
      <c r="X405" s="3" t="s">
        <v>392</v>
      </c>
      <c r="Y405" s="3" t="s">
        <v>66</v>
      </c>
      <c r="Z405" s="3" t="s">
        <v>66</v>
      </c>
      <c r="AA405" s="3" t="s">
        <v>181</v>
      </c>
      <c r="AB405" s="3" t="s">
        <v>622</v>
      </c>
      <c r="AC405" s="2">
        <v>0</v>
      </c>
      <c r="AD405" s="3" t="s">
        <v>191</v>
      </c>
      <c r="AE405" s="3" t="s">
        <v>71</v>
      </c>
      <c r="AF405" s="3" t="s">
        <v>172</v>
      </c>
      <c r="AG405" s="3" t="s">
        <v>173</v>
      </c>
      <c r="AH405" s="3" t="s">
        <v>338</v>
      </c>
      <c r="AI405" s="3" t="s">
        <v>66</v>
      </c>
      <c r="AJ405" s="3" t="s">
        <v>66</v>
      </c>
      <c r="AK405" s="3" t="s">
        <v>175</v>
      </c>
      <c r="AL405" s="3" t="s">
        <v>66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3" t="s">
        <v>600</v>
      </c>
      <c r="BC405" s="3" t="s">
        <v>623</v>
      </c>
      <c r="BD405" s="2">
        <v>731769.00000000105</v>
      </c>
      <c r="BE405" s="2">
        <v>3762464</v>
      </c>
      <c r="BF405" s="4"/>
      <c r="BG405" s="4"/>
      <c r="BH405" s="4"/>
      <c r="BI405" s="2">
        <v>0</v>
      </c>
      <c r="BJ405" s="2">
        <v>0</v>
      </c>
    </row>
    <row r="406" spans="1:62" hidden="1" x14ac:dyDescent="0.35">
      <c r="A406" s="2">
        <v>103774</v>
      </c>
      <c r="B406" s="2">
        <v>404</v>
      </c>
      <c r="C406" s="3" t="s">
        <v>57</v>
      </c>
      <c r="D406" s="3" t="s">
        <v>626</v>
      </c>
      <c r="E406" s="2">
        <v>2</v>
      </c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63</v>
      </c>
      <c r="K406" s="2">
        <v>17280920354</v>
      </c>
      <c r="L406" s="7">
        <f t="shared" si="13"/>
        <v>17280920357</v>
      </c>
      <c r="M406" s="7">
        <f t="shared" si="14"/>
        <v>17280920359</v>
      </c>
      <c r="N406" s="3" t="s">
        <v>64</v>
      </c>
      <c r="O406" s="5" t="s">
        <v>618</v>
      </c>
      <c r="P406" s="3" t="s">
        <v>66</v>
      </c>
      <c r="Q406" s="3" t="s">
        <v>72</v>
      </c>
      <c r="R406" s="2">
        <v>1</v>
      </c>
      <c r="S406" s="3" t="s">
        <v>73</v>
      </c>
      <c r="T406" s="3" t="s">
        <v>84</v>
      </c>
      <c r="U406" s="3" t="s">
        <v>66</v>
      </c>
      <c r="V406" s="3" t="s">
        <v>66</v>
      </c>
      <c r="W406" s="3" t="s">
        <v>66</v>
      </c>
      <c r="X406" s="3" t="s">
        <v>66</v>
      </c>
      <c r="Y406" s="3" t="s">
        <v>66</v>
      </c>
      <c r="Z406" s="3" t="s">
        <v>66</v>
      </c>
      <c r="AA406" s="3" t="s">
        <v>76</v>
      </c>
      <c r="AB406" s="3" t="s">
        <v>66</v>
      </c>
      <c r="AC406" s="2">
        <v>0</v>
      </c>
      <c r="AD406" s="3" t="s">
        <v>68</v>
      </c>
      <c r="AE406" s="3" t="s">
        <v>66</v>
      </c>
      <c r="AF406" s="3" t="s">
        <v>66</v>
      </c>
      <c r="AG406" s="3" t="s">
        <v>66</v>
      </c>
      <c r="AH406" s="3" t="s">
        <v>66</v>
      </c>
      <c r="AI406" s="3" t="s">
        <v>66</v>
      </c>
      <c r="AJ406" s="3" t="s">
        <v>66</v>
      </c>
      <c r="AK406" s="3" t="s">
        <v>66</v>
      </c>
      <c r="AL406" s="3" t="s">
        <v>66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3" t="s">
        <v>66</v>
      </c>
      <c r="BC406" s="3" t="s">
        <v>66</v>
      </c>
      <c r="BD406" s="2">
        <v>731764.00000000105</v>
      </c>
      <c r="BE406" s="2">
        <v>3762496</v>
      </c>
      <c r="BF406" s="4"/>
      <c r="BG406" s="4"/>
      <c r="BH406" s="4"/>
      <c r="BI406" s="2">
        <v>0</v>
      </c>
      <c r="BJ406" s="2">
        <v>0</v>
      </c>
    </row>
    <row r="407" spans="1:62" hidden="1" x14ac:dyDescent="0.35">
      <c r="A407" s="2">
        <v>103775</v>
      </c>
      <c r="B407" s="2">
        <v>405</v>
      </c>
      <c r="C407" s="3" t="s">
        <v>57</v>
      </c>
      <c r="D407" s="3" t="s">
        <v>626</v>
      </c>
      <c r="E407" s="2">
        <v>0</v>
      </c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66</v>
      </c>
      <c r="K407" s="2">
        <v>17280920358</v>
      </c>
      <c r="L407" s="7">
        <f t="shared" si="13"/>
        <v>17280920357</v>
      </c>
      <c r="M407" s="7">
        <f t="shared" si="14"/>
        <v>17280920359</v>
      </c>
      <c r="N407" s="3" t="s">
        <v>64</v>
      </c>
      <c r="O407" s="5" t="s">
        <v>627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3" t="s">
        <v>66</v>
      </c>
      <c r="BC407" s="3" t="s">
        <v>66</v>
      </c>
      <c r="BD407" s="2">
        <v>731798</v>
      </c>
      <c r="BE407" s="2">
        <v>3762504</v>
      </c>
      <c r="BF407" s="4"/>
      <c r="BG407" s="4"/>
      <c r="BH407" s="4"/>
      <c r="BI407" s="2">
        <v>0</v>
      </c>
      <c r="BJ407" s="2">
        <v>0</v>
      </c>
    </row>
    <row r="408" spans="1:62" hidden="1" x14ac:dyDescent="0.35">
      <c r="A408" s="2">
        <v>103776</v>
      </c>
      <c r="B408" s="2">
        <v>406</v>
      </c>
      <c r="C408" s="3" t="s">
        <v>57</v>
      </c>
      <c r="D408" s="3" t="s">
        <v>626</v>
      </c>
      <c r="E408" s="4"/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69</v>
      </c>
      <c r="K408" s="2">
        <v>17280920359</v>
      </c>
      <c r="L408" s="7">
        <f t="shared" si="13"/>
        <v>17280920359</v>
      </c>
      <c r="M408" s="7">
        <f t="shared" si="14"/>
        <v>17280920359</v>
      </c>
      <c r="N408" s="3" t="s">
        <v>64</v>
      </c>
      <c r="O408" s="5" t="s">
        <v>628</v>
      </c>
      <c r="P408" s="3" t="s">
        <v>71</v>
      </c>
      <c r="Q408" s="3" t="s">
        <v>72</v>
      </c>
      <c r="R408" s="2">
        <v>1</v>
      </c>
      <c r="S408" s="3" t="s">
        <v>73</v>
      </c>
      <c r="T408" s="3" t="s">
        <v>84</v>
      </c>
      <c r="U408" s="3" t="s">
        <v>165</v>
      </c>
      <c r="V408" s="3" t="s">
        <v>165</v>
      </c>
      <c r="W408" s="3" t="s">
        <v>165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77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3" t="s">
        <v>66</v>
      </c>
      <c r="BC408" s="3" t="s">
        <v>66</v>
      </c>
      <c r="BD408" s="2">
        <v>731818.00000000105</v>
      </c>
      <c r="BE408" s="2">
        <v>3762508</v>
      </c>
      <c r="BF408" s="4"/>
      <c r="BG408" s="4"/>
      <c r="BH408" s="4"/>
      <c r="BI408" s="2">
        <v>0</v>
      </c>
      <c r="BJ408" s="2">
        <v>0</v>
      </c>
    </row>
    <row r="409" spans="1:62" hidden="1" x14ac:dyDescent="0.35">
      <c r="A409" s="2">
        <v>103777</v>
      </c>
      <c r="B409" s="2">
        <v>407</v>
      </c>
      <c r="C409" s="3" t="s">
        <v>57</v>
      </c>
      <c r="D409" s="3" t="s">
        <v>629</v>
      </c>
      <c r="E409" s="4"/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63</v>
      </c>
      <c r="K409" s="2">
        <v>17280920359</v>
      </c>
      <c r="L409" s="7">
        <f t="shared" si="13"/>
        <v>17280920359</v>
      </c>
      <c r="M409" s="7">
        <f t="shared" si="14"/>
        <v>17280920360</v>
      </c>
      <c r="N409" s="3" t="s">
        <v>64</v>
      </c>
      <c r="O409" s="5" t="s">
        <v>628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84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3" t="s">
        <v>66</v>
      </c>
      <c r="BC409" s="3" t="s">
        <v>66</v>
      </c>
      <c r="BD409" s="2">
        <v>731818.00000000105</v>
      </c>
      <c r="BE409" s="2">
        <v>3762508</v>
      </c>
      <c r="BF409" s="4"/>
      <c r="BG409" s="4"/>
      <c r="BH409" s="4"/>
      <c r="BI409" s="2">
        <v>0</v>
      </c>
      <c r="BJ409" s="2">
        <v>0</v>
      </c>
    </row>
    <row r="410" spans="1:62" ht="58" hidden="1" x14ac:dyDescent="0.35">
      <c r="A410" s="2">
        <v>103778</v>
      </c>
      <c r="B410" s="2">
        <v>408</v>
      </c>
      <c r="C410" s="3" t="s">
        <v>57</v>
      </c>
      <c r="D410" s="3" t="s">
        <v>629</v>
      </c>
      <c r="E410" s="4"/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69</v>
      </c>
      <c r="K410" s="2">
        <v>17280920360</v>
      </c>
      <c r="L410" s="7">
        <f t="shared" si="13"/>
        <v>17280920360</v>
      </c>
      <c r="M410" s="7">
        <f t="shared" si="14"/>
        <v>17280920360</v>
      </c>
      <c r="N410" s="3" t="s">
        <v>64</v>
      </c>
      <c r="O410" s="5" t="s">
        <v>630</v>
      </c>
      <c r="P410" s="3" t="s">
        <v>71</v>
      </c>
      <c r="Q410" s="3" t="s">
        <v>72</v>
      </c>
      <c r="R410" s="2">
        <v>0</v>
      </c>
      <c r="S410" s="3" t="s">
        <v>66</v>
      </c>
      <c r="T410" s="3" t="s">
        <v>168</v>
      </c>
      <c r="U410" s="3" t="s">
        <v>165</v>
      </c>
      <c r="V410" s="3" t="s">
        <v>165</v>
      </c>
      <c r="W410" s="3" t="s">
        <v>165</v>
      </c>
      <c r="X410" s="3" t="s">
        <v>66</v>
      </c>
      <c r="Y410" s="3" t="s">
        <v>66</v>
      </c>
      <c r="Z410" s="3" t="s">
        <v>66</v>
      </c>
      <c r="AA410" s="3" t="s">
        <v>169</v>
      </c>
      <c r="AB410" s="3" t="s">
        <v>631</v>
      </c>
      <c r="AC410" s="2">
        <v>0</v>
      </c>
      <c r="AD410" s="3" t="s">
        <v>409</v>
      </c>
      <c r="AE410" s="3" t="s">
        <v>71</v>
      </c>
      <c r="AF410" s="3" t="s">
        <v>216</v>
      </c>
      <c r="AG410" s="3" t="s">
        <v>173</v>
      </c>
      <c r="AH410" s="3" t="s">
        <v>231</v>
      </c>
      <c r="AI410" s="3" t="s">
        <v>66</v>
      </c>
      <c r="AJ410" s="3" t="s">
        <v>66</v>
      </c>
      <c r="AK410" s="3" t="s">
        <v>205</v>
      </c>
      <c r="AL410" s="3" t="s">
        <v>632</v>
      </c>
      <c r="AM410" s="3" t="s">
        <v>66</v>
      </c>
      <c r="AN410" s="3" t="s">
        <v>66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3" t="s">
        <v>600</v>
      </c>
      <c r="BC410" s="3" t="s">
        <v>633</v>
      </c>
      <c r="BD410" s="2">
        <v>731818.00000000105</v>
      </c>
      <c r="BE410" s="2">
        <v>3762509</v>
      </c>
      <c r="BF410" s="4"/>
      <c r="BG410" s="4"/>
      <c r="BH410" s="4"/>
      <c r="BI410" s="2">
        <v>0</v>
      </c>
      <c r="BJ410" s="2">
        <v>0</v>
      </c>
    </row>
    <row r="411" spans="1:62" ht="58" hidden="1" x14ac:dyDescent="0.35">
      <c r="A411" s="2">
        <v>103779</v>
      </c>
      <c r="B411" s="2">
        <v>409</v>
      </c>
      <c r="C411" s="3" t="s">
        <v>57</v>
      </c>
      <c r="D411" s="3" t="s">
        <v>634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63</v>
      </c>
      <c r="K411" s="2">
        <v>17280920360</v>
      </c>
      <c r="L411" s="7">
        <f t="shared" si="13"/>
        <v>17280920360</v>
      </c>
      <c r="M411" s="7">
        <f t="shared" si="14"/>
        <v>17280920361</v>
      </c>
      <c r="N411" s="3" t="s">
        <v>179</v>
      </c>
      <c r="O411" s="5" t="s">
        <v>630</v>
      </c>
      <c r="P411" s="3" t="s">
        <v>66</v>
      </c>
      <c r="Q411" s="3" t="s">
        <v>180</v>
      </c>
      <c r="R411" s="2">
        <v>0</v>
      </c>
      <c r="S411" s="3" t="s">
        <v>66</v>
      </c>
      <c r="T411" s="3" t="s">
        <v>168</v>
      </c>
      <c r="U411" s="3" t="s">
        <v>66</v>
      </c>
      <c r="V411" s="3" t="s">
        <v>66</v>
      </c>
      <c r="W411" s="3" t="s">
        <v>66</v>
      </c>
      <c r="X411" s="3" t="s">
        <v>66</v>
      </c>
      <c r="Y411" s="3" t="s">
        <v>66</v>
      </c>
      <c r="Z411" s="3" t="s">
        <v>66</v>
      </c>
      <c r="AA411" s="3" t="s">
        <v>181</v>
      </c>
      <c r="AB411" s="3" t="s">
        <v>631</v>
      </c>
      <c r="AC411" s="2">
        <v>0</v>
      </c>
      <c r="AD411" s="3" t="s">
        <v>409</v>
      </c>
      <c r="AE411" s="3" t="s">
        <v>71</v>
      </c>
      <c r="AF411" s="3" t="s">
        <v>216</v>
      </c>
      <c r="AG411" s="3" t="s">
        <v>173</v>
      </c>
      <c r="AH411" s="3" t="s">
        <v>231</v>
      </c>
      <c r="AI411" s="3" t="s">
        <v>66</v>
      </c>
      <c r="AJ411" s="3" t="s">
        <v>66</v>
      </c>
      <c r="AK411" s="3" t="s">
        <v>205</v>
      </c>
      <c r="AL411" s="3" t="s">
        <v>632</v>
      </c>
      <c r="AM411" s="3" t="s">
        <v>66</v>
      </c>
      <c r="AN411" s="3" t="s">
        <v>66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3" t="s">
        <v>600</v>
      </c>
      <c r="BC411" s="3" t="s">
        <v>633</v>
      </c>
      <c r="BD411" s="2">
        <v>731818.00000000105</v>
      </c>
      <c r="BE411" s="2">
        <v>3762509</v>
      </c>
      <c r="BF411" s="4"/>
      <c r="BG411" s="4"/>
      <c r="BH411" s="4"/>
      <c r="BI411" s="2">
        <v>0</v>
      </c>
      <c r="BJ411" s="2">
        <v>0</v>
      </c>
    </row>
    <row r="412" spans="1:62" ht="58" hidden="1" x14ac:dyDescent="0.35">
      <c r="A412" s="2">
        <v>103780</v>
      </c>
      <c r="B412" s="2">
        <v>410</v>
      </c>
      <c r="C412" s="3" t="s">
        <v>57</v>
      </c>
      <c r="D412" s="3" t="s">
        <v>634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69</v>
      </c>
      <c r="K412" s="2">
        <v>17280920361</v>
      </c>
      <c r="L412" s="7">
        <f t="shared" si="13"/>
        <v>17280920361</v>
      </c>
      <c r="M412" s="7">
        <f t="shared" si="14"/>
        <v>17280920361</v>
      </c>
      <c r="N412" s="3" t="s">
        <v>179</v>
      </c>
      <c r="O412" s="5" t="s">
        <v>635</v>
      </c>
      <c r="P412" s="3" t="s">
        <v>183</v>
      </c>
      <c r="Q412" s="3" t="s">
        <v>180</v>
      </c>
      <c r="R412" s="2">
        <v>0</v>
      </c>
      <c r="S412" s="3" t="s">
        <v>66</v>
      </c>
      <c r="T412" s="3" t="s">
        <v>168</v>
      </c>
      <c r="U412" s="3" t="s">
        <v>223</v>
      </c>
      <c r="V412" s="3" t="s">
        <v>223</v>
      </c>
      <c r="W412" s="3" t="s">
        <v>223</v>
      </c>
      <c r="X412" s="3" t="s">
        <v>223</v>
      </c>
      <c r="Y412" s="3" t="s">
        <v>66</v>
      </c>
      <c r="Z412" s="3" t="s">
        <v>66</v>
      </c>
      <c r="AA412" s="3" t="s">
        <v>181</v>
      </c>
      <c r="AB412" s="3" t="s">
        <v>631</v>
      </c>
      <c r="AC412" s="2">
        <v>0</v>
      </c>
      <c r="AD412" s="3" t="s">
        <v>409</v>
      </c>
      <c r="AE412" s="3" t="s">
        <v>71</v>
      </c>
      <c r="AF412" s="3" t="s">
        <v>216</v>
      </c>
      <c r="AG412" s="3" t="s">
        <v>173</v>
      </c>
      <c r="AH412" s="3" t="s">
        <v>231</v>
      </c>
      <c r="AI412" s="3" t="s">
        <v>66</v>
      </c>
      <c r="AJ412" s="3" t="s">
        <v>66</v>
      </c>
      <c r="AK412" s="3" t="s">
        <v>205</v>
      </c>
      <c r="AL412" s="3" t="s">
        <v>632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3" t="s">
        <v>600</v>
      </c>
      <c r="BC412" s="3" t="s">
        <v>633</v>
      </c>
      <c r="BD412" s="2">
        <v>731816</v>
      </c>
      <c r="BE412" s="2">
        <v>3762510</v>
      </c>
      <c r="BF412" s="4"/>
      <c r="BG412" s="4"/>
      <c r="BH412" s="4"/>
      <c r="BI412" s="2">
        <v>0</v>
      </c>
      <c r="BJ412" s="2">
        <v>0</v>
      </c>
    </row>
    <row r="413" spans="1:62" ht="58" hidden="1" x14ac:dyDescent="0.35">
      <c r="A413" s="2">
        <v>104062</v>
      </c>
      <c r="B413" s="2">
        <v>411</v>
      </c>
      <c r="C413" s="3" t="s">
        <v>57</v>
      </c>
      <c r="D413" s="3" t="s">
        <v>636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63</v>
      </c>
      <c r="K413" s="2">
        <v>17160920102</v>
      </c>
      <c r="L413" s="7">
        <f t="shared" si="13"/>
        <v>17280920361</v>
      </c>
      <c r="M413" s="7">
        <f t="shared" si="14"/>
        <v>2300120010</v>
      </c>
      <c r="N413" s="3" t="s">
        <v>179</v>
      </c>
      <c r="O413" s="5" t="s">
        <v>194</v>
      </c>
      <c r="P413" s="3" t="s">
        <v>66</v>
      </c>
      <c r="Q413" s="3" t="s">
        <v>180</v>
      </c>
      <c r="R413" s="2">
        <v>0</v>
      </c>
      <c r="S413" s="3" t="s">
        <v>66</v>
      </c>
      <c r="T413" s="3" t="s">
        <v>168</v>
      </c>
      <c r="U413" s="3" t="s">
        <v>66</v>
      </c>
      <c r="V413" s="3" t="s">
        <v>66</v>
      </c>
      <c r="W413" s="3" t="s">
        <v>66</v>
      </c>
      <c r="X413" s="3" t="s">
        <v>66</v>
      </c>
      <c r="Y413" s="3" t="s">
        <v>66</v>
      </c>
      <c r="Z413" s="3" t="s">
        <v>66</v>
      </c>
      <c r="AA413" s="3" t="s">
        <v>181</v>
      </c>
      <c r="AB413" s="3" t="s">
        <v>190</v>
      </c>
      <c r="AC413" s="2">
        <v>0</v>
      </c>
      <c r="AD413" s="3" t="s">
        <v>68</v>
      </c>
      <c r="AE413" s="3" t="s">
        <v>71</v>
      </c>
      <c r="AF413" s="3" t="s">
        <v>172</v>
      </c>
      <c r="AG413" s="3" t="s">
        <v>173</v>
      </c>
      <c r="AH413" s="3" t="s">
        <v>174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3" t="s">
        <v>176</v>
      </c>
      <c r="BC413" s="3" t="s">
        <v>192</v>
      </c>
      <c r="BD413" s="2">
        <v>730875</v>
      </c>
      <c r="BE413" s="2">
        <v>3763165</v>
      </c>
      <c r="BF413" s="4"/>
      <c r="BG413" s="4"/>
      <c r="BH413" s="4"/>
      <c r="BI413" s="4"/>
      <c r="BJ413" s="2">
        <v>0</v>
      </c>
    </row>
    <row r="414" spans="1:62" x14ac:dyDescent="0.35">
      <c r="A414" s="2">
        <v>104063</v>
      </c>
      <c r="B414" s="2">
        <v>412</v>
      </c>
      <c r="C414" s="3" t="s">
        <v>57</v>
      </c>
      <c r="D414" s="3" t="s">
        <v>636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69</v>
      </c>
      <c r="K414" s="2">
        <v>2300120010</v>
      </c>
      <c r="L414" s="7">
        <f t="shared" si="13"/>
        <v>2300120010</v>
      </c>
      <c r="M414" s="7">
        <f t="shared" si="14"/>
        <v>2300120010</v>
      </c>
      <c r="N414" s="3" t="s">
        <v>179</v>
      </c>
      <c r="O414" s="5" t="s">
        <v>637</v>
      </c>
      <c r="P414" s="3" t="s">
        <v>183</v>
      </c>
      <c r="Q414" s="3" t="s">
        <v>180</v>
      </c>
      <c r="R414" s="2">
        <v>0</v>
      </c>
      <c r="S414" s="3" t="s">
        <v>73</v>
      </c>
      <c r="T414" s="3" t="s">
        <v>638</v>
      </c>
      <c r="U414" s="3" t="s">
        <v>392</v>
      </c>
      <c r="V414" s="3" t="s">
        <v>195</v>
      </c>
      <c r="W414" s="3" t="s">
        <v>195</v>
      </c>
      <c r="X414" s="3" t="s">
        <v>392</v>
      </c>
      <c r="Y414" s="3" t="s">
        <v>66</v>
      </c>
      <c r="Z414" s="3" t="s">
        <v>66</v>
      </c>
      <c r="AA414" s="3" t="s">
        <v>181</v>
      </c>
      <c r="AB414" s="3" t="s">
        <v>190</v>
      </c>
      <c r="AC414" s="2">
        <v>0</v>
      </c>
      <c r="AD414" s="3" t="s">
        <v>68</v>
      </c>
      <c r="AE414" s="3" t="s">
        <v>71</v>
      </c>
      <c r="AF414" s="3" t="s">
        <v>66</v>
      </c>
      <c r="AG414" s="3" t="s">
        <v>66</v>
      </c>
      <c r="AH414" s="3" t="s">
        <v>66</v>
      </c>
      <c r="AI414" s="3" t="s">
        <v>66</v>
      </c>
      <c r="AJ414" s="3" t="s">
        <v>66</v>
      </c>
      <c r="AK414" s="3" t="s">
        <v>66</v>
      </c>
      <c r="AL414" s="3" t="s">
        <v>66</v>
      </c>
      <c r="AM414" s="3" t="s">
        <v>66</v>
      </c>
      <c r="AN414" s="3" t="s">
        <v>66</v>
      </c>
      <c r="AO414" s="2">
        <v>0</v>
      </c>
      <c r="AP414" s="8">
        <v>1</v>
      </c>
      <c r="AQ414" s="2">
        <v>0</v>
      </c>
      <c r="AR414" s="8">
        <v>0</v>
      </c>
      <c r="AS414" s="2">
        <v>0</v>
      </c>
      <c r="AT414" s="8">
        <v>0</v>
      </c>
      <c r="AU414" s="2">
        <v>0</v>
      </c>
      <c r="AV414" s="2">
        <v>0</v>
      </c>
      <c r="AW414" s="2">
        <v>0</v>
      </c>
      <c r="AX414" s="2">
        <v>0</v>
      </c>
      <c r="AY414" s="2">
        <f>(($AQ414+$AS414+$AU414++$AT414+$AV414+$AW414+$AX414)/3)+IF(($AP414+$AR414)&gt;=1,ROUNDUP(($AP414+$AR414)/3,0),0)</f>
        <v>1</v>
      </c>
      <c r="AZ414" s="2">
        <f>(($AQ414+$AS414+$AU414++$AT414+$AV414+$AW414+$AX414)/3)+IF(($AP414+$AR414)&gt;=1,ROUNDDOWN(($AP414+$AR414)/3,0),0)</f>
        <v>0</v>
      </c>
      <c r="BA414" s="2">
        <f>(($AQ414+$AS414+$AU414++$AT414+$AV414+$AW414+$AX414)/3)+(IF(($AP414+$AR414)&gt;=($AY414+$AZ414),(($AP414+$AR414)-($AY414+$AZ414)),0))</f>
        <v>0</v>
      </c>
      <c r="BB414" s="3" t="s">
        <v>66</v>
      </c>
      <c r="BC414" s="3" t="s">
        <v>66</v>
      </c>
      <c r="BD414" s="2">
        <v>730906</v>
      </c>
      <c r="BE414" s="2">
        <v>3763115</v>
      </c>
      <c r="BF414" s="4"/>
      <c r="BG414" s="4"/>
      <c r="BH414" s="4"/>
      <c r="BI414" s="2">
        <v>0</v>
      </c>
      <c r="BJ414" s="2">
        <v>0</v>
      </c>
    </row>
    <row r="415" spans="1:62" hidden="1" x14ac:dyDescent="0.35">
      <c r="A415" s="2">
        <v>104064</v>
      </c>
      <c r="B415" s="2">
        <v>413</v>
      </c>
      <c r="C415" s="3" t="s">
        <v>57</v>
      </c>
      <c r="D415" s="3" t="s">
        <v>639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63</v>
      </c>
      <c r="K415" s="2">
        <v>2300120010</v>
      </c>
      <c r="L415" s="7">
        <f t="shared" si="13"/>
        <v>2300120010</v>
      </c>
      <c r="M415" s="7">
        <f t="shared" si="14"/>
        <v>2300120011</v>
      </c>
      <c r="N415" s="3" t="s">
        <v>179</v>
      </c>
      <c r="O415" s="5" t="s">
        <v>637</v>
      </c>
      <c r="P415" s="3" t="s">
        <v>66</v>
      </c>
      <c r="Q415" s="3" t="s">
        <v>180</v>
      </c>
      <c r="R415" s="2">
        <v>0</v>
      </c>
      <c r="S415" s="3" t="s">
        <v>73</v>
      </c>
      <c r="T415" s="3" t="s">
        <v>638</v>
      </c>
      <c r="U415" s="3" t="s">
        <v>66</v>
      </c>
      <c r="V415" s="3" t="s">
        <v>66</v>
      </c>
      <c r="W415" s="3" t="s">
        <v>66</v>
      </c>
      <c r="X415" s="3" t="s">
        <v>66</v>
      </c>
      <c r="Y415" s="3" t="s">
        <v>66</v>
      </c>
      <c r="Z415" s="3" t="s">
        <v>66</v>
      </c>
      <c r="AA415" s="3" t="s">
        <v>181</v>
      </c>
      <c r="AB415" s="3" t="s">
        <v>190</v>
      </c>
      <c r="AC415" s="2">
        <v>0</v>
      </c>
      <c r="AD415" s="3" t="s">
        <v>68</v>
      </c>
      <c r="AE415" s="3" t="s">
        <v>71</v>
      </c>
      <c r="AF415" s="3" t="s">
        <v>66</v>
      </c>
      <c r="AG415" s="3" t="s">
        <v>66</v>
      </c>
      <c r="AH415" s="3" t="s">
        <v>66</v>
      </c>
      <c r="AI415" s="3" t="s">
        <v>66</v>
      </c>
      <c r="AJ415" s="3" t="s">
        <v>66</v>
      </c>
      <c r="AK415" s="3" t="s">
        <v>66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3" t="s">
        <v>66</v>
      </c>
      <c r="BC415" s="3" t="s">
        <v>66</v>
      </c>
      <c r="BD415" s="2">
        <v>730906</v>
      </c>
      <c r="BE415" s="2">
        <v>3763115</v>
      </c>
      <c r="BF415" s="4"/>
      <c r="BG415" s="4"/>
      <c r="BH415" s="4"/>
      <c r="BI415" s="2">
        <v>0</v>
      </c>
      <c r="BJ415" s="2">
        <v>0</v>
      </c>
    </row>
    <row r="416" spans="1:62" x14ac:dyDescent="0.35">
      <c r="A416" s="2">
        <v>104065</v>
      </c>
      <c r="B416" s="2">
        <v>414</v>
      </c>
      <c r="C416" s="3" t="s">
        <v>57</v>
      </c>
      <c r="D416" s="3" t="s">
        <v>639</v>
      </c>
      <c r="E416" s="4"/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69</v>
      </c>
      <c r="K416" s="2">
        <v>2300120011</v>
      </c>
      <c r="L416" s="7">
        <f t="shared" si="13"/>
        <v>2300120011</v>
      </c>
      <c r="M416" s="7">
        <f t="shared" si="14"/>
        <v>2300120011</v>
      </c>
      <c r="N416" s="3" t="s">
        <v>179</v>
      </c>
      <c r="O416" s="5" t="s">
        <v>640</v>
      </c>
      <c r="P416" s="3" t="s">
        <v>183</v>
      </c>
      <c r="Q416" s="3" t="s">
        <v>180</v>
      </c>
      <c r="R416" s="2">
        <v>0</v>
      </c>
      <c r="S416" s="3" t="s">
        <v>314</v>
      </c>
      <c r="T416" s="3" t="s">
        <v>254</v>
      </c>
      <c r="U416" s="3" t="s">
        <v>195</v>
      </c>
      <c r="V416" s="3" t="s">
        <v>195</v>
      </c>
      <c r="W416" s="3" t="s">
        <v>195</v>
      </c>
      <c r="X416" s="3" t="s">
        <v>195</v>
      </c>
      <c r="Y416" s="3" t="s">
        <v>66</v>
      </c>
      <c r="Z416" s="3" t="s">
        <v>66</v>
      </c>
      <c r="AA416" s="3" t="s">
        <v>181</v>
      </c>
      <c r="AB416" s="3" t="s">
        <v>190</v>
      </c>
      <c r="AC416" s="2">
        <v>0</v>
      </c>
      <c r="AD416" s="3" t="s">
        <v>68</v>
      </c>
      <c r="AE416" s="3" t="s">
        <v>71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4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>
        <f>(($AQ416+$AS416+$AU416++$AT416+$AV416+$AW416+$AX416)/3)+IF(($AP416+$AR416)&gt;=1,ROUNDUP(($AP416+$AR416)/3,0),0)</f>
        <v>2</v>
      </c>
      <c r="AZ416" s="2">
        <f>(($AQ416+$AS416+$AU416++$AT416+$AV416+$AW416+$AX416)/3)+IF(($AP416+$AR416)&gt;=1,ROUNDDOWN(($AP416+$AR416)/3,0),0)</f>
        <v>1</v>
      </c>
      <c r="BA416" s="2">
        <f>(($AQ416+$AS416+$AU416++$AT416+$AV416+$AW416+$AX416)/3)+(IF(($AP416+$AR416)&gt;=($AY416+$AZ416),(($AP416+$AR416)-($AY416+$AZ416)),0))</f>
        <v>1</v>
      </c>
      <c r="BB416" s="3" t="s">
        <v>66</v>
      </c>
      <c r="BC416" s="3" t="s">
        <v>66</v>
      </c>
      <c r="BD416" s="2">
        <v>730929</v>
      </c>
      <c r="BE416" s="2">
        <v>3763070</v>
      </c>
      <c r="BF416" s="4"/>
      <c r="BG416" s="4"/>
      <c r="BH416" s="4"/>
      <c r="BI416" s="2">
        <v>0</v>
      </c>
      <c r="BJ416" s="2">
        <v>0</v>
      </c>
    </row>
    <row r="417" spans="1:62" hidden="1" x14ac:dyDescent="0.35">
      <c r="A417" s="2">
        <v>104066</v>
      </c>
      <c r="B417" s="2">
        <v>415</v>
      </c>
      <c r="C417" s="3" t="s">
        <v>57</v>
      </c>
      <c r="D417" s="3" t="s">
        <v>641</v>
      </c>
      <c r="E417" s="4"/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63</v>
      </c>
      <c r="K417" s="2">
        <v>2300120011</v>
      </c>
      <c r="L417" s="7">
        <f t="shared" si="13"/>
        <v>2300120011</v>
      </c>
      <c r="M417" s="7">
        <f t="shared" si="14"/>
        <v>2300120012</v>
      </c>
      <c r="N417" s="3" t="s">
        <v>179</v>
      </c>
      <c r="O417" s="5" t="s">
        <v>640</v>
      </c>
      <c r="P417" s="3" t="s">
        <v>66</v>
      </c>
      <c r="Q417" s="3" t="s">
        <v>180</v>
      </c>
      <c r="R417" s="2">
        <v>0</v>
      </c>
      <c r="S417" s="3" t="s">
        <v>314</v>
      </c>
      <c r="T417" s="3" t="s">
        <v>254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181</v>
      </c>
      <c r="AB417" s="3" t="s">
        <v>190</v>
      </c>
      <c r="AC417" s="2">
        <v>0</v>
      </c>
      <c r="AD417" s="3" t="s">
        <v>68</v>
      </c>
      <c r="AE417" s="3" t="s">
        <v>71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3" t="s">
        <v>66</v>
      </c>
      <c r="BC417" s="3" t="s">
        <v>66</v>
      </c>
      <c r="BD417" s="2">
        <v>730929</v>
      </c>
      <c r="BE417" s="2">
        <v>3763070</v>
      </c>
      <c r="BF417" s="4"/>
      <c r="BG417" s="4"/>
      <c r="BH417" s="4"/>
      <c r="BI417" s="2">
        <v>0</v>
      </c>
      <c r="BJ417" s="2">
        <v>0</v>
      </c>
    </row>
    <row r="418" spans="1:62" x14ac:dyDescent="0.35">
      <c r="A418" s="2">
        <v>104067</v>
      </c>
      <c r="B418" s="2">
        <v>416</v>
      </c>
      <c r="C418" s="3" t="s">
        <v>57</v>
      </c>
      <c r="D418" s="3" t="s">
        <v>641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2300120012</v>
      </c>
      <c r="L418" s="7">
        <f t="shared" si="13"/>
        <v>2300120012</v>
      </c>
      <c r="M418" s="7">
        <f t="shared" si="14"/>
        <v>2300120012</v>
      </c>
      <c r="N418" s="3" t="s">
        <v>179</v>
      </c>
      <c r="O418" s="5" t="s">
        <v>642</v>
      </c>
      <c r="P418" s="3" t="s">
        <v>183</v>
      </c>
      <c r="Q418" s="3" t="s">
        <v>180</v>
      </c>
      <c r="R418" s="2">
        <v>0</v>
      </c>
      <c r="S418" s="3" t="s">
        <v>314</v>
      </c>
      <c r="T418" s="3" t="s">
        <v>638</v>
      </c>
      <c r="U418" s="3" t="s">
        <v>195</v>
      </c>
      <c r="V418" s="3" t="s">
        <v>195</v>
      </c>
      <c r="W418" s="3" t="s">
        <v>195</v>
      </c>
      <c r="X418" s="3" t="s">
        <v>195</v>
      </c>
      <c r="Y418" s="3" t="s">
        <v>66</v>
      </c>
      <c r="Z418" s="3" t="s">
        <v>66</v>
      </c>
      <c r="AA418" s="3" t="s">
        <v>181</v>
      </c>
      <c r="AB418" s="3" t="s">
        <v>190</v>
      </c>
      <c r="AC418" s="2">
        <v>0</v>
      </c>
      <c r="AD418" s="3" t="s">
        <v>68</v>
      </c>
      <c r="AE418" s="3" t="s">
        <v>71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66</v>
      </c>
      <c r="AO418" s="2">
        <v>0</v>
      </c>
      <c r="AP418" s="2">
        <v>4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>
        <f>(($AQ418+$AS418+$AU418++$AT418+$AV418+$AW418+$AX418)/3)+IF(($AP418+$AR418)&gt;=1,ROUNDUP(($AP418+$AR418)/3,0),0)</f>
        <v>2</v>
      </c>
      <c r="AZ418" s="2">
        <f>(($AQ418+$AS418+$AU418++$AT418+$AV418+$AW418+$AX418)/3)+IF(($AP418+$AR418)&gt;=1,ROUNDDOWN(($AP418+$AR418)/3,0),0)</f>
        <v>1</v>
      </c>
      <c r="BA418" s="2">
        <f>(($AQ418+$AS418+$AU418++$AT418+$AV418+$AW418+$AX418)/3)+(IF(($AP418+$AR418)&gt;=($AY418+$AZ418),(($AP418+$AR418)-($AY418+$AZ418)),0))</f>
        <v>1</v>
      </c>
      <c r="BB418" s="3" t="s">
        <v>66</v>
      </c>
      <c r="BC418" s="3" t="s">
        <v>66</v>
      </c>
      <c r="BD418" s="2">
        <v>730944.99999999895</v>
      </c>
      <c r="BE418" s="2">
        <v>3763036</v>
      </c>
      <c r="BF418" s="4"/>
      <c r="BG418" s="4"/>
      <c r="BH418" s="4"/>
      <c r="BI418" s="2">
        <v>0</v>
      </c>
      <c r="BJ418" s="2">
        <v>0</v>
      </c>
    </row>
    <row r="419" spans="1:62" hidden="1" x14ac:dyDescent="0.35">
      <c r="A419" s="2">
        <v>104068</v>
      </c>
      <c r="B419" s="2">
        <v>417</v>
      </c>
      <c r="C419" s="3" t="s">
        <v>57</v>
      </c>
      <c r="D419" s="3" t="s">
        <v>643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2300120012</v>
      </c>
      <c r="L419" s="7">
        <f t="shared" si="13"/>
        <v>2300120012</v>
      </c>
      <c r="M419" s="7">
        <f t="shared" si="14"/>
        <v>2300120013</v>
      </c>
      <c r="N419" s="3" t="s">
        <v>179</v>
      </c>
      <c r="O419" s="5" t="s">
        <v>642</v>
      </c>
      <c r="P419" s="3" t="s">
        <v>66</v>
      </c>
      <c r="Q419" s="3" t="s">
        <v>180</v>
      </c>
      <c r="R419" s="2">
        <v>0</v>
      </c>
      <c r="S419" s="3" t="s">
        <v>314</v>
      </c>
      <c r="T419" s="3" t="s">
        <v>638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181</v>
      </c>
      <c r="AB419" s="3" t="s">
        <v>190</v>
      </c>
      <c r="AC419" s="2">
        <v>0</v>
      </c>
      <c r="AD419" s="3" t="s">
        <v>68</v>
      </c>
      <c r="AE419" s="3" t="s">
        <v>71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3" t="s">
        <v>66</v>
      </c>
      <c r="BC419" s="3" t="s">
        <v>66</v>
      </c>
      <c r="BD419" s="2">
        <v>730944.99999999895</v>
      </c>
      <c r="BE419" s="2">
        <v>3763036</v>
      </c>
      <c r="BF419" s="4"/>
      <c r="BG419" s="4"/>
      <c r="BH419" s="4"/>
      <c r="BI419" s="2">
        <v>0</v>
      </c>
      <c r="BJ419" s="2">
        <v>0</v>
      </c>
    </row>
    <row r="420" spans="1:62" x14ac:dyDescent="0.35">
      <c r="A420" s="2">
        <v>104069</v>
      </c>
      <c r="B420" s="2">
        <v>418</v>
      </c>
      <c r="C420" s="3" t="s">
        <v>57</v>
      </c>
      <c r="D420" s="3" t="s">
        <v>643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2300120013</v>
      </c>
      <c r="L420" s="7">
        <f t="shared" si="13"/>
        <v>2300120013</v>
      </c>
      <c r="M420" s="7">
        <f t="shared" si="14"/>
        <v>2300120013</v>
      </c>
      <c r="N420" s="3" t="s">
        <v>179</v>
      </c>
      <c r="O420" s="5" t="s">
        <v>644</v>
      </c>
      <c r="P420" s="3" t="s">
        <v>183</v>
      </c>
      <c r="Q420" s="3" t="s">
        <v>180</v>
      </c>
      <c r="R420" s="2">
        <v>0</v>
      </c>
      <c r="S420" s="3" t="s">
        <v>314</v>
      </c>
      <c r="T420" s="3" t="s">
        <v>638</v>
      </c>
      <c r="U420" s="3" t="s">
        <v>195</v>
      </c>
      <c r="V420" s="3" t="s">
        <v>195</v>
      </c>
      <c r="W420" s="3" t="s">
        <v>195</v>
      </c>
      <c r="X420" s="3" t="s">
        <v>195</v>
      </c>
      <c r="Y420" s="3" t="s">
        <v>66</v>
      </c>
      <c r="Z420" s="3" t="s">
        <v>66</v>
      </c>
      <c r="AA420" s="3" t="s">
        <v>181</v>
      </c>
      <c r="AB420" s="3" t="s">
        <v>190</v>
      </c>
      <c r="AC420" s="2">
        <v>0</v>
      </c>
      <c r="AD420" s="3" t="s">
        <v>68</v>
      </c>
      <c r="AE420" s="3" t="s">
        <v>71</v>
      </c>
      <c r="AF420" s="3" t="s">
        <v>66</v>
      </c>
      <c r="AG420" s="3" t="s">
        <v>66</v>
      </c>
      <c r="AH420" s="3" t="s">
        <v>66</v>
      </c>
      <c r="AI420" s="3" t="s">
        <v>66</v>
      </c>
      <c r="AJ420" s="3" t="s">
        <v>66</v>
      </c>
      <c r="AK420" s="3" t="s">
        <v>66</v>
      </c>
      <c r="AL420" s="3" t="s">
        <v>66</v>
      </c>
      <c r="AM420" s="3" t="s">
        <v>66</v>
      </c>
      <c r="AN420" s="3" t="s">
        <v>66</v>
      </c>
      <c r="AO420" s="2">
        <v>0</v>
      </c>
      <c r="AP420" s="2">
        <v>5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>
        <f>(($AQ420+$AS420+$AU420++$AT420+$AV420+$AW420+$AX420)/3)+IF(($AP420+$AR420)&gt;=1,ROUNDUP(($AP420+$AR420)/3,0),0)</f>
        <v>2</v>
      </c>
      <c r="AZ420" s="2">
        <f>(($AQ420+$AS420+$AU420++$AT420+$AV420+$AW420+$AX420)/3)+IF(($AP420+$AR420)&gt;=1,ROUNDDOWN(($AP420+$AR420)/3,0),0)</f>
        <v>1</v>
      </c>
      <c r="BA420" s="2">
        <f>(($AQ420+$AS420+$AU420++$AT420+$AV420+$AW420+$AX420)/3)+(IF(($AP420+$AR420)&gt;=($AY420+$AZ420),(($AP420+$AR420)-($AY420+$AZ420)),0))</f>
        <v>2</v>
      </c>
      <c r="BB420" s="3" t="s">
        <v>66</v>
      </c>
      <c r="BC420" s="3" t="s">
        <v>66</v>
      </c>
      <c r="BD420" s="2">
        <v>730959.00000000105</v>
      </c>
      <c r="BE420" s="2">
        <v>3763014</v>
      </c>
      <c r="BF420" s="4"/>
      <c r="BG420" s="4"/>
      <c r="BH420" s="4"/>
      <c r="BI420" s="2">
        <v>0</v>
      </c>
      <c r="BJ420" s="2">
        <v>0</v>
      </c>
    </row>
    <row r="421" spans="1:62" ht="58" hidden="1" x14ac:dyDescent="0.35">
      <c r="A421" s="2">
        <v>104070</v>
      </c>
      <c r="B421" s="2">
        <v>419</v>
      </c>
      <c r="C421" s="3" t="s">
        <v>57</v>
      </c>
      <c r="D421" s="3" t="s">
        <v>645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17160920102</v>
      </c>
      <c r="L421" s="7">
        <f t="shared" si="13"/>
        <v>2300120013</v>
      </c>
      <c r="M421" s="7">
        <f t="shared" si="14"/>
        <v>2300120014</v>
      </c>
      <c r="N421" s="3" t="s">
        <v>179</v>
      </c>
      <c r="O421" s="5" t="s">
        <v>194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190</v>
      </c>
      <c r="AC421" s="2">
        <v>0</v>
      </c>
      <c r="AD421" s="3" t="s">
        <v>68</v>
      </c>
      <c r="AE421" s="3" t="s">
        <v>71</v>
      </c>
      <c r="AF421" s="3" t="s">
        <v>172</v>
      </c>
      <c r="AG421" s="3" t="s">
        <v>173</v>
      </c>
      <c r="AH421" s="3" t="s">
        <v>174</v>
      </c>
      <c r="AI421" s="3" t="s">
        <v>66</v>
      </c>
      <c r="AJ421" s="3" t="s">
        <v>66</v>
      </c>
      <c r="AK421" s="3" t="s">
        <v>175</v>
      </c>
      <c r="AL421" s="3" t="s">
        <v>66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3" t="s">
        <v>176</v>
      </c>
      <c r="BC421" s="3" t="s">
        <v>192</v>
      </c>
      <c r="BD421" s="2">
        <v>730875</v>
      </c>
      <c r="BE421" s="2">
        <v>3763165</v>
      </c>
      <c r="BF421" s="4"/>
      <c r="BG421" s="4"/>
      <c r="BH421" s="4"/>
      <c r="BI421" s="4"/>
      <c r="BJ421" s="2">
        <v>0</v>
      </c>
    </row>
    <row r="422" spans="1:62" x14ac:dyDescent="0.35">
      <c r="A422" s="2">
        <v>104071</v>
      </c>
      <c r="B422" s="2">
        <v>420</v>
      </c>
      <c r="C422" s="3" t="s">
        <v>57</v>
      </c>
      <c r="D422" s="3" t="s">
        <v>645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2300120014</v>
      </c>
      <c r="L422" s="7">
        <f t="shared" si="13"/>
        <v>2300120014</v>
      </c>
      <c r="M422" s="7">
        <f t="shared" si="14"/>
        <v>2300120014</v>
      </c>
      <c r="N422" s="3" t="s">
        <v>179</v>
      </c>
      <c r="O422" s="5" t="s">
        <v>646</v>
      </c>
      <c r="P422" s="3" t="s">
        <v>183</v>
      </c>
      <c r="Q422" s="3" t="s">
        <v>180</v>
      </c>
      <c r="R422" s="2">
        <v>0</v>
      </c>
      <c r="S422" s="3" t="s">
        <v>73</v>
      </c>
      <c r="T422" s="3" t="s">
        <v>638</v>
      </c>
      <c r="U422" s="3" t="s">
        <v>392</v>
      </c>
      <c r="V422" s="3" t="s">
        <v>392</v>
      </c>
      <c r="W422" s="3" t="s">
        <v>392</v>
      </c>
      <c r="X422" s="3" t="s">
        <v>392</v>
      </c>
      <c r="Y422" s="3" t="s">
        <v>66</v>
      </c>
      <c r="Z422" s="3" t="s">
        <v>66</v>
      </c>
      <c r="AA422" s="3" t="s">
        <v>181</v>
      </c>
      <c r="AB422" s="3" t="s">
        <v>190</v>
      </c>
      <c r="AC422" s="2">
        <v>0</v>
      </c>
      <c r="AD422" s="3" t="s">
        <v>68</v>
      </c>
      <c r="AE422" s="3" t="s">
        <v>71</v>
      </c>
      <c r="AF422" s="3" t="s">
        <v>66</v>
      </c>
      <c r="AG422" s="3" t="s">
        <v>66</v>
      </c>
      <c r="AH422" s="3" t="s">
        <v>66</v>
      </c>
      <c r="AI422" s="3" t="s">
        <v>66</v>
      </c>
      <c r="AJ422" s="3" t="s">
        <v>66</v>
      </c>
      <c r="AK422" s="3" t="s">
        <v>66</v>
      </c>
      <c r="AL422" s="3" t="s">
        <v>66</v>
      </c>
      <c r="AM422" s="3" t="s">
        <v>66</v>
      </c>
      <c r="AN422" s="3" t="s">
        <v>66</v>
      </c>
      <c r="AO422" s="2">
        <v>0</v>
      </c>
      <c r="AP422" s="2">
        <v>3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>
        <f>(($AQ422+$AS422+$AU422++$AT422+$AV422+$AW422+$AX422)/3)+IF(($AP422+$AR422)&gt;=1,ROUNDUP(($AP422+$AR422)/3,0),0)</f>
        <v>1</v>
      </c>
      <c r="AZ422" s="2">
        <f>(($AQ422+$AS422+$AU422++$AT422+$AV422+$AW422+$AX422)/3)+IF(($AP422+$AR422)&gt;=1,ROUNDDOWN(($AP422+$AR422)/3,0),0)</f>
        <v>1</v>
      </c>
      <c r="BA422" s="2">
        <f>(($AQ422+$AS422+$AU422++$AT422+$AV422+$AW422+$AX422)/3)+(IF(($AP422+$AR422)&gt;=($AY422+$AZ422),(($AP422+$AR422)-($AY422+$AZ422)),0))</f>
        <v>1</v>
      </c>
      <c r="BB422" s="3" t="s">
        <v>66</v>
      </c>
      <c r="BC422" s="3" t="s">
        <v>66</v>
      </c>
      <c r="BD422" s="2">
        <v>730864.00000000105</v>
      </c>
      <c r="BE422" s="2">
        <v>3763198</v>
      </c>
      <c r="BF422" s="4"/>
      <c r="BG422" s="4"/>
      <c r="BH422" s="4"/>
      <c r="BI422" s="2">
        <v>0</v>
      </c>
      <c r="BJ422" s="2">
        <v>0</v>
      </c>
    </row>
    <row r="423" spans="1:62" hidden="1" x14ac:dyDescent="0.35">
      <c r="A423" s="2">
        <v>104072</v>
      </c>
      <c r="B423" s="2">
        <v>421</v>
      </c>
      <c r="C423" s="3" t="s">
        <v>57</v>
      </c>
      <c r="D423" s="3" t="s">
        <v>647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2300120014</v>
      </c>
      <c r="L423" s="7">
        <f t="shared" si="13"/>
        <v>2300120014</v>
      </c>
      <c r="M423" s="7">
        <f t="shared" si="14"/>
        <v>2300120015</v>
      </c>
      <c r="N423" s="3" t="s">
        <v>179</v>
      </c>
      <c r="O423" s="5" t="s">
        <v>646</v>
      </c>
      <c r="P423" s="3" t="s">
        <v>66</v>
      </c>
      <c r="Q423" s="3" t="s">
        <v>180</v>
      </c>
      <c r="R423" s="2">
        <v>0</v>
      </c>
      <c r="S423" s="3" t="s">
        <v>73</v>
      </c>
      <c r="T423" s="3" t="s">
        <v>638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66</v>
      </c>
      <c r="AG423" s="3" t="s">
        <v>66</v>
      </c>
      <c r="AH423" s="3" t="s">
        <v>66</v>
      </c>
      <c r="AI423" s="3" t="s">
        <v>66</v>
      </c>
      <c r="AJ423" s="3" t="s">
        <v>66</v>
      </c>
      <c r="AK423" s="3" t="s">
        <v>66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3" t="s">
        <v>66</v>
      </c>
      <c r="BC423" s="3" t="s">
        <v>66</v>
      </c>
      <c r="BD423" s="2">
        <v>730864.00000000105</v>
      </c>
      <c r="BE423" s="2">
        <v>3763198</v>
      </c>
      <c r="BF423" s="4"/>
      <c r="BG423" s="4"/>
      <c r="BH423" s="4"/>
      <c r="BI423" s="2">
        <v>0</v>
      </c>
      <c r="BJ423" s="2">
        <v>0</v>
      </c>
    </row>
    <row r="424" spans="1:62" x14ac:dyDescent="0.35">
      <c r="A424" s="2">
        <v>104073</v>
      </c>
      <c r="B424" s="2">
        <v>422</v>
      </c>
      <c r="C424" s="3" t="s">
        <v>57</v>
      </c>
      <c r="D424" s="3" t="s">
        <v>647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2300120015</v>
      </c>
      <c r="L424" s="7">
        <f t="shared" si="13"/>
        <v>2300120015</v>
      </c>
      <c r="M424" s="7">
        <f t="shared" si="14"/>
        <v>2300120015</v>
      </c>
      <c r="N424" s="3" t="s">
        <v>179</v>
      </c>
      <c r="O424" s="5" t="s">
        <v>648</v>
      </c>
      <c r="P424" s="3" t="s">
        <v>183</v>
      </c>
      <c r="Q424" s="3" t="s">
        <v>180</v>
      </c>
      <c r="R424" s="2">
        <v>0</v>
      </c>
      <c r="S424" s="3" t="s">
        <v>314</v>
      </c>
      <c r="T424" s="3" t="s">
        <v>638</v>
      </c>
      <c r="U424" s="3" t="s">
        <v>392</v>
      </c>
      <c r="V424" s="3" t="s">
        <v>392</v>
      </c>
      <c r="W424" s="3" t="s">
        <v>392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2">
        <v>4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2</v>
      </c>
      <c r="AZ424" s="2">
        <f>(($AQ424+$AS424+$AU424++$AT424+$AV424+$AW424+$AX424)/3)+IF(($AP424+$AR424)&gt;=1,ROUNDDOWN(($AP424+$AR424)/3,0),0)</f>
        <v>1</v>
      </c>
      <c r="BA424" s="2">
        <f>(($AQ424+$AS424+$AU424++$AT424+$AV424+$AW424+$AX424)/3)+(IF(($AP424+$AR424)&gt;=($AY424+$AZ424),(($AP424+$AR424)-($AY424+$AZ424)),0))</f>
        <v>1</v>
      </c>
      <c r="BB424" s="3" t="s">
        <v>66</v>
      </c>
      <c r="BC424" s="3" t="s">
        <v>66</v>
      </c>
      <c r="BD424" s="2">
        <v>730839</v>
      </c>
      <c r="BE424" s="2">
        <v>3763244</v>
      </c>
      <c r="BF424" s="4"/>
      <c r="BG424" s="4"/>
      <c r="BH424" s="4"/>
      <c r="BI424" s="2">
        <v>0</v>
      </c>
      <c r="BJ424" s="2">
        <v>0</v>
      </c>
    </row>
    <row r="425" spans="1:62" hidden="1" x14ac:dyDescent="0.35">
      <c r="A425" s="2">
        <v>104074</v>
      </c>
      <c r="B425" s="2">
        <v>423</v>
      </c>
      <c r="C425" s="3" t="s">
        <v>57</v>
      </c>
      <c r="D425" s="3" t="s">
        <v>649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2300120015</v>
      </c>
      <c r="L425" s="7">
        <f t="shared" si="13"/>
        <v>2300120015</v>
      </c>
      <c r="M425" s="7">
        <f t="shared" si="14"/>
        <v>2300120016</v>
      </c>
      <c r="N425" s="3" t="s">
        <v>179</v>
      </c>
      <c r="O425" s="5" t="s">
        <v>648</v>
      </c>
      <c r="P425" s="3" t="s">
        <v>66</v>
      </c>
      <c r="Q425" s="3" t="s">
        <v>180</v>
      </c>
      <c r="R425" s="2">
        <v>0</v>
      </c>
      <c r="S425" s="3" t="s">
        <v>314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3" t="s">
        <v>66</v>
      </c>
      <c r="BC425" s="3" t="s">
        <v>66</v>
      </c>
      <c r="BD425" s="2">
        <v>730839</v>
      </c>
      <c r="BE425" s="2">
        <v>3763244</v>
      </c>
      <c r="BF425" s="4"/>
      <c r="BG425" s="4"/>
      <c r="BH425" s="4"/>
      <c r="BI425" s="2">
        <v>0</v>
      </c>
      <c r="BJ425" s="2">
        <v>0</v>
      </c>
    </row>
    <row r="426" spans="1:62" x14ac:dyDescent="0.35">
      <c r="A426" s="2">
        <v>104075</v>
      </c>
      <c r="B426" s="2">
        <v>424</v>
      </c>
      <c r="C426" s="3" t="s">
        <v>57</v>
      </c>
      <c r="D426" s="3" t="s">
        <v>649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2300120016</v>
      </c>
      <c r="L426" s="7">
        <f t="shared" si="13"/>
        <v>2300120016</v>
      </c>
      <c r="M426" s="7">
        <f t="shared" si="14"/>
        <v>2300120016</v>
      </c>
      <c r="N426" s="3" t="s">
        <v>179</v>
      </c>
      <c r="O426" s="5" t="s">
        <v>650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638</v>
      </c>
      <c r="U426" s="3" t="s">
        <v>392</v>
      </c>
      <c r="V426" s="3" t="s">
        <v>392</v>
      </c>
      <c r="W426" s="3" t="s">
        <v>392</v>
      </c>
      <c r="X426" s="3" t="s">
        <v>392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8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3</v>
      </c>
      <c r="AZ426" s="2">
        <f>(($AQ426+$AS426+$AU426++$AT426+$AV426+$AW426+$AX426)/3)+IF(($AP426+$AR426)&gt;=1,ROUNDDOWN(($AP426+$AR426)/3,0),0)</f>
        <v>2</v>
      </c>
      <c r="BA426" s="2">
        <f>(($AQ426+$AS426+$AU426++$AT426+$AV426+$AW426+$AX426)/3)+(IF(($AP426+$AR426)&gt;=($AY426+$AZ426),(($AP426+$AR426)-($AY426+$AZ426)),0))</f>
        <v>3</v>
      </c>
      <c r="BB426" s="3" t="s">
        <v>66</v>
      </c>
      <c r="BC426" s="3" t="s">
        <v>66</v>
      </c>
      <c r="BD426" s="2">
        <v>730817</v>
      </c>
      <c r="BE426" s="2">
        <v>3763290</v>
      </c>
      <c r="BF426" s="4"/>
      <c r="BG426" s="4"/>
      <c r="BH426" s="4"/>
      <c r="BI426" s="2">
        <v>0</v>
      </c>
      <c r="BJ426" s="2">
        <v>0</v>
      </c>
    </row>
    <row r="427" spans="1:62" hidden="1" x14ac:dyDescent="0.35">
      <c r="A427" s="2">
        <v>104076</v>
      </c>
      <c r="B427" s="2">
        <v>425</v>
      </c>
      <c r="C427" s="3" t="s">
        <v>57</v>
      </c>
      <c r="D427" s="3" t="s">
        <v>651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2300120017</v>
      </c>
      <c r="L427" s="7">
        <f t="shared" si="13"/>
        <v>2300120016</v>
      </c>
      <c r="M427" s="7">
        <f t="shared" si="14"/>
        <v>2300120018</v>
      </c>
      <c r="N427" s="3" t="s">
        <v>179</v>
      </c>
      <c r="O427" s="5" t="s">
        <v>652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638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3" t="s">
        <v>66</v>
      </c>
      <c r="BC427" s="3" t="s">
        <v>66</v>
      </c>
      <c r="BD427" s="2">
        <v>730790.00000000105</v>
      </c>
      <c r="BE427" s="2">
        <v>3763333</v>
      </c>
      <c r="BF427" s="4"/>
      <c r="BG427" s="4"/>
      <c r="BH427" s="4"/>
      <c r="BI427" s="2">
        <v>0</v>
      </c>
      <c r="BJ427" s="2">
        <v>0</v>
      </c>
    </row>
    <row r="428" spans="1:62" x14ac:dyDescent="0.35">
      <c r="A428" s="2">
        <v>104077</v>
      </c>
      <c r="B428" s="2">
        <v>426</v>
      </c>
      <c r="C428" s="3" t="s">
        <v>57</v>
      </c>
      <c r="D428" s="3" t="s">
        <v>651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2300120018</v>
      </c>
      <c r="L428" s="7">
        <f t="shared" si="13"/>
        <v>2300120018</v>
      </c>
      <c r="M428" s="7">
        <f t="shared" si="14"/>
        <v>2300120018</v>
      </c>
      <c r="N428" s="3" t="s">
        <v>179</v>
      </c>
      <c r="O428" s="5" t="s">
        <v>653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654</v>
      </c>
      <c r="V428" s="3" t="s">
        <v>654</v>
      </c>
      <c r="W428" s="3" t="s">
        <v>654</v>
      </c>
      <c r="X428" s="3" t="s">
        <v>654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11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4</v>
      </c>
      <c r="AZ428" s="2">
        <f>(($AQ428+$AS428+$AU428++$AT428+$AV428+$AW428+$AX428)/3)+IF(($AP428+$AR428)&gt;=1,ROUNDDOWN(($AP428+$AR428)/3,0),0)</f>
        <v>3</v>
      </c>
      <c r="BA428" s="2">
        <f>(($AQ428+$AS428+$AU428++$AT428+$AV428+$AW428+$AX428)/3)+(IF(($AP428+$AR428)&gt;=($AY428+$AZ428),(($AP428+$AR428)-($AY428+$AZ428)),0))</f>
        <v>4</v>
      </c>
      <c r="BB428" s="3" t="s">
        <v>66</v>
      </c>
      <c r="BC428" s="3" t="s">
        <v>66</v>
      </c>
      <c r="BD428" s="2">
        <v>730748</v>
      </c>
      <c r="BE428" s="2">
        <v>3763324</v>
      </c>
      <c r="BF428" s="4"/>
      <c r="BG428" s="4"/>
      <c r="BH428" s="4"/>
      <c r="BI428" s="2">
        <v>0</v>
      </c>
      <c r="BJ428" s="2">
        <v>0</v>
      </c>
    </row>
    <row r="429" spans="1:62" ht="58" hidden="1" x14ac:dyDescent="0.35">
      <c r="A429" s="2">
        <v>104078</v>
      </c>
      <c r="B429" s="2">
        <v>427</v>
      </c>
      <c r="C429" s="3" t="s">
        <v>57</v>
      </c>
      <c r="D429" s="3" t="s">
        <v>655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17160920099</v>
      </c>
      <c r="L429" s="7">
        <f t="shared" si="13"/>
        <v>2300120018</v>
      </c>
      <c r="M429" s="7">
        <f t="shared" si="14"/>
        <v>2130220020</v>
      </c>
      <c r="N429" s="3" t="s">
        <v>179</v>
      </c>
      <c r="O429" s="5" t="s">
        <v>182</v>
      </c>
      <c r="P429" s="3" t="s">
        <v>66</v>
      </c>
      <c r="Q429" s="3" t="s">
        <v>180</v>
      </c>
      <c r="R429" s="2">
        <v>0</v>
      </c>
      <c r="S429" s="3" t="s">
        <v>66</v>
      </c>
      <c r="T429" s="3" t="s">
        <v>168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170</v>
      </c>
      <c r="AC429" s="2">
        <v>0</v>
      </c>
      <c r="AD429" s="3" t="s">
        <v>68</v>
      </c>
      <c r="AE429" s="3" t="s">
        <v>71</v>
      </c>
      <c r="AF429" s="3" t="s">
        <v>172</v>
      </c>
      <c r="AG429" s="3" t="s">
        <v>173</v>
      </c>
      <c r="AH429" s="3" t="s">
        <v>174</v>
      </c>
      <c r="AI429" s="3" t="s">
        <v>66</v>
      </c>
      <c r="AJ429" s="3" t="s">
        <v>66</v>
      </c>
      <c r="AK429" s="3" t="s">
        <v>175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3" t="s">
        <v>176</v>
      </c>
      <c r="BC429" s="3" t="s">
        <v>177</v>
      </c>
      <c r="BD429" s="2">
        <v>730901</v>
      </c>
      <c r="BE429" s="2">
        <v>3763112</v>
      </c>
      <c r="BF429" s="4"/>
      <c r="BG429" s="4"/>
      <c r="BH429" s="4"/>
      <c r="BI429" s="4"/>
      <c r="BJ429" s="2">
        <v>0</v>
      </c>
    </row>
    <row r="430" spans="1:62" x14ac:dyDescent="0.35">
      <c r="A430" s="2">
        <v>104079</v>
      </c>
      <c r="B430" s="2">
        <v>428</v>
      </c>
      <c r="C430" s="3" t="s">
        <v>57</v>
      </c>
      <c r="D430" s="3" t="s">
        <v>655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2130220020</v>
      </c>
      <c r="L430" s="7">
        <f t="shared" si="13"/>
        <v>2130220020</v>
      </c>
      <c r="M430" s="7">
        <f t="shared" si="14"/>
        <v>2130220020</v>
      </c>
      <c r="N430" s="3" t="s">
        <v>179</v>
      </c>
      <c r="O430" s="5" t="s">
        <v>656</v>
      </c>
      <c r="P430" s="3" t="s">
        <v>183</v>
      </c>
      <c r="Q430" s="3" t="s">
        <v>180</v>
      </c>
      <c r="R430" s="2">
        <v>0</v>
      </c>
      <c r="S430" s="3" t="s">
        <v>73</v>
      </c>
      <c r="T430" s="3" t="s">
        <v>254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170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1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1</v>
      </c>
      <c r="AZ430" s="2">
        <f>(($AQ430+$AS430+$AU430++$AT430+$AV430+$AW430+$AX430)/3)+IF(($AP430+$AR430)&gt;=1,ROUNDDOWN(($AP430+$AR430)/3,0),0)</f>
        <v>0</v>
      </c>
      <c r="BA430" s="2">
        <f>(($AQ430+$AS430+$AU430++$AT430+$AV430+$AW430+$AX430)/3)+(IF(($AP430+$AR430)&gt;=($AY430+$AZ430),(($AP430+$AR430)-($AY430+$AZ430)),0))</f>
        <v>0</v>
      </c>
      <c r="BB430" s="3" t="s">
        <v>66</v>
      </c>
      <c r="BC430" s="3" t="s">
        <v>66</v>
      </c>
      <c r="BD430" s="2">
        <v>730889.00000000198</v>
      </c>
      <c r="BE430" s="2">
        <v>3763103</v>
      </c>
      <c r="BF430" s="4"/>
      <c r="BG430" s="4"/>
      <c r="BH430" s="4"/>
      <c r="BI430" s="2">
        <v>0</v>
      </c>
      <c r="BJ430" s="2">
        <v>0</v>
      </c>
    </row>
    <row r="431" spans="1:62" hidden="1" x14ac:dyDescent="0.35">
      <c r="A431" s="2">
        <v>104080</v>
      </c>
      <c r="B431" s="2">
        <v>429</v>
      </c>
      <c r="C431" s="3" t="s">
        <v>57</v>
      </c>
      <c r="D431" s="3" t="s">
        <v>657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2130220020</v>
      </c>
      <c r="L431" s="7">
        <f t="shared" si="13"/>
        <v>2130220020</v>
      </c>
      <c r="M431" s="7">
        <f t="shared" si="14"/>
        <v>2130220021</v>
      </c>
      <c r="N431" s="3" t="s">
        <v>179</v>
      </c>
      <c r="O431" s="5" t="s">
        <v>656</v>
      </c>
      <c r="P431" s="3" t="s">
        <v>66</v>
      </c>
      <c r="Q431" s="3" t="s">
        <v>180</v>
      </c>
      <c r="R431" s="2">
        <v>0</v>
      </c>
      <c r="S431" s="3" t="s">
        <v>73</v>
      </c>
      <c r="T431" s="3" t="s">
        <v>254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170</v>
      </c>
      <c r="AC431" s="2">
        <v>0</v>
      </c>
      <c r="AD431" s="3" t="s">
        <v>68</v>
      </c>
      <c r="AE431" s="3" t="s">
        <v>71</v>
      </c>
      <c r="AF431" s="3" t="s">
        <v>66</v>
      </c>
      <c r="AG431" s="3" t="s">
        <v>66</v>
      </c>
      <c r="AH431" s="3" t="s">
        <v>66</v>
      </c>
      <c r="AI431" s="3" t="s">
        <v>66</v>
      </c>
      <c r="AJ431" s="3" t="s">
        <v>66</v>
      </c>
      <c r="AK431" s="3" t="s">
        <v>66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3" t="s">
        <v>66</v>
      </c>
      <c r="BC431" s="3" t="s">
        <v>66</v>
      </c>
      <c r="BD431" s="2">
        <v>730889.00000000198</v>
      </c>
      <c r="BE431" s="2">
        <v>3763103</v>
      </c>
      <c r="BF431" s="4"/>
      <c r="BG431" s="4"/>
      <c r="BH431" s="4"/>
      <c r="BI431" s="2">
        <v>0</v>
      </c>
      <c r="BJ431" s="2">
        <v>0</v>
      </c>
    </row>
    <row r="432" spans="1:62" x14ac:dyDescent="0.35">
      <c r="A432" s="2">
        <v>104081</v>
      </c>
      <c r="B432" s="2">
        <v>430</v>
      </c>
      <c r="C432" s="3" t="s">
        <v>57</v>
      </c>
      <c r="D432" s="3" t="s">
        <v>657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2130220021</v>
      </c>
      <c r="L432" s="7">
        <f t="shared" si="13"/>
        <v>2130220021</v>
      </c>
      <c r="M432" s="7">
        <f t="shared" si="14"/>
        <v>2130220021</v>
      </c>
      <c r="N432" s="3" t="s">
        <v>179</v>
      </c>
      <c r="O432" s="5" t="s">
        <v>658</v>
      </c>
      <c r="P432" s="3" t="s">
        <v>183</v>
      </c>
      <c r="Q432" s="3" t="s">
        <v>180</v>
      </c>
      <c r="R432" s="2">
        <v>0</v>
      </c>
      <c r="S432" s="3" t="s">
        <v>314</v>
      </c>
      <c r="T432" s="3" t="s">
        <v>638</v>
      </c>
      <c r="U432" s="3" t="s">
        <v>195</v>
      </c>
      <c r="V432" s="3" t="s">
        <v>195</v>
      </c>
      <c r="W432" s="3" t="s">
        <v>195</v>
      </c>
      <c r="X432" s="3" t="s">
        <v>195</v>
      </c>
      <c r="Y432" s="3" t="s">
        <v>66</v>
      </c>
      <c r="Z432" s="3" t="s">
        <v>66</v>
      </c>
      <c r="AA432" s="3" t="s">
        <v>181</v>
      </c>
      <c r="AB432" s="3" t="s">
        <v>170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4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2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3" t="s">
        <v>66</v>
      </c>
      <c r="BC432" s="3" t="s">
        <v>66</v>
      </c>
      <c r="BD432" s="2">
        <v>730859.00000000105</v>
      </c>
      <c r="BE432" s="2">
        <v>3763128</v>
      </c>
      <c r="BF432" s="4"/>
      <c r="BG432" s="4"/>
      <c r="BH432" s="4"/>
      <c r="BI432" s="2">
        <v>0</v>
      </c>
      <c r="BJ432" s="2">
        <v>0</v>
      </c>
    </row>
    <row r="433" spans="1:62" ht="58" hidden="1" x14ac:dyDescent="0.35">
      <c r="A433" s="2">
        <v>104082</v>
      </c>
      <c r="B433" s="2">
        <v>431</v>
      </c>
      <c r="C433" s="3" t="s">
        <v>57</v>
      </c>
      <c r="D433" s="3" t="s">
        <v>659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17160920107</v>
      </c>
      <c r="L433" s="7">
        <f t="shared" si="13"/>
        <v>2130220021</v>
      </c>
      <c r="M433" s="7">
        <f t="shared" si="14"/>
        <v>2130220023</v>
      </c>
      <c r="N433" s="3" t="s">
        <v>179</v>
      </c>
      <c r="O433" s="5" t="s">
        <v>209</v>
      </c>
      <c r="P433" s="3" t="s">
        <v>66</v>
      </c>
      <c r="Q433" s="3" t="s">
        <v>180</v>
      </c>
      <c r="R433" s="2">
        <v>0</v>
      </c>
      <c r="S433" s="3" t="s">
        <v>66</v>
      </c>
      <c r="T433" s="3" t="s">
        <v>168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203</v>
      </c>
      <c r="AC433" s="2">
        <v>0</v>
      </c>
      <c r="AD433" s="3" t="s">
        <v>68</v>
      </c>
      <c r="AE433" s="3" t="s">
        <v>71</v>
      </c>
      <c r="AF433" s="3" t="s">
        <v>172</v>
      </c>
      <c r="AG433" s="3" t="s">
        <v>173</v>
      </c>
      <c r="AH433" s="3" t="s">
        <v>204</v>
      </c>
      <c r="AI433" s="3" t="s">
        <v>66</v>
      </c>
      <c r="AJ433" s="3" t="s">
        <v>66</v>
      </c>
      <c r="AK433" s="3" t="s">
        <v>205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3" t="s">
        <v>206</v>
      </c>
      <c r="BC433" s="3" t="s">
        <v>207</v>
      </c>
      <c r="BD433" s="2">
        <v>730826.00000000105</v>
      </c>
      <c r="BE433" s="2">
        <v>3763157</v>
      </c>
      <c r="BF433" s="4"/>
      <c r="BG433" s="4"/>
      <c r="BH433" s="4"/>
      <c r="BI433" s="4"/>
      <c r="BJ433" s="2">
        <v>0</v>
      </c>
    </row>
    <row r="434" spans="1:62" x14ac:dyDescent="0.35">
      <c r="A434" s="2">
        <v>104083</v>
      </c>
      <c r="B434" s="2">
        <v>432</v>
      </c>
      <c r="C434" s="3" t="s">
        <v>57</v>
      </c>
      <c r="D434" s="3" t="s">
        <v>659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2130220023</v>
      </c>
      <c r="L434" s="7">
        <f t="shared" si="13"/>
        <v>2130220023</v>
      </c>
      <c r="M434" s="7">
        <f t="shared" si="14"/>
        <v>2130220023</v>
      </c>
      <c r="N434" s="3" t="s">
        <v>179</v>
      </c>
      <c r="O434" s="5" t="s">
        <v>660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654</v>
      </c>
      <c r="V434" s="3" t="s">
        <v>654</v>
      </c>
      <c r="W434" s="3" t="s">
        <v>654</v>
      </c>
      <c r="X434" s="3" t="s">
        <v>654</v>
      </c>
      <c r="Y434" s="3" t="s">
        <v>66</v>
      </c>
      <c r="Z434" s="3" t="s">
        <v>66</v>
      </c>
      <c r="AA434" s="3" t="s">
        <v>181</v>
      </c>
      <c r="AB434" s="3" t="s">
        <v>203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3" t="s">
        <v>66</v>
      </c>
      <c r="BC434" s="3" t="s">
        <v>66</v>
      </c>
      <c r="BD434" s="2">
        <v>730798.00000000105</v>
      </c>
      <c r="BE434" s="2">
        <v>3763184</v>
      </c>
      <c r="BF434" s="4"/>
      <c r="BG434" s="4"/>
      <c r="BH434" s="4"/>
      <c r="BI434" s="2">
        <v>0</v>
      </c>
      <c r="BJ434" s="2">
        <v>0</v>
      </c>
    </row>
    <row r="435" spans="1:62" ht="58" hidden="1" x14ac:dyDescent="0.35">
      <c r="A435" s="2">
        <v>104084</v>
      </c>
      <c r="B435" s="2">
        <v>433</v>
      </c>
      <c r="C435" s="3" t="s">
        <v>57</v>
      </c>
      <c r="D435" s="3" t="s">
        <v>661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17160920107</v>
      </c>
      <c r="L435" s="7">
        <f t="shared" si="13"/>
        <v>2130220023</v>
      </c>
      <c r="M435" s="7">
        <f t="shared" si="14"/>
        <v>2130220024</v>
      </c>
      <c r="N435" s="3" t="s">
        <v>179</v>
      </c>
      <c r="O435" s="5" t="s">
        <v>209</v>
      </c>
      <c r="P435" s="3" t="s">
        <v>66</v>
      </c>
      <c r="Q435" s="3" t="s">
        <v>180</v>
      </c>
      <c r="R435" s="2">
        <v>0</v>
      </c>
      <c r="S435" s="3" t="s">
        <v>66</v>
      </c>
      <c r="T435" s="3" t="s">
        <v>168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203</v>
      </c>
      <c r="AC435" s="2">
        <v>0</v>
      </c>
      <c r="AD435" s="3" t="s">
        <v>68</v>
      </c>
      <c r="AE435" s="3" t="s">
        <v>71</v>
      </c>
      <c r="AF435" s="3" t="s">
        <v>172</v>
      </c>
      <c r="AG435" s="3" t="s">
        <v>173</v>
      </c>
      <c r="AH435" s="3" t="s">
        <v>204</v>
      </c>
      <c r="AI435" s="3" t="s">
        <v>66</v>
      </c>
      <c r="AJ435" s="3" t="s">
        <v>66</v>
      </c>
      <c r="AK435" s="3" t="s">
        <v>205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3" t="s">
        <v>206</v>
      </c>
      <c r="BC435" s="3" t="s">
        <v>207</v>
      </c>
      <c r="BD435" s="2">
        <v>730826.00000000105</v>
      </c>
      <c r="BE435" s="2">
        <v>3763157</v>
      </c>
      <c r="BF435" s="4"/>
      <c r="BG435" s="4"/>
      <c r="BH435" s="4"/>
      <c r="BI435" s="4"/>
      <c r="BJ435" s="2">
        <v>0</v>
      </c>
    </row>
    <row r="436" spans="1:62" x14ac:dyDescent="0.35">
      <c r="A436" s="2">
        <v>104085</v>
      </c>
      <c r="B436" s="2">
        <v>434</v>
      </c>
      <c r="C436" s="3" t="s">
        <v>57</v>
      </c>
      <c r="D436" s="3" t="s">
        <v>661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2130220024</v>
      </c>
      <c r="L436" s="7">
        <f t="shared" si="13"/>
        <v>2130220024</v>
      </c>
      <c r="M436" s="7">
        <f t="shared" si="14"/>
        <v>2130220024</v>
      </c>
      <c r="N436" s="3" t="s">
        <v>179</v>
      </c>
      <c r="O436" s="5" t="s">
        <v>662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654</v>
      </c>
      <c r="V436" s="3" t="s">
        <v>654</v>
      </c>
      <c r="W436" s="3" t="s">
        <v>654</v>
      </c>
      <c r="X436" s="3" t="s">
        <v>654</v>
      </c>
      <c r="Y436" s="3" t="s">
        <v>66</v>
      </c>
      <c r="Z436" s="3" t="s">
        <v>66</v>
      </c>
      <c r="AA436" s="3" t="s">
        <v>181</v>
      </c>
      <c r="AB436" s="3" t="s">
        <v>203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6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2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2</v>
      </c>
      <c r="BB436" s="3" t="s">
        <v>66</v>
      </c>
      <c r="BC436" s="3" t="s">
        <v>66</v>
      </c>
      <c r="BD436" s="2">
        <v>730788.99999999895</v>
      </c>
      <c r="BE436" s="2">
        <v>3763125</v>
      </c>
      <c r="BF436" s="4"/>
      <c r="BG436" s="4"/>
      <c r="BH436" s="4"/>
      <c r="BI436" s="2">
        <v>0</v>
      </c>
      <c r="BJ436" s="2">
        <v>0</v>
      </c>
    </row>
    <row r="437" spans="1:62" ht="58" hidden="1" x14ac:dyDescent="0.35">
      <c r="A437" s="2">
        <v>104086</v>
      </c>
      <c r="B437" s="2">
        <v>435</v>
      </c>
      <c r="C437" s="3" t="s">
        <v>57</v>
      </c>
      <c r="D437" s="3" t="s">
        <v>663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17160920115</v>
      </c>
      <c r="L437" s="7">
        <f t="shared" si="13"/>
        <v>2130220024</v>
      </c>
      <c r="M437" s="7">
        <f t="shared" si="14"/>
        <v>2130220026</v>
      </c>
      <c r="N437" s="3" t="s">
        <v>179</v>
      </c>
      <c r="O437" s="5" t="s">
        <v>235</v>
      </c>
      <c r="P437" s="3" t="s">
        <v>66</v>
      </c>
      <c r="Q437" s="3" t="s">
        <v>180</v>
      </c>
      <c r="R437" s="2">
        <v>0</v>
      </c>
      <c r="S437" s="3" t="s">
        <v>66</v>
      </c>
      <c r="T437" s="3" t="s">
        <v>168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230</v>
      </c>
      <c r="AC437" s="2">
        <v>0</v>
      </c>
      <c r="AD437" s="3" t="s">
        <v>68</v>
      </c>
      <c r="AE437" s="3" t="s">
        <v>71</v>
      </c>
      <c r="AF437" s="3" t="s">
        <v>172</v>
      </c>
      <c r="AG437" s="3" t="s">
        <v>173</v>
      </c>
      <c r="AH437" s="3" t="s">
        <v>231</v>
      </c>
      <c r="AI437" s="3" t="s">
        <v>66</v>
      </c>
      <c r="AJ437" s="3" t="s">
        <v>66</v>
      </c>
      <c r="AK437" s="3" t="s">
        <v>175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3" t="s">
        <v>232</v>
      </c>
      <c r="BC437" s="3" t="s">
        <v>233</v>
      </c>
      <c r="BD437" s="2">
        <v>730853.00000000198</v>
      </c>
      <c r="BE437" s="2">
        <v>3763007</v>
      </c>
      <c r="BF437" s="4"/>
      <c r="BG437" s="4"/>
      <c r="BH437" s="4"/>
      <c r="BI437" s="4"/>
      <c r="BJ437" s="2">
        <v>0</v>
      </c>
    </row>
    <row r="438" spans="1:62" x14ac:dyDescent="0.35">
      <c r="A438" s="2">
        <v>104087</v>
      </c>
      <c r="B438" s="2">
        <v>436</v>
      </c>
      <c r="C438" s="3" t="s">
        <v>57</v>
      </c>
      <c r="D438" s="3" t="s">
        <v>663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2130220026</v>
      </c>
      <c r="L438" s="7">
        <f t="shared" si="13"/>
        <v>2130220026</v>
      </c>
      <c r="M438" s="7">
        <f t="shared" si="14"/>
        <v>2130220026</v>
      </c>
      <c r="N438" s="3" t="s">
        <v>179</v>
      </c>
      <c r="O438" s="5" t="s">
        <v>664</v>
      </c>
      <c r="P438" s="3" t="s">
        <v>183</v>
      </c>
      <c r="Q438" s="3" t="s">
        <v>180</v>
      </c>
      <c r="R438" s="2">
        <v>0</v>
      </c>
      <c r="S438" s="3" t="s">
        <v>73</v>
      </c>
      <c r="T438" s="3" t="s">
        <v>638</v>
      </c>
      <c r="U438" s="3" t="s">
        <v>195</v>
      </c>
      <c r="V438" s="3" t="s">
        <v>195</v>
      </c>
      <c r="W438" s="3" t="s">
        <v>195</v>
      </c>
      <c r="X438" s="3" t="s">
        <v>195</v>
      </c>
      <c r="Y438" s="3" t="s">
        <v>66</v>
      </c>
      <c r="Z438" s="3" t="s">
        <v>66</v>
      </c>
      <c r="AA438" s="3" t="s">
        <v>181</v>
      </c>
      <c r="AB438" s="3" t="s">
        <v>230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9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3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3</v>
      </c>
      <c r="BB438" s="3" t="s">
        <v>66</v>
      </c>
      <c r="BC438" s="3" t="s">
        <v>66</v>
      </c>
      <c r="BD438" s="2">
        <v>730857.99999999895</v>
      </c>
      <c r="BE438" s="2">
        <v>3763013</v>
      </c>
      <c r="BF438" s="4"/>
      <c r="BG438" s="4"/>
      <c r="BH438" s="4"/>
      <c r="BI438" s="2">
        <v>0</v>
      </c>
      <c r="BJ438" s="2">
        <v>0</v>
      </c>
    </row>
    <row r="439" spans="1:62" ht="58" hidden="1" x14ac:dyDescent="0.35">
      <c r="A439" s="2">
        <v>104088</v>
      </c>
      <c r="B439" s="2">
        <v>437</v>
      </c>
      <c r="C439" s="3" t="s">
        <v>57</v>
      </c>
      <c r="D439" s="3" t="s">
        <v>665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17160920115</v>
      </c>
      <c r="L439" s="7">
        <f t="shared" si="13"/>
        <v>2130220026</v>
      </c>
      <c r="M439" s="7">
        <f t="shared" si="14"/>
        <v>2130220027</v>
      </c>
      <c r="N439" s="3" t="s">
        <v>179</v>
      </c>
      <c r="O439" s="5" t="s">
        <v>235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230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231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3" t="s">
        <v>232</v>
      </c>
      <c r="BC439" s="3" t="s">
        <v>233</v>
      </c>
      <c r="BD439" s="2">
        <v>730853.00000000198</v>
      </c>
      <c r="BE439" s="2">
        <v>3763007</v>
      </c>
      <c r="BF439" s="4"/>
      <c r="BG439" s="4"/>
      <c r="BH439" s="4"/>
      <c r="BI439" s="4"/>
      <c r="BJ439" s="2">
        <v>0</v>
      </c>
    </row>
    <row r="440" spans="1:62" x14ac:dyDescent="0.35">
      <c r="A440" s="2">
        <v>104089</v>
      </c>
      <c r="B440" s="2">
        <v>438</v>
      </c>
      <c r="C440" s="3" t="s">
        <v>57</v>
      </c>
      <c r="D440" s="3" t="s">
        <v>665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2130220027</v>
      </c>
      <c r="L440" s="7">
        <f t="shared" si="13"/>
        <v>2130220027</v>
      </c>
      <c r="M440" s="7">
        <f t="shared" si="14"/>
        <v>2130220027</v>
      </c>
      <c r="N440" s="3" t="s">
        <v>179</v>
      </c>
      <c r="O440" s="5" t="s">
        <v>666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638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230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18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6</v>
      </c>
      <c r="AZ440" s="2">
        <f>(($AQ440+$AS440+$AU440++$AT440+$AV440+$AW440+$AX440)/3)+IF(($AP440+$AR440)&gt;=1,ROUNDDOWN(($AP440+$AR440)/3,0),0)</f>
        <v>6</v>
      </c>
      <c r="BA440" s="2">
        <f>(($AQ440+$AS440+$AU440++$AT440+$AV440+$AW440+$AX440)/3)+(IF(($AP440+$AR440)&gt;=($AY440+$AZ440),(($AP440+$AR440)-($AY440+$AZ440)),0))</f>
        <v>6</v>
      </c>
      <c r="BB440" s="3" t="s">
        <v>66</v>
      </c>
      <c r="BC440" s="3" t="s">
        <v>66</v>
      </c>
      <c r="BD440" s="2">
        <v>730840</v>
      </c>
      <c r="BE440" s="2">
        <v>3762974</v>
      </c>
      <c r="BF440" s="4"/>
      <c r="BG440" s="4"/>
      <c r="BH440" s="4"/>
      <c r="BI440" s="2">
        <v>0</v>
      </c>
      <c r="BJ440" s="2">
        <v>0</v>
      </c>
    </row>
    <row r="441" spans="1:62" hidden="1" x14ac:dyDescent="0.35">
      <c r="A441" s="2">
        <v>104090</v>
      </c>
      <c r="B441" s="2">
        <v>439</v>
      </c>
      <c r="C441" s="3" t="s">
        <v>57</v>
      </c>
      <c r="D441" s="3" t="s">
        <v>667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2130220027</v>
      </c>
      <c r="L441" s="7">
        <f t="shared" si="13"/>
        <v>2130220027</v>
      </c>
      <c r="M441" s="7">
        <f t="shared" si="14"/>
        <v>2130220028</v>
      </c>
      <c r="N441" s="3" t="s">
        <v>179</v>
      </c>
      <c r="O441" s="5" t="s">
        <v>666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638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230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3" t="s">
        <v>66</v>
      </c>
      <c r="BC441" s="3" t="s">
        <v>66</v>
      </c>
      <c r="BD441" s="2">
        <v>730840</v>
      </c>
      <c r="BE441" s="2">
        <v>3762974</v>
      </c>
      <c r="BF441" s="4"/>
      <c r="BG441" s="4"/>
      <c r="BH441" s="4"/>
      <c r="BI441" s="2">
        <v>0</v>
      </c>
      <c r="BJ441" s="2">
        <v>0</v>
      </c>
    </row>
    <row r="442" spans="1:62" x14ac:dyDescent="0.35">
      <c r="A442" s="2">
        <v>104091</v>
      </c>
      <c r="B442" s="2">
        <v>440</v>
      </c>
      <c r="C442" s="3" t="s">
        <v>57</v>
      </c>
      <c r="D442" s="3" t="s">
        <v>667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2130220028</v>
      </c>
      <c r="L442" s="7">
        <f t="shared" si="13"/>
        <v>2130220028</v>
      </c>
      <c r="M442" s="7">
        <f t="shared" si="14"/>
        <v>2130220028</v>
      </c>
      <c r="N442" s="3" t="s">
        <v>179</v>
      </c>
      <c r="O442" s="5" t="s">
        <v>668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230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10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4</v>
      </c>
      <c r="AZ442" s="2">
        <f>(($AQ442+$AS442+$AU442++$AT442+$AV442+$AW442+$AX442)/3)+IF(($AP442+$AR442)&gt;=1,ROUNDDOWN(($AP442+$AR442)/3,0),0)</f>
        <v>3</v>
      </c>
      <c r="BA442" s="2">
        <f>(($AQ442+$AS442+$AU442++$AT442+$AV442+$AW442+$AX442)/3)+(IF(($AP442+$AR442)&gt;=($AY442+$AZ442),(($AP442+$AR442)-($AY442+$AZ442)),0))</f>
        <v>3</v>
      </c>
      <c r="BB442" s="3" t="s">
        <v>66</v>
      </c>
      <c r="BC442" s="3" t="s">
        <v>66</v>
      </c>
      <c r="BD442" s="2">
        <v>730833.00000000105</v>
      </c>
      <c r="BE442" s="2">
        <v>3762931</v>
      </c>
      <c r="BF442" s="4"/>
      <c r="BG442" s="4"/>
      <c r="BH442" s="4"/>
      <c r="BI442" s="2">
        <v>0</v>
      </c>
      <c r="BJ442" s="2">
        <v>0</v>
      </c>
    </row>
    <row r="443" spans="1:62" hidden="1" x14ac:dyDescent="0.35">
      <c r="A443" s="2">
        <v>104092</v>
      </c>
      <c r="B443" s="2">
        <v>441</v>
      </c>
      <c r="C443" s="3" t="s">
        <v>57</v>
      </c>
      <c r="D443" s="3" t="s">
        <v>669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2130220028</v>
      </c>
      <c r="L443" s="7">
        <f t="shared" si="13"/>
        <v>2130220028</v>
      </c>
      <c r="M443" s="7">
        <f t="shared" si="14"/>
        <v>2130220029</v>
      </c>
      <c r="N443" s="3" t="s">
        <v>179</v>
      </c>
      <c r="O443" s="5" t="s">
        <v>668</v>
      </c>
      <c r="P443" s="3" t="s">
        <v>66</v>
      </c>
      <c r="Q443" s="3" t="s">
        <v>180</v>
      </c>
      <c r="R443" s="2">
        <v>0</v>
      </c>
      <c r="S443" s="3" t="s">
        <v>314</v>
      </c>
      <c r="T443" s="3" t="s">
        <v>638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230</v>
      </c>
      <c r="AC443" s="2">
        <v>0</v>
      </c>
      <c r="AD443" s="3" t="s">
        <v>68</v>
      </c>
      <c r="AE443" s="3" t="s">
        <v>71</v>
      </c>
      <c r="AF443" s="3" t="s">
        <v>66</v>
      </c>
      <c r="AG443" s="3" t="s">
        <v>66</v>
      </c>
      <c r="AH443" s="3" t="s">
        <v>66</v>
      </c>
      <c r="AI443" s="3" t="s">
        <v>66</v>
      </c>
      <c r="AJ443" s="3" t="s">
        <v>66</v>
      </c>
      <c r="AK443" s="3" t="s">
        <v>66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3" t="s">
        <v>66</v>
      </c>
      <c r="BC443" s="3" t="s">
        <v>66</v>
      </c>
      <c r="BD443" s="2">
        <v>730833.00000000105</v>
      </c>
      <c r="BE443" s="2">
        <v>3762931</v>
      </c>
      <c r="BF443" s="4"/>
      <c r="BG443" s="4"/>
      <c r="BH443" s="4"/>
      <c r="BI443" s="2">
        <v>0</v>
      </c>
      <c r="BJ443" s="2">
        <v>0</v>
      </c>
    </row>
    <row r="444" spans="1:62" x14ac:dyDescent="0.35">
      <c r="A444" s="2">
        <v>104093</v>
      </c>
      <c r="B444" s="2">
        <v>442</v>
      </c>
      <c r="C444" s="3" t="s">
        <v>57</v>
      </c>
      <c r="D444" s="3" t="s">
        <v>669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2130220029</v>
      </c>
      <c r="L444" s="7">
        <f t="shared" si="13"/>
        <v>2130220029</v>
      </c>
      <c r="M444" s="7">
        <f t="shared" si="14"/>
        <v>2130220029</v>
      </c>
      <c r="N444" s="3" t="s">
        <v>179</v>
      </c>
      <c r="O444" s="5" t="s">
        <v>670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195</v>
      </c>
      <c r="V444" s="3" t="s">
        <v>195</v>
      </c>
      <c r="W444" s="3" t="s">
        <v>195</v>
      </c>
      <c r="X444" s="3" t="s">
        <v>195</v>
      </c>
      <c r="Y444" s="3" t="s">
        <v>66</v>
      </c>
      <c r="Z444" s="3" t="s">
        <v>66</v>
      </c>
      <c r="AA444" s="3" t="s">
        <v>181</v>
      </c>
      <c r="AB444" s="3" t="s">
        <v>230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19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7</v>
      </c>
      <c r="AZ444" s="2">
        <f>(($AQ444+$AS444+$AU444++$AT444+$AV444+$AW444+$AX444)/3)+IF(($AP444+$AR444)&gt;=1,ROUNDDOWN(($AP444+$AR444)/3,0),0)</f>
        <v>6</v>
      </c>
      <c r="BA444" s="2">
        <f>(($AQ444+$AS444+$AU444++$AT444+$AV444+$AW444+$AX444)/3)+(IF(($AP444+$AR444)&gt;=($AY444+$AZ444),(($AP444+$AR444)-($AY444+$AZ444)),0))</f>
        <v>6</v>
      </c>
      <c r="BB444" s="3" t="s">
        <v>66</v>
      </c>
      <c r="BC444" s="3" t="s">
        <v>66</v>
      </c>
      <c r="BD444" s="2">
        <v>730829</v>
      </c>
      <c r="BE444" s="2">
        <v>3762882</v>
      </c>
      <c r="BF444" s="4"/>
      <c r="BG444" s="4"/>
      <c r="BH444" s="4"/>
      <c r="BI444" s="2">
        <v>0</v>
      </c>
      <c r="BJ444" s="2">
        <v>0</v>
      </c>
    </row>
    <row r="445" spans="1:62" hidden="1" x14ac:dyDescent="0.35">
      <c r="A445" s="2">
        <v>104094</v>
      </c>
      <c r="B445" s="2">
        <v>443</v>
      </c>
      <c r="C445" s="3" t="s">
        <v>57</v>
      </c>
      <c r="D445" s="3" t="s">
        <v>671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17160920126</v>
      </c>
      <c r="L445" s="7">
        <f t="shared" si="13"/>
        <v>2130220029</v>
      </c>
      <c r="M445" s="7">
        <f t="shared" si="14"/>
        <v>2130220031</v>
      </c>
      <c r="N445" s="3" t="s">
        <v>179</v>
      </c>
      <c r="O445" s="5" t="s">
        <v>672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673</v>
      </c>
      <c r="AC445" s="2">
        <v>0</v>
      </c>
      <c r="AD445" s="3" t="s">
        <v>68</v>
      </c>
      <c r="AE445" s="3" t="s">
        <v>71</v>
      </c>
      <c r="AF445" s="3" t="s">
        <v>66</v>
      </c>
      <c r="AG445" s="3" t="s">
        <v>66</v>
      </c>
      <c r="AH445" s="3" t="s">
        <v>66</v>
      </c>
      <c r="AI445" s="3" t="s">
        <v>66</v>
      </c>
      <c r="AJ445" s="3" t="s">
        <v>66</v>
      </c>
      <c r="AK445" s="3" t="s">
        <v>66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3" t="s">
        <v>66</v>
      </c>
      <c r="BC445" s="3" t="s">
        <v>66</v>
      </c>
      <c r="BD445" s="2">
        <v>730782.00000000105</v>
      </c>
      <c r="BE445" s="2">
        <v>3762784</v>
      </c>
      <c r="BF445" s="4"/>
      <c r="BG445" s="4"/>
      <c r="BH445" s="4"/>
      <c r="BI445" s="4"/>
      <c r="BJ445" s="2">
        <v>0</v>
      </c>
    </row>
    <row r="446" spans="1:62" x14ac:dyDescent="0.35">
      <c r="A446" s="2">
        <v>104095</v>
      </c>
      <c r="B446" s="2">
        <v>444</v>
      </c>
      <c r="C446" s="3" t="s">
        <v>57</v>
      </c>
      <c r="D446" s="3" t="s">
        <v>671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2130220031</v>
      </c>
      <c r="L446" s="7">
        <f t="shared" si="13"/>
        <v>2130220031</v>
      </c>
      <c r="M446" s="7">
        <f t="shared" si="14"/>
        <v>2130220031</v>
      </c>
      <c r="N446" s="3" t="s">
        <v>179</v>
      </c>
      <c r="O446" s="5" t="s">
        <v>674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195</v>
      </c>
      <c r="V446" s="3" t="s">
        <v>195</v>
      </c>
      <c r="W446" s="3" t="s">
        <v>195</v>
      </c>
      <c r="X446" s="3" t="s">
        <v>195</v>
      </c>
      <c r="Y446" s="3" t="s">
        <v>66</v>
      </c>
      <c r="Z446" s="3" t="s">
        <v>66</v>
      </c>
      <c r="AA446" s="3" t="s">
        <v>181</v>
      </c>
      <c r="AB446" s="3" t="s">
        <v>673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3" t="s">
        <v>66</v>
      </c>
      <c r="BC446" s="3" t="s">
        <v>66</v>
      </c>
      <c r="BD446" s="2">
        <v>730813.00000000105</v>
      </c>
      <c r="BE446" s="2">
        <v>3762788</v>
      </c>
      <c r="BF446" s="4"/>
      <c r="BG446" s="4"/>
      <c r="BH446" s="4"/>
      <c r="BI446" s="2">
        <v>0</v>
      </c>
      <c r="BJ446" s="2">
        <v>0</v>
      </c>
    </row>
    <row r="447" spans="1:62" hidden="1" x14ac:dyDescent="0.35">
      <c r="A447" s="2">
        <v>104096</v>
      </c>
      <c r="B447" s="2">
        <v>445</v>
      </c>
      <c r="C447" s="3" t="s">
        <v>57</v>
      </c>
      <c r="D447" s="3" t="s">
        <v>675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2130220031</v>
      </c>
      <c r="L447" s="7">
        <f t="shared" si="13"/>
        <v>2130220031</v>
      </c>
      <c r="M447" s="7">
        <f t="shared" si="14"/>
        <v>2130220032</v>
      </c>
      <c r="N447" s="3" t="s">
        <v>179</v>
      </c>
      <c r="O447" s="5" t="s">
        <v>674</v>
      </c>
      <c r="P447" s="3" t="s">
        <v>66</v>
      </c>
      <c r="Q447" s="3" t="s">
        <v>180</v>
      </c>
      <c r="R447" s="2">
        <v>0</v>
      </c>
      <c r="S447" s="3" t="s">
        <v>314</v>
      </c>
      <c r="T447" s="3" t="s">
        <v>638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673</v>
      </c>
      <c r="AC447" s="2">
        <v>0</v>
      </c>
      <c r="AD447" s="3" t="s">
        <v>68</v>
      </c>
      <c r="AE447" s="3" t="s">
        <v>71</v>
      </c>
      <c r="AF447" s="3" t="s">
        <v>66</v>
      </c>
      <c r="AG447" s="3" t="s">
        <v>66</v>
      </c>
      <c r="AH447" s="3" t="s">
        <v>66</v>
      </c>
      <c r="AI447" s="3" t="s">
        <v>66</v>
      </c>
      <c r="AJ447" s="3" t="s">
        <v>66</v>
      </c>
      <c r="AK447" s="3" t="s">
        <v>66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3" t="s">
        <v>66</v>
      </c>
      <c r="BC447" s="3" t="s">
        <v>66</v>
      </c>
      <c r="BD447" s="2">
        <v>730813.00000000105</v>
      </c>
      <c r="BE447" s="2">
        <v>3762788</v>
      </c>
      <c r="BF447" s="4"/>
      <c r="BG447" s="4"/>
      <c r="BH447" s="4"/>
      <c r="BI447" s="2">
        <v>0</v>
      </c>
      <c r="BJ447" s="2">
        <v>0</v>
      </c>
    </row>
    <row r="448" spans="1:62" x14ac:dyDescent="0.35">
      <c r="A448" s="2">
        <v>104097</v>
      </c>
      <c r="B448" s="2">
        <v>446</v>
      </c>
      <c r="C448" s="3" t="s">
        <v>57</v>
      </c>
      <c r="D448" s="3" t="s">
        <v>675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2130220032</v>
      </c>
      <c r="L448" s="7">
        <f t="shared" si="13"/>
        <v>2130220032</v>
      </c>
      <c r="M448" s="7">
        <f t="shared" si="14"/>
        <v>2130220032</v>
      </c>
      <c r="N448" s="3" t="s">
        <v>179</v>
      </c>
      <c r="O448" s="5" t="s">
        <v>676</v>
      </c>
      <c r="P448" s="3" t="s">
        <v>183</v>
      </c>
      <c r="Q448" s="3" t="s">
        <v>180</v>
      </c>
      <c r="R448" s="2">
        <v>0</v>
      </c>
      <c r="S448" s="3" t="s">
        <v>314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673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22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8</v>
      </c>
      <c r="AZ448" s="2">
        <f>(($AQ448+$AS448+$AU448++$AT448+$AV448+$AW448+$AX448)/3)+IF(($AP448+$AR448)&gt;=1,ROUNDDOWN(($AP448+$AR448)/3,0),0)</f>
        <v>7</v>
      </c>
      <c r="BA448" s="2">
        <f>(($AQ448+$AS448+$AU448++$AT448+$AV448+$AW448+$AX448)/3)+(IF(($AP448+$AR448)&gt;=($AY448+$AZ448),(($AP448+$AR448)-($AY448+$AZ448)),0))</f>
        <v>7</v>
      </c>
      <c r="BB448" s="3" t="s">
        <v>66</v>
      </c>
      <c r="BC448" s="3" t="s">
        <v>66</v>
      </c>
      <c r="BD448" s="2">
        <v>730809</v>
      </c>
      <c r="BE448" s="2">
        <v>3762754</v>
      </c>
      <c r="BF448" s="4"/>
      <c r="BG448" s="4"/>
      <c r="BH448" s="4"/>
      <c r="BI448" s="2">
        <v>0</v>
      </c>
      <c r="BJ448" s="2">
        <v>0</v>
      </c>
    </row>
    <row r="449" spans="1:62" hidden="1" x14ac:dyDescent="0.35">
      <c r="A449" s="2">
        <v>104098</v>
      </c>
      <c r="B449" s="2">
        <v>447</v>
      </c>
      <c r="C449" s="3" t="s">
        <v>57</v>
      </c>
      <c r="D449" s="3" t="s">
        <v>677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17160920126</v>
      </c>
      <c r="L449" s="7">
        <f t="shared" si="13"/>
        <v>2130220032</v>
      </c>
      <c r="M449" s="7">
        <f t="shared" si="14"/>
        <v>2130220033</v>
      </c>
      <c r="N449" s="3" t="s">
        <v>179</v>
      </c>
      <c r="O449" s="5" t="s">
        <v>672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673</v>
      </c>
      <c r="AC449" s="2">
        <v>0</v>
      </c>
      <c r="AD449" s="3" t="s">
        <v>68</v>
      </c>
      <c r="AE449" s="3" t="s">
        <v>71</v>
      </c>
      <c r="AF449" s="3" t="s">
        <v>66</v>
      </c>
      <c r="AG449" s="3" t="s">
        <v>66</v>
      </c>
      <c r="AH449" s="3" t="s">
        <v>66</v>
      </c>
      <c r="AI449" s="3" t="s">
        <v>66</v>
      </c>
      <c r="AJ449" s="3" t="s">
        <v>66</v>
      </c>
      <c r="AK449" s="3" t="s">
        <v>66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3" t="s">
        <v>66</v>
      </c>
      <c r="BC449" s="3" t="s">
        <v>66</v>
      </c>
      <c r="BD449" s="2">
        <v>730782.00000000105</v>
      </c>
      <c r="BE449" s="2">
        <v>3762784</v>
      </c>
      <c r="BF449" s="4"/>
      <c r="BG449" s="4"/>
      <c r="BH449" s="4"/>
      <c r="BI449" s="4"/>
      <c r="BJ449" s="2">
        <v>0</v>
      </c>
    </row>
    <row r="450" spans="1:62" x14ac:dyDescent="0.35">
      <c r="A450" s="2">
        <v>104099</v>
      </c>
      <c r="B450" s="2">
        <v>448</v>
      </c>
      <c r="C450" s="3" t="s">
        <v>57</v>
      </c>
      <c r="D450" s="3" t="s">
        <v>677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2130220033</v>
      </c>
      <c r="L450" s="7">
        <f t="shared" si="13"/>
        <v>2130220033</v>
      </c>
      <c r="M450" s="7">
        <f t="shared" si="14"/>
        <v>2130220033</v>
      </c>
      <c r="N450" s="3" t="s">
        <v>179</v>
      </c>
      <c r="O450" s="5" t="s">
        <v>678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254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673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17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5</v>
      </c>
      <c r="BA450" s="2">
        <f>(($AQ450+$AS450+$AU450++$AT450+$AV450+$AW450+$AX450)/3)+(IF(($AP450+$AR450)&gt;=($AY450+$AZ450),(($AP450+$AR450)-($AY450+$AZ450)),0))</f>
        <v>6</v>
      </c>
      <c r="BB450" s="3" t="s">
        <v>66</v>
      </c>
      <c r="BC450" s="3" t="s">
        <v>66</v>
      </c>
      <c r="BD450" s="2">
        <v>730734.00000000105</v>
      </c>
      <c r="BE450" s="2">
        <v>3762758</v>
      </c>
      <c r="BF450" s="4"/>
      <c r="BG450" s="4"/>
      <c r="BH450" s="4"/>
      <c r="BI450" s="2">
        <v>0</v>
      </c>
      <c r="BJ450" s="2">
        <v>0</v>
      </c>
    </row>
    <row r="451" spans="1:62" ht="58" hidden="1" x14ac:dyDescent="0.35">
      <c r="A451" s="2">
        <v>104100</v>
      </c>
      <c r="B451" s="2">
        <v>449</v>
      </c>
      <c r="C451" s="3" t="s">
        <v>57</v>
      </c>
      <c r="D451" s="3" t="s">
        <v>679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17160920131</v>
      </c>
      <c r="L451" s="7">
        <f t="shared" si="13"/>
        <v>2130220033</v>
      </c>
      <c r="M451" s="7">
        <f t="shared" si="14"/>
        <v>2130220035</v>
      </c>
      <c r="N451" s="3" t="s">
        <v>179</v>
      </c>
      <c r="O451" s="5" t="s">
        <v>266</v>
      </c>
      <c r="P451" s="3" t="s">
        <v>66</v>
      </c>
      <c r="Q451" s="3" t="s">
        <v>180</v>
      </c>
      <c r="R451" s="2">
        <v>0</v>
      </c>
      <c r="S451" s="3" t="s">
        <v>66</v>
      </c>
      <c r="T451" s="3" t="s">
        <v>168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262</v>
      </c>
      <c r="AC451" s="2">
        <v>0</v>
      </c>
      <c r="AD451" s="3" t="s">
        <v>68</v>
      </c>
      <c r="AE451" s="3" t="s">
        <v>71</v>
      </c>
      <c r="AF451" s="3" t="s">
        <v>172</v>
      </c>
      <c r="AG451" s="3" t="s">
        <v>173</v>
      </c>
      <c r="AH451" s="3" t="s">
        <v>217</v>
      </c>
      <c r="AI451" s="3" t="s">
        <v>66</v>
      </c>
      <c r="AJ451" s="3" t="s">
        <v>66</v>
      </c>
      <c r="AK451" s="3" t="s">
        <v>205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3" t="s">
        <v>263</v>
      </c>
      <c r="BC451" s="3" t="s">
        <v>264</v>
      </c>
      <c r="BD451" s="2">
        <v>730623.00000000198</v>
      </c>
      <c r="BE451" s="2">
        <v>3762668</v>
      </c>
      <c r="BF451" s="4"/>
      <c r="BG451" s="4"/>
      <c r="BH451" s="4"/>
      <c r="BI451" s="4"/>
      <c r="BJ451" s="2">
        <v>0</v>
      </c>
    </row>
    <row r="452" spans="1:62" x14ac:dyDescent="0.35">
      <c r="A452" s="2">
        <v>104101</v>
      </c>
      <c r="B452" s="2">
        <v>450</v>
      </c>
      <c r="C452" s="3" t="s">
        <v>57</v>
      </c>
      <c r="D452" s="3" t="s">
        <v>679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2130220035</v>
      </c>
      <c r="L452" s="7">
        <f t="shared" ref="L452:L515" si="15">IF(J452="E",K452,L451)</f>
        <v>2130220035</v>
      </c>
      <c r="M452" s="7">
        <f t="shared" si="14"/>
        <v>2130220035</v>
      </c>
      <c r="N452" s="3" t="s">
        <v>179</v>
      </c>
      <c r="O452" s="5" t="s">
        <v>680</v>
      </c>
      <c r="P452" s="3" t="s">
        <v>681</v>
      </c>
      <c r="Q452" s="3" t="s">
        <v>180</v>
      </c>
      <c r="R452" s="2">
        <v>0</v>
      </c>
      <c r="S452" s="3" t="s">
        <v>73</v>
      </c>
      <c r="T452" s="3" t="s">
        <v>254</v>
      </c>
      <c r="U452" s="3" t="s">
        <v>195</v>
      </c>
      <c r="V452" s="3" t="s">
        <v>66</v>
      </c>
      <c r="W452" s="3" t="s">
        <v>66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262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7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3</v>
      </c>
      <c r="AZ452" s="2">
        <f>(($AQ452+$AS452+$AU452++$AT452+$AV452+$AW452+$AX452)/3)+IF(($AP452+$AR452)&gt;=1,ROUNDDOWN(($AP452+$AR452)/3,0),0)</f>
        <v>2</v>
      </c>
      <c r="BA452" s="2">
        <f>(($AQ452+$AS452+$AU452++$AT452+$AV452+$AW452+$AX452)/3)+(IF(($AP452+$AR452)&gt;=($AY452+$AZ452),(($AP452+$AR452)-($AY452+$AZ452)),0))</f>
        <v>2</v>
      </c>
      <c r="BB452" s="3" t="s">
        <v>66</v>
      </c>
      <c r="BC452" s="3" t="s">
        <v>66</v>
      </c>
      <c r="BD452" s="2">
        <v>730659.00000000105</v>
      </c>
      <c r="BE452" s="2">
        <v>3762736</v>
      </c>
      <c r="BF452" s="4"/>
      <c r="BG452" s="4"/>
      <c r="BH452" s="4"/>
      <c r="BI452" s="2">
        <v>0</v>
      </c>
      <c r="BJ452" s="2">
        <v>0</v>
      </c>
    </row>
    <row r="453" spans="1:62" ht="58" hidden="1" x14ac:dyDescent="0.35">
      <c r="A453" s="2">
        <v>104102</v>
      </c>
      <c r="B453" s="2">
        <v>451</v>
      </c>
      <c r="C453" s="3" t="s">
        <v>57</v>
      </c>
      <c r="D453" s="3" t="s">
        <v>682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17160920131</v>
      </c>
      <c r="L453" s="7">
        <f t="shared" si="15"/>
        <v>2130220035</v>
      </c>
      <c r="M453" s="7">
        <f t="shared" si="14"/>
        <v>2130220036</v>
      </c>
      <c r="N453" s="3" t="s">
        <v>179</v>
      </c>
      <c r="O453" s="5" t="s">
        <v>266</v>
      </c>
      <c r="P453" s="3" t="s">
        <v>66</v>
      </c>
      <c r="Q453" s="3" t="s">
        <v>180</v>
      </c>
      <c r="R453" s="2">
        <v>0</v>
      </c>
      <c r="S453" s="3" t="s">
        <v>66</v>
      </c>
      <c r="T453" s="3" t="s">
        <v>168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262</v>
      </c>
      <c r="AC453" s="2">
        <v>0</v>
      </c>
      <c r="AD453" s="3" t="s">
        <v>68</v>
      </c>
      <c r="AE453" s="3" t="s">
        <v>71</v>
      </c>
      <c r="AF453" s="3" t="s">
        <v>172</v>
      </c>
      <c r="AG453" s="3" t="s">
        <v>173</v>
      </c>
      <c r="AH453" s="3" t="s">
        <v>217</v>
      </c>
      <c r="AI453" s="3" t="s">
        <v>66</v>
      </c>
      <c r="AJ453" s="3" t="s">
        <v>66</v>
      </c>
      <c r="AK453" s="3" t="s">
        <v>205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3" t="s">
        <v>263</v>
      </c>
      <c r="BC453" s="3" t="s">
        <v>264</v>
      </c>
      <c r="BD453" s="2">
        <v>730623.00000000198</v>
      </c>
      <c r="BE453" s="2">
        <v>3762668</v>
      </c>
      <c r="BF453" s="4"/>
      <c r="BG453" s="4"/>
      <c r="BH453" s="4"/>
      <c r="BI453" s="4"/>
      <c r="BJ453" s="2">
        <v>0</v>
      </c>
    </row>
    <row r="454" spans="1:62" x14ac:dyDescent="0.35">
      <c r="A454" s="2">
        <v>104103</v>
      </c>
      <c r="B454" s="2">
        <v>452</v>
      </c>
      <c r="C454" s="3" t="s">
        <v>57</v>
      </c>
      <c r="D454" s="3" t="s">
        <v>682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2130220036</v>
      </c>
      <c r="L454" s="7">
        <f t="shared" si="15"/>
        <v>2130220036</v>
      </c>
      <c r="M454" s="7">
        <f t="shared" si="14"/>
        <v>2130220036</v>
      </c>
      <c r="N454" s="3" t="s">
        <v>179</v>
      </c>
      <c r="O454" s="5" t="s">
        <v>683</v>
      </c>
      <c r="P454" s="3" t="s">
        <v>684</v>
      </c>
      <c r="Q454" s="3" t="s">
        <v>180</v>
      </c>
      <c r="R454" s="2">
        <v>0</v>
      </c>
      <c r="S454" s="3" t="s">
        <v>73</v>
      </c>
      <c r="T454" s="3" t="s">
        <v>254</v>
      </c>
      <c r="U454" s="3" t="s">
        <v>66</v>
      </c>
      <c r="V454" s="3" t="s">
        <v>195</v>
      </c>
      <c r="W454" s="3" t="s">
        <v>66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262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12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4</v>
      </c>
      <c r="AZ454" s="2">
        <f>(($AQ454+$AS454+$AU454++$AT454+$AV454+$AW454+$AX454)/3)+IF(($AP454+$AR454)&gt;=1,ROUNDDOWN(($AP454+$AR454)/3,0),0)</f>
        <v>4</v>
      </c>
      <c r="BA454" s="2">
        <f>(($AQ454+$AS454+$AU454++$AT454+$AV454+$AW454+$AX454)/3)+(IF(($AP454+$AR454)&gt;=($AY454+$AZ454),(($AP454+$AR454)-($AY454+$AZ454)),0))</f>
        <v>4</v>
      </c>
      <c r="BB454" s="3" t="s">
        <v>66</v>
      </c>
      <c r="BC454" s="3" t="s">
        <v>66</v>
      </c>
      <c r="BD454" s="2">
        <v>730591</v>
      </c>
      <c r="BE454" s="2">
        <v>3762592</v>
      </c>
      <c r="BF454" s="4"/>
      <c r="BG454" s="4"/>
      <c r="BH454" s="4"/>
      <c r="BI454" s="2">
        <v>0</v>
      </c>
      <c r="BJ454" s="2">
        <v>0</v>
      </c>
    </row>
    <row r="455" spans="1:62" ht="58" hidden="1" x14ac:dyDescent="0.35">
      <c r="A455" s="2">
        <v>104104</v>
      </c>
      <c r="B455" s="2">
        <v>453</v>
      </c>
      <c r="C455" s="3" t="s">
        <v>57</v>
      </c>
      <c r="D455" s="3" t="s">
        <v>685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17170920142</v>
      </c>
      <c r="L455" s="7">
        <f t="shared" si="15"/>
        <v>2130220036</v>
      </c>
      <c r="M455" s="7">
        <f t="shared" si="14"/>
        <v>2130220038</v>
      </c>
      <c r="N455" s="3" t="s">
        <v>179</v>
      </c>
      <c r="O455" s="5" t="s">
        <v>293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289</v>
      </c>
      <c r="AC455" s="2">
        <v>0</v>
      </c>
      <c r="AD455" s="3" t="s">
        <v>68</v>
      </c>
      <c r="AE455" s="3" t="s">
        <v>71</v>
      </c>
      <c r="AF455" s="3" t="s">
        <v>172</v>
      </c>
      <c r="AG455" s="3" t="s">
        <v>173</v>
      </c>
      <c r="AH455" s="3" t="s">
        <v>231</v>
      </c>
      <c r="AI455" s="3" t="s">
        <v>66</v>
      </c>
      <c r="AJ455" s="3" t="s">
        <v>66</v>
      </c>
      <c r="AK455" s="3" t="s">
        <v>175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3" t="s">
        <v>290</v>
      </c>
      <c r="BC455" s="3" t="s">
        <v>291</v>
      </c>
      <c r="BD455" s="2">
        <v>730762.00000000105</v>
      </c>
      <c r="BE455" s="2">
        <v>3762370</v>
      </c>
      <c r="BF455" s="4"/>
      <c r="BG455" s="4"/>
      <c r="BH455" s="4"/>
      <c r="BI455" s="4"/>
      <c r="BJ455" s="2">
        <v>0</v>
      </c>
    </row>
    <row r="456" spans="1:62" x14ac:dyDescent="0.35">
      <c r="A456" s="2">
        <v>104105</v>
      </c>
      <c r="B456" s="2">
        <v>454</v>
      </c>
      <c r="C456" s="3" t="s">
        <v>57</v>
      </c>
      <c r="D456" s="3" t="s">
        <v>685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2130220038</v>
      </c>
      <c r="L456" s="7">
        <f t="shared" si="15"/>
        <v>2130220038</v>
      </c>
      <c r="M456" s="7">
        <f t="shared" si="14"/>
        <v>2130220038</v>
      </c>
      <c r="N456" s="3" t="s">
        <v>179</v>
      </c>
      <c r="O456" s="5" t="s">
        <v>686</v>
      </c>
      <c r="P456" s="3" t="s">
        <v>183</v>
      </c>
      <c r="Q456" s="3" t="s">
        <v>180</v>
      </c>
      <c r="R456" s="2">
        <v>0</v>
      </c>
      <c r="S456" s="3" t="s">
        <v>73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289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12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4</v>
      </c>
      <c r="AZ456" s="2">
        <f>(($AQ456+$AS456+$AU456++$AT456+$AV456+$AW456+$AX456)/3)+IF(($AP456+$AR456)&gt;=1,ROUNDDOWN(($AP456+$AR456)/3,0),0)</f>
        <v>4</v>
      </c>
      <c r="BA456" s="2">
        <f>(($AQ456+$AS456+$AU456++$AT456+$AV456+$AW456+$AX456)/3)+(IF(($AP456+$AR456)&gt;=($AY456+$AZ456),(($AP456+$AR456)-($AY456+$AZ456)),0))</f>
        <v>4</v>
      </c>
      <c r="BB456" s="3" t="s">
        <v>66</v>
      </c>
      <c r="BC456" s="3" t="s">
        <v>66</v>
      </c>
      <c r="BD456" s="2">
        <v>730783</v>
      </c>
      <c r="BE456" s="2">
        <v>3762417</v>
      </c>
      <c r="BF456" s="4"/>
      <c r="BG456" s="4"/>
      <c r="BH456" s="4"/>
      <c r="BI456" s="2">
        <v>0</v>
      </c>
      <c r="BJ456" s="2">
        <v>0</v>
      </c>
    </row>
    <row r="457" spans="1:62" ht="58" hidden="1" x14ac:dyDescent="0.35">
      <c r="A457" s="2">
        <v>104106</v>
      </c>
      <c r="B457" s="2">
        <v>455</v>
      </c>
      <c r="C457" s="3" t="s">
        <v>57</v>
      </c>
      <c r="D457" s="3" t="s">
        <v>687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17170920142</v>
      </c>
      <c r="L457" s="7">
        <f t="shared" si="15"/>
        <v>2130220038</v>
      </c>
      <c r="M457" s="7">
        <f t="shared" si="14"/>
        <v>2130220039</v>
      </c>
      <c r="N457" s="3" t="s">
        <v>179</v>
      </c>
      <c r="O457" s="5" t="s">
        <v>293</v>
      </c>
      <c r="P457" s="3" t="s">
        <v>66</v>
      </c>
      <c r="Q457" s="3" t="s">
        <v>180</v>
      </c>
      <c r="R457" s="2">
        <v>0</v>
      </c>
      <c r="S457" s="3" t="s">
        <v>66</v>
      </c>
      <c r="T457" s="3" t="s">
        <v>168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289</v>
      </c>
      <c r="AC457" s="2">
        <v>0</v>
      </c>
      <c r="AD457" s="3" t="s">
        <v>68</v>
      </c>
      <c r="AE457" s="3" t="s">
        <v>71</v>
      </c>
      <c r="AF457" s="3" t="s">
        <v>172</v>
      </c>
      <c r="AG457" s="3" t="s">
        <v>173</v>
      </c>
      <c r="AH457" s="3" t="s">
        <v>231</v>
      </c>
      <c r="AI457" s="3" t="s">
        <v>66</v>
      </c>
      <c r="AJ457" s="3" t="s">
        <v>66</v>
      </c>
      <c r="AK457" s="3" t="s">
        <v>175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3" t="s">
        <v>290</v>
      </c>
      <c r="BC457" s="3" t="s">
        <v>291</v>
      </c>
      <c r="BD457" s="2">
        <v>730762.00000000105</v>
      </c>
      <c r="BE457" s="2">
        <v>3762370</v>
      </c>
      <c r="BF457" s="4"/>
      <c r="BG457" s="4"/>
      <c r="BH457" s="4"/>
      <c r="BI457" s="4"/>
      <c r="BJ457" s="2">
        <v>0</v>
      </c>
    </row>
    <row r="458" spans="1:62" hidden="1" x14ac:dyDescent="0.35">
      <c r="A458" s="2">
        <v>104107</v>
      </c>
      <c r="B458" s="2">
        <v>456</v>
      </c>
      <c r="C458" s="3" t="s">
        <v>57</v>
      </c>
      <c r="D458" s="3" t="s">
        <v>687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2130220039</v>
      </c>
      <c r="L458" s="7">
        <f t="shared" si="15"/>
        <v>2130220039</v>
      </c>
      <c r="M458" s="7">
        <f t="shared" si="14"/>
        <v>2130220039</v>
      </c>
      <c r="N458" s="3" t="s">
        <v>179</v>
      </c>
      <c r="O458" s="5" t="s">
        <v>688</v>
      </c>
      <c r="P458" s="3" t="s">
        <v>183</v>
      </c>
      <c r="Q458" s="3" t="s">
        <v>180</v>
      </c>
      <c r="R458" s="2">
        <v>0</v>
      </c>
      <c r="S458" s="3" t="s">
        <v>73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289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/>
      <c r="AZ458" s="2"/>
      <c r="BA458" s="2"/>
      <c r="BB458" s="3" t="s">
        <v>66</v>
      </c>
      <c r="BC458" s="3" t="s">
        <v>66</v>
      </c>
      <c r="BD458" s="2">
        <v>730751.00000000105</v>
      </c>
      <c r="BE458" s="2">
        <v>3762337</v>
      </c>
      <c r="BF458" s="4"/>
      <c r="BG458" s="4"/>
      <c r="BH458" s="4"/>
      <c r="BI458" s="2">
        <v>0</v>
      </c>
      <c r="BJ458" s="2">
        <v>0</v>
      </c>
    </row>
    <row r="459" spans="1:62" hidden="1" x14ac:dyDescent="0.35">
      <c r="A459" s="2">
        <v>104108</v>
      </c>
      <c r="B459" s="2">
        <v>457</v>
      </c>
      <c r="C459" s="3" t="s">
        <v>57</v>
      </c>
      <c r="D459" s="3" t="s">
        <v>689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2130220039</v>
      </c>
      <c r="L459" s="7">
        <f t="shared" si="15"/>
        <v>2130220039</v>
      </c>
      <c r="M459" s="7">
        <f t="shared" si="14"/>
        <v>2130220040</v>
      </c>
      <c r="N459" s="3" t="s">
        <v>179</v>
      </c>
      <c r="O459" s="5" t="s">
        <v>688</v>
      </c>
      <c r="P459" s="3" t="s">
        <v>66</v>
      </c>
      <c r="Q459" s="3" t="s">
        <v>180</v>
      </c>
      <c r="R459" s="2">
        <v>0</v>
      </c>
      <c r="S459" s="3" t="s">
        <v>73</v>
      </c>
      <c r="T459" s="3" t="s">
        <v>638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289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3" t="s">
        <v>66</v>
      </c>
      <c r="BC459" s="3" t="s">
        <v>66</v>
      </c>
      <c r="BD459" s="2">
        <v>730751.00000000105</v>
      </c>
      <c r="BE459" s="2">
        <v>3762337</v>
      </c>
      <c r="BF459" s="4"/>
      <c r="BG459" s="4"/>
      <c r="BH459" s="4"/>
      <c r="BI459" s="2">
        <v>0</v>
      </c>
      <c r="BJ459" s="2">
        <v>0</v>
      </c>
    </row>
    <row r="460" spans="1:62" x14ac:dyDescent="0.35">
      <c r="A460" s="2">
        <v>104109</v>
      </c>
      <c r="B460" s="2">
        <v>458</v>
      </c>
      <c r="C460" s="3" t="s">
        <v>57</v>
      </c>
      <c r="D460" s="3" t="s">
        <v>689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2130220040</v>
      </c>
      <c r="L460" s="7">
        <f t="shared" si="15"/>
        <v>2130220040</v>
      </c>
      <c r="M460" s="7">
        <f t="shared" si="14"/>
        <v>2130220040</v>
      </c>
      <c r="N460" s="3" t="s">
        <v>179</v>
      </c>
      <c r="O460" s="5" t="s">
        <v>690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638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289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8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3</v>
      </c>
      <c r="AZ460" s="2">
        <f>(($AQ460+$AS460+$AU460++$AT460+$AV460+$AW460+$AX460)/3)+IF(($AP460+$AR460)&gt;=1,ROUNDDOWN(($AP460+$AR460)/3,0),0)</f>
        <v>2</v>
      </c>
      <c r="BA460" s="2">
        <f>(($AQ460+$AS460+$AU460++$AT460+$AV460+$AW460+$AX460)/3)+(IF(($AP460+$AR460)&gt;=($AY460+$AZ460),(($AP460+$AR460)-($AY460+$AZ460)),0))</f>
        <v>3</v>
      </c>
      <c r="BB460" s="3" t="s">
        <v>66</v>
      </c>
      <c r="BC460" s="3" t="s">
        <v>66</v>
      </c>
      <c r="BD460" s="2">
        <v>730707</v>
      </c>
      <c r="BE460" s="2">
        <v>3762283</v>
      </c>
      <c r="BF460" s="4"/>
      <c r="BG460" s="4"/>
      <c r="BH460" s="4"/>
      <c r="BI460" s="2">
        <v>0</v>
      </c>
      <c r="BJ460" s="2">
        <v>0</v>
      </c>
    </row>
    <row r="461" spans="1:62" ht="58" hidden="1" x14ac:dyDescent="0.35">
      <c r="A461" s="2">
        <v>104110</v>
      </c>
      <c r="B461" s="2">
        <v>459</v>
      </c>
      <c r="C461" s="3" t="s">
        <v>57</v>
      </c>
      <c r="D461" s="3" t="s">
        <v>305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17170920149</v>
      </c>
      <c r="L461" s="7">
        <f t="shared" si="15"/>
        <v>2130220040</v>
      </c>
      <c r="M461" s="7">
        <f t="shared" si="14"/>
        <v>17170920149</v>
      </c>
      <c r="N461" s="3" t="s">
        <v>179</v>
      </c>
      <c r="O461" s="5" t="s">
        <v>306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302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231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3" t="s">
        <v>303</v>
      </c>
      <c r="BC461" s="3" t="s">
        <v>304</v>
      </c>
      <c r="BD461" s="2">
        <v>730667.00000000105</v>
      </c>
      <c r="BE461" s="2">
        <v>3762111</v>
      </c>
      <c r="BF461" s="4"/>
      <c r="BG461" s="4"/>
      <c r="BH461" s="4"/>
      <c r="BI461" s="4"/>
      <c r="BJ461" s="2">
        <v>0</v>
      </c>
    </row>
    <row r="462" spans="1:62" hidden="1" x14ac:dyDescent="0.35">
      <c r="A462" s="2">
        <v>104111</v>
      </c>
      <c r="B462" s="2">
        <v>460</v>
      </c>
      <c r="C462" s="3" t="s">
        <v>57</v>
      </c>
      <c r="D462" s="3" t="s">
        <v>305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17170920149</v>
      </c>
      <c r="L462" s="7">
        <f t="shared" si="15"/>
        <v>17170920149</v>
      </c>
      <c r="M462" s="7">
        <f t="shared" si="14"/>
        <v>17170920149</v>
      </c>
      <c r="N462" s="3" t="s">
        <v>179</v>
      </c>
      <c r="O462" s="5" t="s">
        <v>306</v>
      </c>
      <c r="P462" s="3" t="s">
        <v>183</v>
      </c>
      <c r="Q462" s="3" t="s">
        <v>180</v>
      </c>
      <c r="R462" s="2">
        <v>0</v>
      </c>
      <c r="S462" s="3" t="s">
        <v>66</v>
      </c>
      <c r="T462" s="3" t="s">
        <v>168</v>
      </c>
      <c r="U462" s="3" t="s">
        <v>195</v>
      </c>
      <c r="V462" s="3" t="s">
        <v>195</v>
      </c>
      <c r="W462" s="3" t="s">
        <v>195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302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/>
      <c r="AZ462" s="2"/>
      <c r="BA462" s="2"/>
      <c r="BB462" s="3" t="s">
        <v>691</v>
      </c>
      <c r="BC462" s="3" t="s">
        <v>66</v>
      </c>
      <c r="BD462" s="2">
        <v>730667.00000000105</v>
      </c>
      <c r="BE462" s="2">
        <v>3762111</v>
      </c>
      <c r="BF462" s="4"/>
      <c r="BG462" s="4"/>
      <c r="BH462" s="4"/>
      <c r="BI462" s="2">
        <v>0</v>
      </c>
      <c r="BJ462" s="2">
        <v>0</v>
      </c>
    </row>
    <row r="463" spans="1:62" hidden="1" x14ac:dyDescent="0.35">
      <c r="A463" s="2">
        <v>104112</v>
      </c>
      <c r="B463" s="2">
        <v>461</v>
      </c>
      <c r="C463" s="3" t="s">
        <v>57</v>
      </c>
      <c r="D463" s="3" t="s">
        <v>692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17170920149</v>
      </c>
      <c r="L463" s="7">
        <f t="shared" si="15"/>
        <v>17170920149</v>
      </c>
      <c r="M463" s="7">
        <f t="shared" si="14"/>
        <v>2130220042</v>
      </c>
      <c r="N463" s="3" t="s">
        <v>179</v>
      </c>
      <c r="O463" s="5" t="s">
        <v>306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302</v>
      </c>
      <c r="AC463" s="2">
        <v>0</v>
      </c>
      <c r="AD463" s="3" t="s">
        <v>68</v>
      </c>
      <c r="AE463" s="3" t="s">
        <v>71</v>
      </c>
      <c r="AF463" s="3" t="s">
        <v>66</v>
      </c>
      <c r="AG463" s="3" t="s">
        <v>66</v>
      </c>
      <c r="AH463" s="3" t="s">
        <v>66</v>
      </c>
      <c r="AI463" s="3" t="s">
        <v>66</v>
      </c>
      <c r="AJ463" s="3" t="s">
        <v>66</v>
      </c>
      <c r="AK463" s="3" t="s">
        <v>66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3" t="s">
        <v>66</v>
      </c>
      <c r="BC463" s="3" t="s">
        <v>66</v>
      </c>
      <c r="BD463" s="2">
        <v>730667.00000000105</v>
      </c>
      <c r="BE463" s="2">
        <v>3762111</v>
      </c>
      <c r="BF463" s="4"/>
      <c r="BG463" s="4"/>
      <c r="BH463" s="4"/>
      <c r="BI463" s="2">
        <v>0</v>
      </c>
      <c r="BJ463" s="2">
        <v>0</v>
      </c>
    </row>
    <row r="464" spans="1:62" x14ac:dyDescent="0.35">
      <c r="A464" s="2">
        <v>104113</v>
      </c>
      <c r="B464" s="2">
        <v>462</v>
      </c>
      <c r="C464" s="3" t="s">
        <v>57</v>
      </c>
      <c r="D464" s="3" t="s">
        <v>692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2130220042</v>
      </c>
      <c r="L464" s="7">
        <f t="shared" si="15"/>
        <v>2130220042</v>
      </c>
      <c r="M464" s="7">
        <f t="shared" si="14"/>
        <v>2130220042</v>
      </c>
      <c r="N464" s="3" t="s">
        <v>179</v>
      </c>
      <c r="O464" s="5" t="s">
        <v>693</v>
      </c>
      <c r="P464" s="3" t="s">
        <v>183</v>
      </c>
      <c r="Q464" s="3" t="s">
        <v>180</v>
      </c>
      <c r="R464" s="2">
        <v>0</v>
      </c>
      <c r="S464" s="3" t="s">
        <v>314</v>
      </c>
      <c r="T464" s="3" t="s">
        <v>254</v>
      </c>
      <c r="U464" s="3" t="s">
        <v>195</v>
      </c>
      <c r="V464" s="3" t="s">
        <v>195</v>
      </c>
      <c r="W464" s="3" t="s">
        <v>195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302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2</v>
      </c>
      <c r="AQ464" s="2">
        <v>1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1.3333333333333333</v>
      </c>
      <c r="AZ464" s="2">
        <f>(($AQ464+$AS464+$AU464++$AT464+$AV464+$AW464+$AX464)/3)+IF(($AP464+$AR464)&gt;=1,ROUNDDOWN(($AP464+$AR464)/3,0),0)</f>
        <v>0.33333333333333331</v>
      </c>
      <c r="BA464" s="2">
        <f>(($AQ464+$AS464+$AU464++$AT464+$AV464+$AW464+$AX464)/3)+(IF(($AP464+$AR464)&gt;=($AY464+$AZ464),(($AP464+$AR464)-($AY464+$AZ464)),0))</f>
        <v>0.66666666666666674</v>
      </c>
      <c r="BB464" s="3" t="s">
        <v>66</v>
      </c>
      <c r="BC464" s="3" t="s">
        <v>66</v>
      </c>
      <c r="BD464" s="2">
        <v>730662.00000000105</v>
      </c>
      <c r="BE464" s="2">
        <v>3762090</v>
      </c>
      <c r="BF464" s="4"/>
      <c r="BG464" s="4"/>
      <c r="BH464" s="4"/>
      <c r="BI464" s="2">
        <v>0</v>
      </c>
      <c r="BJ464" s="2">
        <v>0</v>
      </c>
    </row>
    <row r="465" spans="1:62" ht="58" hidden="1" x14ac:dyDescent="0.35">
      <c r="A465" s="2">
        <v>104114</v>
      </c>
      <c r="B465" s="2">
        <v>463</v>
      </c>
      <c r="C465" s="3" t="s">
        <v>57</v>
      </c>
      <c r="D465" s="3" t="s">
        <v>694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17170920155</v>
      </c>
      <c r="L465" s="7">
        <f t="shared" si="15"/>
        <v>2130220042</v>
      </c>
      <c r="M465" s="7">
        <f t="shared" si="14"/>
        <v>2130220044</v>
      </c>
      <c r="N465" s="3" t="s">
        <v>179</v>
      </c>
      <c r="O465" s="5" t="s">
        <v>322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317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174</v>
      </c>
      <c r="AI465" s="3" t="s">
        <v>66</v>
      </c>
      <c r="AJ465" s="3" t="s">
        <v>66</v>
      </c>
      <c r="AK465" s="3" t="s">
        <v>318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3" t="s">
        <v>319</v>
      </c>
      <c r="BC465" s="3" t="s">
        <v>320</v>
      </c>
      <c r="BD465" s="2">
        <v>730800.00000000105</v>
      </c>
      <c r="BE465" s="2">
        <v>3761918</v>
      </c>
      <c r="BF465" s="4"/>
      <c r="BG465" s="4"/>
      <c r="BH465" s="4"/>
      <c r="BI465" s="4"/>
      <c r="BJ465" s="2">
        <v>0</v>
      </c>
    </row>
    <row r="466" spans="1:62" x14ac:dyDescent="0.35">
      <c r="A466" s="2">
        <v>104115</v>
      </c>
      <c r="B466" s="2">
        <v>464</v>
      </c>
      <c r="C466" s="3" t="s">
        <v>57</v>
      </c>
      <c r="D466" s="3" t="s">
        <v>694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2130220044</v>
      </c>
      <c r="L466" s="7">
        <f t="shared" si="15"/>
        <v>2130220044</v>
      </c>
      <c r="M466" s="7">
        <f t="shared" si="14"/>
        <v>2130220044</v>
      </c>
      <c r="N466" s="3" t="s">
        <v>179</v>
      </c>
      <c r="O466" s="5" t="s">
        <v>695</v>
      </c>
      <c r="P466" s="3" t="s">
        <v>696</v>
      </c>
      <c r="Q466" s="3" t="s">
        <v>180</v>
      </c>
      <c r="R466" s="2">
        <v>0</v>
      </c>
      <c r="S466" s="3" t="s">
        <v>314</v>
      </c>
      <c r="T466" s="3" t="s">
        <v>254</v>
      </c>
      <c r="U466" s="3" t="s">
        <v>195</v>
      </c>
      <c r="V466" s="3" t="s">
        <v>66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317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19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7</v>
      </c>
      <c r="AZ466" s="2">
        <f>(($AQ466+$AS466+$AU466++$AT466+$AV466+$AW466+$AX466)/3)+IF(($AP466+$AR466)&gt;=1,ROUNDDOWN(($AP466+$AR466)/3,0),0)</f>
        <v>6</v>
      </c>
      <c r="BA466" s="2">
        <f>(($AQ466+$AS466+$AU466++$AT466+$AV466+$AW466+$AX466)/3)+(IF(($AP466+$AR466)&gt;=($AY466+$AZ466),(($AP466+$AR466)-($AY466+$AZ466)),0))</f>
        <v>6</v>
      </c>
      <c r="BB466" s="3" t="s">
        <v>66</v>
      </c>
      <c r="BC466" s="3" t="s">
        <v>66</v>
      </c>
      <c r="BD466" s="2">
        <v>730811.99999999895</v>
      </c>
      <c r="BE466" s="2">
        <v>3761917</v>
      </c>
      <c r="BF466" s="4"/>
      <c r="BG466" s="4"/>
      <c r="BH466" s="4"/>
      <c r="BI466" s="2">
        <v>0</v>
      </c>
      <c r="BJ466" s="2">
        <v>0</v>
      </c>
    </row>
    <row r="467" spans="1:62" ht="58" hidden="1" x14ac:dyDescent="0.35">
      <c r="A467" s="2">
        <v>104116</v>
      </c>
      <c r="B467" s="2">
        <v>465</v>
      </c>
      <c r="C467" s="3" t="s">
        <v>57</v>
      </c>
      <c r="D467" s="3" t="s">
        <v>697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17170920155</v>
      </c>
      <c r="L467" s="7">
        <f t="shared" si="15"/>
        <v>2130220044</v>
      </c>
      <c r="M467" s="7">
        <f t="shared" ref="M467:M530" si="16">IF(J467="E",K467,M468)</f>
        <v>2130220045</v>
      </c>
      <c r="N467" s="3" t="s">
        <v>179</v>
      </c>
      <c r="O467" s="5" t="s">
        <v>322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317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174</v>
      </c>
      <c r="AI467" s="3" t="s">
        <v>66</v>
      </c>
      <c r="AJ467" s="3" t="s">
        <v>66</v>
      </c>
      <c r="AK467" s="3" t="s">
        <v>318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3" t="s">
        <v>319</v>
      </c>
      <c r="BC467" s="3" t="s">
        <v>320</v>
      </c>
      <c r="BD467" s="2">
        <v>730800.00000000105</v>
      </c>
      <c r="BE467" s="2">
        <v>3761918</v>
      </c>
      <c r="BF467" s="4"/>
      <c r="BG467" s="4"/>
      <c r="BH467" s="4"/>
      <c r="BI467" s="4"/>
      <c r="BJ467" s="2">
        <v>0</v>
      </c>
    </row>
    <row r="468" spans="1:62" x14ac:dyDescent="0.35">
      <c r="A468" s="2">
        <v>104117</v>
      </c>
      <c r="B468" s="2">
        <v>466</v>
      </c>
      <c r="C468" s="3" t="s">
        <v>57</v>
      </c>
      <c r="D468" s="3" t="s">
        <v>697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2130220045</v>
      </c>
      <c r="L468" s="7">
        <f t="shared" si="15"/>
        <v>2130220045</v>
      </c>
      <c r="M468" s="7">
        <f t="shared" si="16"/>
        <v>2130220045</v>
      </c>
      <c r="N468" s="3" t="s">
        <v>179</v>
      </c>
      <c r="O468" s="5" t="s">
        <v>698</v>
      </c>
      <c r="P468" s="3" t="s">
        <v>684</v>
      </c>
      <c r="Q468" s="3" t="s">
        <v>180</v>
      </c>
      <c r="R468" s="2">
        <v>0</v>
      </c>
      <c r="S468" s="3" t="s">
        <v>73</v>
      </c>
      <c r="T468" s="3" t="s">
        <v>254</v>
      </c>
      <c r="U468" s="3" t="s">
        <v>66</v>
      </c>
      <c r="V468" s="3" t="s">
        <v>195</v>
      </c>
      <c r="W468" s="3" t="s">
        <v>66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317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11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>
        <f>(($AQ468+$AS468+$AU468++$AT468+$AV468+$AW468+$AX468)/3)+IF(($AP468+$AR468)&gt;=1,ROUNDUP(($AP468+$AR468)/3,0),0)</f>
        <v>4</v>
      </c>
      <c r="AZ468" s="2">
        <f>(($AQ468+$AS468+$AU468++$AT468+$AV468+$AW468+$AX468)/3)+IF(($AP468+$AR468)&gt;=1,ROUNDDOWN(($AP468+$AR468)/3,0),0)</f>
        <v>3</v>
      </c>
      <c r="BA468" s="2">
        <f>(($AQ468+$AS468+$AU468++$AT468+$AV468+$AW468+$AX468)/3)+(IF(($AP468+$AR468)&gt;=($AY468+$AZ468),(($AP468+$AR468)-($AY468+$AZ468)),0))</f>
        <v>4</v>
      </c>
      <c r="BB468" s="3" t="s">
        <v>66</v>
      </c>
      <c r="BC468" s="3" t="s">
        <v>66</v>
      </c>
      <c r="BD468" s="2">
        <v>730802.00000000198</v>
      </c>
      <c r="BE468" s="2">
        <v>3761859</v>
      </c>
      <c r="BF468" s="4"/>
      <c r="BG468" s="4"/>
      <c r="BH468" s="4"/>
      <c r="BI468" s="2">
        <v>0</v>
      </c>
      <c r="BJ468" s="2">
        <v>0</v>
      </c>
    </row>
    <row r="469" spans="1:62" ht="58" hidden="1" x14ac:dyDescent="0.35">
      <c r="A469" s="2">
        <v>104118</v>
      </c>
      <c r="B469" s="2">
        <v>467</v>
      </c>
      <c r="C469" s="3" t="s">
        <v>57</v>
      </c>
      <c r="D469" s="3" t="s">
        <v>699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17170920167</v>
      </c>
      <c r="L469" s="7">
        <f t="shared" si="15"/>
        <v>2130220045</v>
      </c>
      <c r="M469" s="7">
        <f t="shared" si="16"/>
        <v>2130220047</v>
      </c>
      <c r="N469" s="3" t="s">
        <v>179</v>
      </c>
      <c r="O469" s="5" t="s">
        <v>342</v>
      </c>
      <c r="P469" s="3" t="s">
        <v>66</v>
      </c>
      <c r="Q469" s="3" t="s">
        <v>180</v>
      </c>
      <c r="R469" s="2">
        <v>0</v>
      </c>
      <c r="S469" s="3" t="s">
        <v>66</v>
      </c>
      <c r="T469" s="3" t="s">
        <v>168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337</v>
      </c>
      <c r="AC469" s="2">
        <v>0</v>
      </c>
      <c r="AD469" s="3" t="s">
        <v>68</v>
      </c>
      <c r="AE469" s="3" t="s">
        <v>71</v>
      </c>
      <c r="AF469" s="3" t="s">
        <v>172</v>
      </c>
      <c r="AG469" s="3" t="s">
        <v>173</v>
      </c>
      <c r="AH469" s="3" t="s">
        <v>338</v>
      </c>
      <c r="AI469" s="3" t="s">
        <v>66</v>
      </c>
      <c r="AJ469" s="3" t="s">
        <v>66</v>
      </c>
      <c r="AK469" s="3" t="s">
        <v>205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3" t="s">
        <v>339</v>
      </c>
      <c r="BC469" s="3" t="s">
        <v>340</v>
      </c>
      <c r="BD469" s="2">
        <v>731114.00000000198</v>
      </c>
      <c r="BE469" s="2">
        <v>3761507</v>
      </c>
      <c r="BF469" s="4"/>
      <c r="BG469" s="4"/>
      <c r="BH469" s="4"/>
      <c r="BI469" s="4"/>
      <c r="BJ469" s="2">
        <v>0</v>
      </c>
    </row>
    <row r="470" spans="1:62" x14ac:dyDescent="0.35">
      <c r="A470" s="2">
        <v>104119</v>
      </c>
      <c r="B470" s="2">
        <v>468</v>
      </c>
      <c r="C470" s="3" t="s">
        <v>57</v>
      </c>
      <c r="D470" s="3" t="s">
        <v>699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2130220047</v>
      </c>
      <c r="L470" s="7">
        <f t="shared" si="15"/>
        <v>2130220047</v>
      </c>
      <c r="M470" s="7">
        <f t="shared" si="16"/>
        <v>2130220047</v>
      </c>
      <c r="N470" s="3" t="s">
        <v>179</v>
      </c>
      <c r="O470" s="5" t="s">
        <v>700</v>
      </c>
      <c r="P470" s="3" t="s">
        <v>183</v>
      </c>
      <c r="Q470" s="3" t="s">
        <v>180</v>
      </c>
      <c r="R470" s="2">
        <v>0</v>
      </c>
      <c r="S470" s="3" t="s">
        <v>314</v>
      </c>
      <c r="T470" s="3" t="s">
        <v>254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337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3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1</v>
      </c>
      <c r="AZ470" s="2">
        <f>(($AQ470+$AS470+$AU470++$AT470+$AV470+$AW470+$AX470)/3)+IF(($AP470+$AR470)&gt;=1,ROUNDDOWN(($AP470+$AR470)/3,0),0)</f>
        <v>1</v>
      </c>
      <c r="BA470" s="2">
        <f>(($AQ470+$AS470+$AU470++$AT470+$AV470+$AW470+$AX470)/3)+(IF(($AP470+$AR470)&gt;=($AY470+$AZ470),(($AP470+$AR470)-($AY470+$AZ470)),0))</f>
        <v>1</v>
      </c>
      <c r="BB470" s="3" t="s">
        <v>66</v>
      </c>
      <c r="BC470" s="3" t="s">
        <v>66</v>
      </c>
      <c r="BD470" s="2">
        <v>731133.00000000105</v>
      </c>
      <c r="BE470" s="2">
        <v>3761515</v>
      </c>
      <c r="BF470" s="4"/>
      <c r="BG470" s="4"/>
      <c r="BH470" s="4"/>
      <c r="BI470" s="2">
        <v>0</v>
      </c>
      <c r="BJ470" s="2">
        <v>0</v>
      </c>
    </row>
    <row r="471" spans="1:62" ht="58" hidden="1" x14ac:dyDescent="0.35">
      <c r="A471" s="2">
        <v>104120</v>
      </c>
      <c r="B471" s="2">
        <v>469</v>
      </c>
      <c r="C471" s="3" t="s">
        <v>57</v>
      </c>
      <c r="D471" s="3" t="s">
        <v>701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17170920167</v>
      </c>
      <c r="L471" s="7">
        <f t="shared" si="15"/>
        <v>2130220047</v>
      </c>
      <c r="M471" s="7">
        <f t="shared" si="16"/>
        <v>2130220048</v>
      </c>
      <c r="N471" s="3" t="s">
        <v>179</v>
      </c>
      <c r="O471" s="5" t="s">
        <v>342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337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338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3" t="s">
        <v>339</v>
      </c>
      <c r="BC471" s="3" t="s">
        <v>340</v>
      </c>
      <c r="BD471" s="2">
        <v>731114.00000000198</v>
      </c>
      <c r="BE471" s="2">
        <v>3761507</v>
      </c>
      <c r="BF471" s="4"/>
      <c r="BG471" s="4"/>
      <c r="BH471" s="4"/>
      <c r="BI471" s="4"/>
      <c r="BJ471" s="2">
        <v>0</v>
      </c>
    </row>
    <row r="472" spans="1:62" x14ac:dyDescent="0.35">
      <c r="A472" s="2">
        <v>104121</v>
      </c>
      <c r="B472" s="2">
        <v>470</v>
      </c>
      <c r="C472" s="3" t="s">
        <v>57</v>
      </c>
      <c r="D472" s="3" t="s">
        <v>701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2130220048</v>
      </c>
      <c r="L472" s="7">
        <f t="shared" si="15"/>
        <v>2130220048</v>
      </c>
      <c r="M472" s="7">
        <f t="shared" si="16"/>
        <v>2130220048</v>
      </c>
      <c r="N472" s="3" t="s">
        <v>179</v>
      </c>
      <c r="O472" s="5" t="s">
        <v>702</v>
      </c>
      <c r="P472" s="3" t="s">
        <v>183</v>
      </c>
      <c r="Q472" s="3" t="s">
        <v>180</v>
      </c>
      <c r="R472" s="2">
        <v>0</v>
      </c>
      <c r="S472" s="3" t="s">
        <v>314</v>
      </c>
      <c r="T472" s="3" t="s">
        <v>254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337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1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>
        <f>(($AQ472+$AS472+$AU472++$AT472+$AV472+$AW472+$AX472)/3)+IF(($AP472+$AR472)&gt;=1,ROUNDUP(($AP472+$AR472)/3,0),0)</f>
        <v>1</v>
      </c>
      <c r="AZ472" s="2">
        <f>(($AQ472+$AS472+$AU472++$AT472+$AV472+$AW472+$AX472)/3)+IF(($AP472+$AR472)&gt;=1,ROUNDDOWN(($AP472+$AR472)/3,0),0)</f>
        <v>0</v>
      </c>
      <c r="BA472" s="2">
        <f>(($AQ472+$AS472+$AU472++$AT472+$AV472+$AW472+$AX472)/3)+(IF(($AP472+$AR472)&gt;=($AY472+$AZ472),(($AP472+$AR472)-($AY472+$AZ472)),0))</f>
        <v>0</v>
      </c>
      <c r="BB472" s="3" t="s">
        <v>66</v>
      </c>
      <c r="BC472" s="3" t="s">
        <v>66</v>
      </c>
      <c r="BD472" s="2">
        <v>731096.00000000198</v>
      </c>
      <c r="BE472" s="2">
        <v>3761522</v>
      </c>
      <c r="BF472" s="4"/>
      <c r="BG472" s="4"/>
      <c r="BH472" s="4"/>
      <c r="BI472" s="2">
        <v>0</v>
      </c>
      <c r="BJ472" s="2">
        <v>0</v>
      </c>
    </row>
    <row r="473" spans="1:62" hidden="1" x14ac:dyDescent="0.35">
      <c r="A473" s="2">
        <v>104122</v>
      </c>
      <c r="B473" s="2">
        <v>471</v>
      </c>
      <c r="C473" s="3" t="s">
        <v>57</v>
      </c>
      <c r="D473" s="3" t="s">
        <v>703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2130220048</v>
      </c>
      <c r="L473" s="7">
        <f t="shared" si="15"/>
        <v>2130220048</v>
      </c>
      <c r="M473" s="7">
        <f t="shared" si="16"/>
        <v>2130220049</v>
      </c>
      <c r="N473" s="3" t="s">
        <v>179</v>
      </c>
      <c r="O473" s="5" t="s">
        <v>702</v>
      </c>
      <c r="P473" s="3" t="s">
        <v>66</v>
      </c>
      <c r="Q473" s="3" t="s">
        <v>180</v>
      </c>
      <c r="R473" s="2">
        <v>0</v>
      </c>
      <c r="S473" s="3" t="s">
        <v>314</v>
      </c>
      <c r="T473" s="3" t="s">
        <v>254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337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3" t="s">
        <v>66</v>
      </c>
      <c r="BC473" s="3" t="s">
        <v>66</v>
      </c>
      <c r="BD473" s="2">
        <v>731096.00000000198</v>
      </c>
      <c r="BE473" s="2">
        <v>3761522</v>
      </c>
      <c r="BF473" s="4"/>
      <c r="BG473" s="4"/>
      <c r="BH473" s="4"/>
      <c r="BI473" s="2">
        <v>0</v>
      </c>
      <c r="BJ473" s="2">
        <v>0</v>
      </c>
    </row>
    <row r="474" spans="1:62" x14ac:dyDescent="0.35">
      <c r="A474" s="2">
        <v>104123</v>
      </c>
      <c r="B474" s="2">
        <v>472</v>
      </c>
      <c r="C474" s="3" t="s">
        <v>57</v>
      </c>
      <c r="D474" s="3" t="s">
        <v>703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2130220049</v>
      </c>
      <c r="L474" s="7">
        <f t="shared" si="15"/>
        <v>2130220049</v>
      </c>
      <c r="M474" s="7">
        <f t="shared" si="16"/>
        <v>2130220049</v>
      </c>
      <c r="N474" s="3" t="s">
        <v>179</v>
      </c>
      <c r="O474" s="5" t="s">
        <v>704</v>
      </c>
      <c r="P474" s="3" t="s">
        <v>681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66</v>
      </c>
      <c r="W474" s="3" t="s">
        <v>66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337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4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2</v>
      </c>
      <c r="AZ474" s="2">
        <f>(($AQ474+$AS474+$AU474++$AT474+$AV474+$AW474+$AX474)/3)+IF(($AP474+$AR474)&gt;=1,ROUNDDOWN(($AP474+$AR474)/3,0),0)</f>
        <v>1</v>
      </c>
      <c r="BA474" s="2">
        <f>(($AQ474+$AS474+$AU474++$AT474+$AV474+$AW474+$AX474)/3)+(IF(($AP474+$AR474)&gt;=($AY474+$AZ474),(($AP474+$AR474)-($AY474+$AZ474)),0))</f>
        <v>1</v>
      </c>
      <c r="BB474" s="3" t="s">
        <v>66</v>
      </c>
      <c r="BC474" s="3" t="s">
        <v>66</v>
      </c>
      <c r="BD474" s="2">
        <v>731053.00000000105</v>
      </c>
      <c r="BE474" s="2">
        <v>3761491</v>
      </c>
      <c r="BF474" s="4"/>
      <c r="BG474" s="4"/>
      <c r="BH474" s="4"/>
      <c r="BI474" s="2">
        <v>0</v>
      </c>
      <c r="BJ474" s="2">
        <v>0</v>
      </c>
    </row>
    <row r="475" spans="1:62" hidden="1" x14ac:dyDescent="0.35">
      <c r="A475" s="2">
        <v>104124</v>
      </c>
      <c r="B475" s="2">
        <v>473</v>
      </c>
      <c r="C475" s="3" t="s">
        <v>57</v>
      </c>
      <c r="D475" s="3" t="s">
        <v>705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2130220048</v>
      </c>
      <c r="L475" s="7">
        <f t="shared" si="15"/>
        <v>2130220049</v>
      </c>
      <c r="M475" s="7">
        <f t="shared" si="16"/>
        <v>2130220050</v>
      </c>
      <c r="N475" s="3" t="s">
        <v>179</v>
      </c>
      <c r="O475" s="5" t="s">
        <v>702</v>
      </c>
      <c r="P475" s="3" t="s">
        <v>66</v>
      </c>
      <c r="Q475" s="3" t="s">
        <v>180</v>
      </c>
      <c r="R475" s="2">
        <v>0</v>
      </c>
      <c r="S475" s="3" t="s">
        <v>314</v>
      </c>
      <c r="T475" s="3" t="s">
        <v>254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337</v>
      </c>
      <c r="AC475" s="2">
        <v>0</v>
      </c>
      <c r="AD475" s="3" t="s">
        <v>68</v>
      </c>
      <c r="AE475" s="3" t="s">
        <v>71</v>
      </c>
      <c r="AF475" s="3" t="s">
        <v>66</v>
      </c>
      <c r="AG475" s="3" t="s">
        <v>66</v>
      </c>
      <c r="AH475" s="3" t="s">
        <v>66</v>
      </c>
      <c r="AI475" s="3" t="s">
        <v>66</v>
      </c>
      <c r="AJ475" s="3" t="s">
        <v>66</v>
      </c>
      <c r="AK475" s="3" t="s">
        <v>66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3" t="s">
        <v>66</v>
      </c>
      <c r="BC475" s="3" t="s">
        <v>66</v>
      </c>
      <c r="BD475" s="2">
        <v>731096.00000000198</v>
      </c>
      <c r="BE475" s="2">
        <v>3761522</v>
      </c>
      <c r="BF475" s="4"/>
      <c r="BG475" s="4"/>
      <c r="BH475" s="4"/>
      <c r="BI475" s="2">
        <v>0</v>
      </c>
      <c r="BJ475" s="2">
        <v>0</v>
      </c>
    </row>
    <row r="476" spans="1:62" hidden="1" x14ac:dyDescent="0.35">
      <c r="A476" s="2">
        <v>104125</v>
      </c>
      <c r="B476" s="2">
        <v>474</v>
      </c>
      <c r="C476" s="3" t="s">
        <v>57</v>
      </c>
      <c r="D476" s="3" t="s">
        <v>705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2130220050</v>
      </c>
      <c r="L476" s="7">
        <f t="shared" si="15"/>
        <v>2130220050</v>
      </c>
      <c r="M476" s="7">
        <f t="shared" si="16"/>
        <v>2130220050</v>
      </c>
      <c r="N476" s="3" t="s">
        <v>179</v>
      </c>
      <c r="O476" s="5" t="s">
        <v>706</v>
      </c>
      <c r="P476" s="3" t="s">
        <v>707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66</v>
      </c>
      <c r="V476" s="3" t="s">
        <v>195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337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/>
      <c r="AZ476" s="2"/>
      <c r="BA476" s="2"/>
      <c r="BB476" s="3" t="s">
        <v>66</v>
      </c>
      <c r="BC476" s="3" t="s">
        <v>66</v>
      </c>
      <c r="BD476" s="2">
        <v>731089.00000000105</v>
      </c>
      <c r="BE476" s="2">
        <v>3761530</v>
      </c>
      <c r="BF476" s="4"/>
      <c r="BG476" s="4"/>
      <c r="BH476" s="4"/>
      <c r="BI476" s="2">
        <v>0</v>
      </c>
      <c r="BJ476" s="2">
        <v>0</v>
      </c>
    </row>
    <row r="477" spans="1:62" hidden="1" x14ac:dyDescent="0.35">
      <c r="A477" s="2">
        <v>104126</v>
      </c>
      <c r="B477" s="2">
        <v>475</v>
      </c>
      <c r="C477" s="3" t="s">
        <v>57</v>
      </c>
      <c r="D477" s="3" t="s">
        <v>708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2130220050</v>
      </c>
      <c r="L477" s="7">
        <f t="shared" si="15"/>
        <v>2130220050</v>
      </c>
      <c r="M477" s="7">
        <f t="shared" si="16"/>
        <v>2130220051</v>
      </c>
      <c r="N477" s="3" t="s">
        <v>179</v>
      </c>
      <c r="O477" s="5" t="s">
        <v>706</v>
      </c>
      <c r="P477" s="3" t="s">
        <v>66</v>
      </c>
      <c r="Q477" s="3" t="s">
        <v>180</v>
      </c>
      <c r="R477" s="2">
        <v>0</v>
      </c>
      <c r="S477" s="3" t="s">
        <v>314</v>
      </c>
      <c r="T477" s="3" t="s">
        <v>254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337</v>
      </c>
      <c r="AC477" s="2">
        <v>0</v>
      </c>
      <c r="AD477" s="3" t="s">
        <v>68</v>
      </c>
      <c r="AE477" s="3" t="s">
        <v>71</v>
      </c>
      <c r="AF477" s="3" t="s">
        <v>66</v>
      </c>
      <c r="AG477" s="3" t="s">
        <v>66</v>
      </c>
      <c r="AH477" s="3" t="s">
        <v>66</v>
      </c>
      <c r="AI477" s="3" t="s">
        <v>66</v>
      </c>
      <c r="AJ477" s="3" t="s">
        <v>66</v>
      </c>
      <c r="AK477" s="3" t="s">
        <v>66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3" t="s">
        <v>66</v>
      </c>
      <c r="BC477" s="3" t="s">
        <v>66</v>
      </c>
      <c r="BD477" s="2">
        <v>731089.00000000105</v>
      </c>
      <c r="BE477" s="2">
        <v>3761530</v>
      </c>
      <c r="BF477" s="4"/>
      <c r="BG477" s="4"/>
      <c r="BH477" s="4"/>
      <c r="BI477" s="2">
        <v>0</v>
      </c>
      <c r="BJ477" s="2">
        <v>0</v>
      </c>
    </row>
    <row r="478" spans="1:62" hidden="1" x14ac:dyDescent="0.35">
      <c r="A478" s="2">
        <v>104127</v>
      </c>
      <c r="B478" s="2">
        <v>476</v>
      </c>
      <c r="C478" s="3" t="s">
        <v>57</v>
      </c>
      <c r="D478" s="3" t="s">
        <v>708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2130220051</v>
      </c>
      <c r="L478" s="7">
        <f t="shared" si="15"/>
        <v>2130220051</v>
      </c>
      <c r="M478" s="7">
        <f t="shared" si="16"/>
        <v>2130220051</v>
      </c>
      <c r="N478" s="3" t="s">
        <v>179</v>
      </c>
      <c r="O478" s="5" t="s">
        <v>709</v>
      </c>
      <c r="P478" s="3" t="s">
        <v>684</v>
      </c>
      <c r="Q478" s="3" t="s">
        <v>180</v>
      </c>
      <c r="R478" s="2">
        <v>0</v>
      </c>
      <c r="S478" s="3" t="s">
        <v>314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337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/>
      <c r="AZ478" s="2"/>
      <c r="BA478" s="2"/>
      <c r="BB478" s="3" t="s">
        <v>66</v>
      </c>
      <c r="BC478" s="3" t="s">
        <v>66</v>
      </c>
      <c r="BD478" s="2">
        <v>731113</v>
      </c>
      <c r="BE478" s="2">
        <v>3761552</v>
      </c>
      <c r="BF478" s="4"/>
      <c r="BG478" s="4"/>
      <c r="BH478" s="4"/>
      <c r="BI478" s="2">
        <v>0</v>
      </c>
      <c r="BJ478" s="2">
        <v>0</v>
      </c>
    </row>
    <row r="479" spans="1:62" hidden="1" x14ac:dyDescent="0.35">
      <c r="A479" s="2">
        <v>104128</v>
      </c>
      <c r="B479" s="2">
        <v>477</v>
      </c>
      <c r="C479" s="3" t="s">
        <v>57</v>
      </c>
      <c r="D479" s="3" t="s">
        <v>710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2130220051</v>
      </c>
      <c r="L479" s="7">
        <f t="shared" si="15"/>
        <v>2130220051</v>
      </c>
      <c r="M479" s="7">
        <f t="shared" si="16"/>
        <v>2130220052</v>
      </c>
      <c r="N479" s="3" t="s">
        <v>179</v>
      </c>
      <c r="O479" s="5" t="s">
        <v>709</v>
      </c>
      <c r="P479" s="3" t="s">
        <v>66</v>
      </c>
      <c r="Q479" s="3" t="s">
        <v>180</v>
      </c>
      <c r="R479" s="2">
        <v>0</v>
      </c>
      <c r="S479" s="3" t="s">
        <v>314</v>
      </c>
      <c r="T479" s="3" t="s">
        <v>254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66</v>
      </c>
      <c r="AG479" s="3" t="s">
        <v>66</v>
      </c>
      <c r="AH479" s="3" t="s">
        <v>66</v>
      </c>
      <c r="AI479" s="3" t="s">
        <v>66</v>
      </c>
      <c r="AJ479" s="3" t="s">
        <v>66</v>
      </c>
      <c r="AK479" s="3" t="s">
        <v>66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3" t="s">
        <v>66</v>
      </c>
      <c r="BC479" s="3" t="s">
        <v>66</v>
      </c>
      <c r="BD479" s="2">
        <v>731113</v>
      </c>
      <c r="BE479" s="2">
        <v>3761552</v>
      </c>
      <c r="BF479" s="4"/>
      <c r="BG479" s="4"/>
      <c r="BH479" s="4"/>
      <c r="BI479" s="2">
        <v>0</v>
      </c>
      <c r="BJ479" s="2">
        <v>0</v>
      </c>
    </row>
    <row r="480" spans="1:62" x14ac:dyDescent="0.35">
      <c r="A480" s="2">
        <v>104129</v>
      </c>
      <c r="B480" s="2">
        <v>478</v>
      </c>
      <c r="C480" s="3" t="s">
        <v>57</v>
      </c>
      <c r="D480" s="3" t="s">
        <v>710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2130220052</v>
      </c>
      <c r="L480" s="7">
        <f t="shared" si="15"/>
        <v>2130220052</v>
      </c>
      <c r="M480" s="7">
        <f t="shared" si="16"/>
        <v>2130220052</v>
      </c>
      <c r="N480" s="3" t="s">
        <v>179</v>
      </c>
      <c r="O480" s="5" t="s">
        <v>711</v>
      </c>
      <c r="P480" s="3" t="s">
        <v>684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66</v>
      </c>
      <c r="V480" s="3" t="s">
        <v>195</v>
      </c>
      <c r="W480" s="3" t="s">
        <v>66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1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0</v>
      </c>
      <c r="BA480" s="2">
        <f>(($AQ480+$AS480+$AU480++$AT480+$AV480+$AW480+$AX480)/3)+(IF(($AP480+$AR480)&gt;=($AY480+$AZ480),(($AP480+$AR480)-($AY480+$AZ480)),0))</f>
        <v>0</v>
      </c>
      <c r="BB480" s="3" t="s">
        <v>66</v>
      </c>
      <c r="BC480" s="3" t="s">
        <v>66</v>
      </c>
      <c r="BD480" s="2">
        <v>731146</v>
      </c>
      <c r="BE480" s="2">
        <v>3761570</v>
      </c>
      <c r="BF480" s="4"/>
      <c r="BG480" s="4"/>
      <c r="BH480" s="4"/>
      <c r="BI480" s="2">
        <v>0</v>
      </c>
      <c r="BJ480" s="2">
        <v>0</v>
      </c>
    </row>
    <row r="481" spans="1:62" hidden="1" x14ac:dyDescent="0.35">
      <c r="A481" s="2">
        <v>104130</v>
      </c>
      <c r="B481" s="2">
        <v>479</v>
      </c>
      <c r="C481" s="3" t="s">
        <v>57</v>
      </c>
      <c r="D481" s="3" t="s">
        <v>712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2130220050</v>
      </c>
      <c r="L481" s="7">
        <f t="shared" si="15"/>
        <v>2130220052</v>
      </c>
      <c r="M481" s="7">
        <f t="shared" si="16"/>
        <v>2130220053</v>
      </c>
      <c r="N481" s="3" t="s">
        <v>179</v>
      </c>
      <c r="O481" s="5" t="s">
        <v>706</v>
      </c>
      <c r="P481" s="3" t="s">
        <v>66</v>
      </c>
      <c r="Q481" s="3" t="s">
        <v>180</v>
      </c>
      <c r="R481" s="2">
        <v>0</v>
      </c>
      <c r="S481" s="3" t="s">
        <v>314</v>
      </c>
      <c r="T481" s="3" t="s">
        <v>254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66</v>
      </c>
      <c r="AG481" s="3" t="s">
        <v>66</v>
      </c>
      <c r="AH481" s="3" t="s">
        <v>66</v>
      </c>
      <c r="AI481" s="3" t="s">
        <v>66</v>
      </c>
      <c r="AJ481" s="3" t="s">
        <v>66</v>
      </c>
      <c r="AK481" s="3" t="s">
        <v>66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3" t="s">
        <v>66</v>
      </c>
      <c r="BC481" s="3" t="s">
        <v>66</v>
      </c>
      <c r="BD481" s="2">
        <v>731089.00000000105</v>
      </c>
      <c r="BE481" s="2">
        <v>3761530</v>
      </c>
      <c r="BF481" s="4"/>
      <c r="BG481" s="4"/>
      <c r="BH481" s="4"/>
      <c r="BI481" s="2">
        <v>0</v>
      </c>
      <c r="BJ481" s="2">
        <v>0</v>
      </c>
    </row>
    <row r="482" spans="1:62" x14ac:dyDescent="0.35">
      <c r="A482" s="2">
        <v>104131</v>
      </c>
      <c r="B482" s="2">
        <v>480</v>
      </c>
      <c r="C482" s="3" t="s">
        <v>57</v>
      </c>
      <c r="D482" s="3" t="s">
        <v>712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2130220053</v>
      </c>
      <c r="L482" s="7">
        <f t="shared" si="15"/>
        <v>2130220053</v>
      </c>
      <c r="M482" s="7">
        <f t="shared" si="16"/>
        <v>2130220053</v>
      </c>
      <c r="N482" s="3" t="s">
        <v>179</v>
      </c>
      <c r="O482" s="5" t="s">
        <v>713</v>
      </c>
      <c r="P482" s="3" t="s">
        <v>707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66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3" t="s">
        <v>66</v>
      </c>
      <c r="BC482" s="3" t="s">
        <v>66</v>
      </c>
      <c r="BD482" s="2">
        <v>731079.00000000105</v>
      </c>
      <c r="BE482" s="2">
        <v>3761552</v>
      </c>
      <c r="BF482" s="4"/>
      <c r="BG482" s="4"/>
      <c r="BH482" s="4"/>
      <c r="BI482" s="2">
        <v>0</v>
      </c>
      <c r="BJ482" s="2">
        <v>0</v>
      </c>
    </row>
    <row r="483" spans="1:62" hidden="1" x14ac:dyDescent="0.35">
      <c r="A483" s="2">
        <v>104132</v>
      </c>
      <c r="B483" s="2">
        <v>481</v>
      </c>
      <c r="C483" s="3" t="s">
        <v>57</v>
      </c>
      <c r="D483" s="3" t="s">
        <v>714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2130220053</v>
      </c>
      <c r="L483" s="7">
        <f t="shared" si="15"/>
        <v>2130220053</v>
      </c>
      <c r="M483" s="7">
        <f t="shared" si="16"/>
        <v>2130220054</v>
      </c>
      <c r="N483" s="3" t="s">
        <v>179</v>
      </c>
      <c r="O483" s="5" t="s">
        <v>713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3" t="s">
        <v>66</v>
      </c>
      <c r="BC483" s="3" t="s">
        <v>66</v>
      </c>
      <c r="BD483" s="2">
        <v>731079.00000000105</v>
      </c>
      <c r="BE483" s="2">
        <v>3761552</v>
      </c>
      <c r="BF483" s="4"/>
      <c r="BG483" s="4"/>
      <c r="BH483" s="4"/>
      <c r="BI483" s="2">
        <v>0</v>
      </c>
      <c r="BJ483" s="2">
        <v>0</v>
      </c>
    </row>
    <row r="484" spans="1:62" x14ac:dyDescent="0.35">
      <c r="A484" s="2">
        <v>104133</v>
      </c>
      <c r="B484" s="2">
        <v>482</v>
      </c>
      <c r="C484" s="3" t="s">
        <v>57</v>
      </c>
      <c r="D484" s="3" t="s">
        <v>714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2130220054</v>
      </c>
      <c r="L484" s="7">
        <f t="shared" si="15"/>
        <v>2130220054</v>
      </c>
      <c r="M484" s="7">
        <f t="shared" si="16"/>
        <v>2130220054</v>
      </c>
      <c r="N484" s="3" t="s">
        <v>179</v>
      </c>
      <c r="O484" s="5" t="s">
        <v>715</v>
      </c>
      <c r="P484" s="3" t="s">
        <v>716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66</v>
      </c>
      <c r="V484" s="3" t="s">
        <v>66</v>
      </c>
      <c r="W484" s="3" t="s">
        <v>195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2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1</v>
      </c>
      <c r="AZ484" s="2">
        <f>(($AQ484+$AS484+$AU484++$AT484+$AV484+$AW484+$AX484)/3)+IF(($AP484+$AR484)&gt;=1,ROUNDDOWN(($AP484+$AR484)/3,0),0)</f>
        <v>0</v>
      </c>
      <c r="BA484" s="2">
        <f>(($AQ484+$AS484+$AU484++$AT484+$AV484+$AW484+$AX484)/3)+(IF(($AP484+$AR484)&gt;=($AY484+$AZ484),(($AP484+$AR484)-($AY484+$AZ484)),0))</f>
        <v>1</v>
      </c>
      <c r="BB484" s="3" t="s">
        <v>66</v>
      </c>
      <c r="BC484" s="3" t="s">
        <v>66</v>
      </c>
      <c r="BD484" s="2">
        <v>731051.00000000105</v>
      </c>
      <c r="BE484" s="2">
        <v>3761528</v>
      </c>
      <c r="BF484" s="4"/>
      <c r="BG484" s="4"/>
      <c r="BH484" s="4"/>
      <c r="BI484" s="2">
        <v>0</v>
      </c>
      <c r="BJ484" s="2">
        <v>0</v>
      </c>
    </row>
    <row r="485" spans="1:62" hidden="1" x14ac:dyDescent="0.35">
      <c r="A485" s="2">
        <v>104134</v>
      </c>
      <c r="B485" s="2">
        <v>483</v>
      </c>
      <c r="C485" s="3" t="s">
        <v>57</v>
      </c>
      <c r="D485" s="3" t="s">
        <v>717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2130220053</v>
      </c>
      <c r="L485" s="7">
        <f t="shared" si="15"/>
        <v>2130220054</v>
      </c>
      <c r="M485" s="7">
        <f t="shared" si="16"/>
        <v>2130220055</v>
      </c>
      <c r="N485" s="3" t="s">
        <v>179</v>
      </c>
      <c r="O485" s="5" t="s">
        <v>713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3" t="s">
        <v>66</v>
      </c>
      <c r="BC485" s="3" t="s">
        <v>66</v>
      </c>
      <c r="BD485" s="2">
        <v>731079.00000000105</v>
      </c>
      <c r="BE485" s="2">
        <v>3761552</v>
      </c>
      <c r="BF485" s="4"/>
      <c r="BG485" s="4"/>
      <c r="BH485" s="4"/>
      <c r="BI485" s="2">
        <v>0</v>
      </c>
      <c r="BJ485" s="2">
        <v>0</v>
      </c>
    </row>
    <row r="486" spans="1:62" x14ac:dyDescent="0.35">
      <c r="A486" s="2">
        <v>104135</v>
      </c>
      <c r="B486" s="2">
        <v>484</v>
      </c>
      <c r="C486" s="3" t="s">
        <v>57</v>
      </c>
      <c r="D486" s="3" t="s">
        <v>717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2130220055</v>
      </c>
      <c r="L486" s="7">
        <f t="shared" si="15"/>
        <v>2130220055</v>
      </c>
      <c r="M486" s="7">
        <f t="shared" si="16"/>
        <v>2130220055</v>
      </c>
      <c r="N486" s="3" t="s">
        <v>179</v>
      </c>
      <c r="O486" s="5" t="s">
        <v>718</v>
      </c>
      <c r="P486" s="3" t="s">
        <v>684</v>
      </c>
      <c r="Q486" s="3" t="s">
        <v>180</v>
      </c>
      <c r="R486" s="2">
        <v>0</v>
      </c>
      <c r="S486" s="3" t="s">
        <v>73</v>
      </c>
      <c r="T486" s="3" t="s">
        <v>254</v>
      </c>
      <c r="U486" s="3" t="s">
        <v>66</v>
      </c>
      <c r="V486" s="3" t="s">
        <v>195</v>
      </c>
      <c r="W486" s="3" t="s">
        <v>66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1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>
        <f>(($AQ486+$AS486+$AU486++$AT486+$AV486+$AW486+$AX486)/3)+IF(($AP486+$AR486)&gt;=1,ROUNDUP(($AP486+$AR486)/3,0),0)</f>
        <v>1</v>
      </c>
      <c r="AZ486" s="2">
        <f>(($AQ486+$AS486+$AU486++$AT486+$AV486+$AW486+$AX486)/3)+IF(($AP486+$AR486)&gt;=1,ROUNDDOWN(($AP486+$AR486)/3,0),0)</f>
        <v>0</v>
      </c>
      <c r="BA486" s="2">
        <f>(($AQ486+$AS486+$AU486++$AT486+$AV486+$AW486+$AX486)/3)+(IF(($AP486+$AR486)&gt;=($AY486+$AZ486),(($AP486+$AR486)-($AY486+$AZ486)),0))</f>
        <v>0</v>
      </c>
      <c r="BB486" s="3" t="s">
        <v>66</v>
      </c>
      <c r="BC486" s="3" t="s">
        <v>66</v>
      </c>
      <c r="BD486" s="2">
        <v>731028.00000000105</v>
      </c>
      <c r="BE486" s="2">
        <v>3761584</v>
      </c>
      <c r="BF486" s="4"/>
      <c r="BG486" s="4"/>
      <c r="BH486" s="4"/>
      <c r="BI486" s="2">
        <v>0</v>
      </c>
      <c r="BJ486" s="2">
        <v>0</v>
      </c>
    </row>
    <row r="487" spans="1:62" hidden="1" x14ac:dyDescent="0.35">
      <c r="A487" s="2">
        <v>104136</v>
      </c>
      <c r="B487" s="2">
        <v>485</v>
      </c>
      <c r="C487" s="3" t="s">
        <v>57</v>
      </c>
      <c r="D487" s="3" t="s">
        <v>719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2130220055</v>
      </c>
      <c r="L487" s="7">
        <f t="shared" si="15"/>
        <v>2130220055</v>
      </c>
      <c r="M487" s="7">
        <f t="shared" si="16"/>
        <v>2130220056</v>
      </c>
      <c r="N487" s="3" t="s">
        <v>179</v>
      </c>
      <c r="O487" s="5" t="s">
        <v>718</v>
      </c>
      <c r="P487" s="3" t="s">
        <v>66</v>
      </c>
      <c r="Q487" s="3" t="s">
        <v>180</v>
      </c>
      <c r="R487" s="2">
        <v>0</v>
      </c>
      <c r="S487" s="3" t="s">
        <v>73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3" t="s">
        <v>66</v>
      </c>
      <c r="BC487" s="3" t="s">
        <v>66</v>
      </c>
      <c r="BD487" s="2">
        <v>731028.00000000105</v>
      </c>
      <c r="BE487" s="2">
        <v>3761584</v>
      </c>
      <c r="BF487" s="4"/>
      <c r="BG487" s="4"/>
      <c r="BH487" s="4"/>
      <c r="BI487" s="2">
        <v>0</v>
      </c>
      <c r="BJ487" s="2">
        <v>0</v>
      </c>
    </row>
    <row r="488" spans="1:62" hidden="1" x14ac:dyDescent="0.35">
      <c r="A488" s="2">
        <v>104137</v>
      </c>
      <c r="B488" s="2">
        <v>486</v>
      </c>
      <c r="C488" s="3" t="s">
        <v>57</v>
      </c>
      <c r="D488" s="3" t="s">
        <v>719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2130220056</v>
      </c>
      <c r="L488" s="7">
        <f t="shared" si="15"/>
        <v>2130220056</v>
      </c>
      <c r="M488" s="7">
        <f t="shared" si="16"/>
        <v>2130220056</v>
      </c>
      <c r="N488" s="3" t="s">
        <v>179</v>
      </c>
      <c r="O488" s="5" t="s">
        <v>720</v>
      </c>
      <c r="P488" s="3" t="s">
        <v>684</v>
      </c>
      <c r="Q488" s="3" t="s">
        <v>180</v>
      </c>
      <c r="R488" s="2">
        <v>0</v>
      </c>
      <c r="S488" s="3" t="s">
        <v>73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3" t="s">
        <v>66</v>
      </c>
      <c r="BC488" s="3" t="s">
        <v>66</v>
      </c>
      <c r="BD488" s="2">
        <v>730972</v>
      </c>
      <c r="BE488" s="2">
        <v>3761623</v>
      </c>
      <c r="BF488" s="4"/>
      <c r="BG488" s="4"/>
      <c r="BH488" s="4"/>
      <c r="BI488" s="2">
        <v>0</v>
      </c>
      <c r="BJ488" s="2">
        <v>0</v>
      </c>
    </row>
    <row r="489" spans="1:62" hidden="1" x14ac:dyDescent="0.35">
      <c r="A489" s="2">
        <v>104138</v>
      </c>
      <c r="B489" s="2">
        <v>487</v>
      </c>
      <c r="C489" s="3" t="s">
        <v>57</v>
      </c>
      <c r="D489" s="3" t="s">
        <v>721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2130220056</v>
      </c>
      <c r="L489" s="7">
        <f t="shared" si="15"/>
        <v>2130220056</v>
      </c>
      <c r="M489" s="7">
        <f t="shared" si="16"/>
        <v>2130220057</v>
      </c>
      <c r="N489" s="3" t="s">
        <v>179</v>
      </c>
      <c r="O489" s="5" t="s">
        <v>720</v>
      </c>
      <c r="P489" s="3" t="s">
        <v>66</v>
      </c>
      <c r="Q489" s="3" t="s">
        <v>180</v>
      </c>
      <c r="R489" s="2">
        <v>0</v>
      </c>
      <c r="S489" s="3" t="s">
        <v>73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3" t="s">
        <v>66</v>
      </c>
      <c r="BC489" s="3" t="s">
        <v>66</v>
      </c>
      <c r="BD489" s="2">
        <v>730972</v>
      </c>
      <c r="BE489" s="2">
        <v>3761623</v>
      </c>
      <c r="BF489" s="4"/>
      <c r="BG489" s="4"/>
      <c r="BH489" s="4"/>
      <c r="BI489" s="2">
        <v>0</v>
      </c>
      <c r="BJ489" s="2">
        <v>0</v>
      </c>
    </row>
    <row r="490" spans="1:62" x14ac:dyDescent="0.35">
      <c r="A490" s="2">
        <v>104139</v>
      </c>
      <c r="B490" s="2">
        <v>488</v>
      </c>
      <c r="C490" s="3" t="s">
        <v>57</v>
      </c>
      <c r="D490" s="3" t="s">
        <v>721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2130220057</v>
      </c>
      <c r="L490" s="7">
        <f t="shared" si="15"/>
        <v>2130220057</v>
      </c>
      <c r="M490" s="7">
        <f t="shared" si="16"/>
        <v>2130220057</v>
      </c>
      <c r="N490" s="3" t="s">
        <v>179</v>
      </c>
      <c r="O490" s="5" t="s">
        <v>722</v>
      </c>
      <c r="P490" s="3" t="s">
        <v>684</v>
      </c>
      <c r="Q490" s="3" t="s">
        <v>180</v>
      </c>
      <c r="R490" s="2">
        <v>0</v>
      </c>
      <c r="S490" s="3" t="s">
        <v>73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4</v>
      </c>
      <c r="AZ490" s="2">
        <f>(($AQ490+$AS490+$AU490++$AT490+$AV490+$AW490+$AX490)/3)+IF(($AP490+$AR490)&gt;=1,ROUNDDOWN(($AP490+$AR490)/3,0),0)</f>
        <v>3</v>
      </c>
      <c r="BA490" s="2">
        <f>(($AQ490+$AS490+$AU490++$AT490+$AV490+$AW490+$AX490)/3)+(IF(($AP490+$AR490)&gt;=($AY490+$AZ490),(($AP490+$AR490)-($AY490+$AZ490)),0))</f>
        <v>4</v>
      </c>
      <c r="BB490" s="3" t="s">
        <v>66</v>
      </c>
      <c r="BC490" s="3" t="s">
        <v>66</v>
      </c>
      <c r="BD490" s="2">
        <v>730918.00000000105</v>
      </c>
      <c r="BE490" s="2">
        <v>3761669</v>
      </c>
      <c r="BF490" s="4"/>
      <c r="BG490" s="4"/>
      <c r="BH490" s="4"/>
      <c r="BI490" s="2">
        <v>0</v>
      </c>
      <c r="BJ490" s="2">
        <v>0</v>
      </c>
    </row>
    <row r="491" spans="1:62" ht="58" hidden="1" x14ac:dyDescent="0.35">
      <c r="A491" s="2">
        <v>104140</v>
      </c>
      <c r="B491" s="2">
        <v>489</v>
      </c>
      <c r="C491" s="3" t="s">
        <v>57</v>
      </c>
      <c r="D491" s="3" t="s">
        <v>723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17170920172</v>
      </c>
      <c r="L491" s="7">
        <f t="shared" si="15"/>
        <v>2130220057</v>
      </c>
      <c r="M491" s="7">
        <f t="shared" si="16"/>
        <v>2130220059</v>
      </c>
      <c r="N491" s="3" t="s">
        <v>179</v>
      </c>
      <c r="O491" s="5" t="s">
        <v>354</v>
      </c>
      <c r="P491" s="3" t="s">
        <v>66</v>
      </c>
      <c r="Q491" s="3" t="s">
        <v>180</v>
      </c>
      <c r="R491" s="2">
        <v>0</v>
      </c>
      <c r="S491" s="3" t="s">
        <v>66</v>
      </c>
      <c r="T491" s="3" t="s">
        <v>168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349</v>
      </c>
      <c r="AC491" s="2">
        <v>0</v>
      </c>
      <c r="AD491" s="3" t="s">
        <v>68</v>
      </c>
      <c r="AE491" s="3" t="s">
        <v>71</v>
      </c>
      <c r="AF491" s="3" t="s">
        <v>172</v>
      </c>
      <c r="AG491" s="3" t="s">
        <v>173</v>
      </c>
      <c r="AH491" s="3" t="s">
        <v>350</v>
      </c>
      <c r="AI491" s="3" t="s">
        <v>66</v>
      </c>
      <c r="AJ491" s="3" t="s">
        <v>66</v>
      </c>
      <c r="AK491" s="3" t="s">
        <v>205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3" t="s">
        <v>351</v>
      </c>
      <c r="BC491" s="3" t="s">
        <v>352</v>
      </c>
      <c r="BD491" s="2">
        <v>731161.00000000105</v>
      </c>
      <c r="BE491" s="2">
        <v>3761400</v>
      </c>
      <c r="BF491" s="4"/>
      <c r="BG491" s="4"/>
      <c r="BH491" s="4"/>
      <c r="BI491" s="4"/>
      <c r="BJ491" s="2">
        <v>0</v>
      </c>
    </row>
    <row r="492" spans="1:62" x14ac:dyDescent="0.35">
      <c r="A492" s="2">
        <v>104141</v>
      </c>
      <c r="B492" s="2">
        <v>490</v>
      </c>
      <c r="C492" s="3" t="s">
        <v>57</v>
      </c>
      <c r="D492" s="3" t="s">
        <v>723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2130220059</v>
      </c>
      <c r="L492" s="7">
        <f t="shared" si="15"/>
        <v>2130220059</v>
      </c>
      <c r="M492" s="7">
        <f t="shared" si="16"/>
        <v>2130220059</v>
      </c>
      <c r="N492" s="3" t="s">
        <v>179</v>
      </c>
      <c r="O492" s="5" t="s">
        <v>724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349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7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3</v>
      </c>
      <c r="AZ492" s="2">
        <f>(($AQ492+$AS492+$AU492++$AT492+$AV492+$AW492+$AX492)/3)+IF(($AP492+$AR492)&gt;=1,ROUNDDOWN(($AP492+$AR492)/3,0),0)</f>
        <v>2</v>
      </c>
      <c r="BA492" s="2">
        <f>(($AQ492+$AS492+$AU492++$AT492+$AV492+$AW492+$AX492)/3)+(IF(($AP492+$AR492)&gt;=($AY492+$AZ492),(($AP492+$AR492)-($AY492+$AZ492)),0))</f>
        <v>2</v>
      </c>
      <c r="BB492" s="3" t="s">
        <v>66</v>
      </c>
      <c r="BC492" s="3" t="s">
        <v>66</v>
      </c>
      <c r="BD492" s="2">
        <v>731131</v>
      </c>
      <c r="BE492" s="2">
        <v>3761371</v>
      </c>
      <c r="BF492" s="4"/>
      <c r="BG492" s="4"/>
      <c r="BH492" s="4"/>
      <c r="BI492" s="2">
        <v>0</v>
      </c>
      <c r="BJ492" s="2">
        <v>0</v>
      </c>
    </row>
    <row r="493" spans="1:62" ht="58" hidden="1" x14ac:dyDescent="0.35">
      <c r="A493" s="2">
        <v>104142</v>
      </c>
      <c r="B493" s="2">
        <v>491</v>
      </c>
      <c r="C493" s="3" t="s">
        <v>57</v>
      </c>
      <c r="D493" s="3" t="s">
        <v>725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17170920172</v>
      </c>
      <c r="L493" s="7">
        <f t="shared" si="15"/>
        <v>2130220059</v>
      </c>
      <c r="M493" s="7">
        <f t="shared" si="16"/>
        <v>2130220060</v>
      </c>
      <c r="N493" s="3" t="s">
        <v>179</v>
      </c>
      <c r="O493" s="5" t="s">
        <v>354</v>
      </c>
      <c r="P493" s="3" t="s">
        <v>66</v>
      </c>
      <c r="Q493" s="3" t="s">
        <v>180</v>
      </c>
      <c r="R493" s="2">
        <v>0</v>
      </c>
      <c r="S493" s="3" t="s">
        <v>66</v>
      </c>
      <c r="T493" s="3" t="s">
        <v>168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349</v>
      </c>
      <c r="AC493" s="2">
        <v>0</v>
      </c>
      <c r="AD493" s="3" t="s">
        <v>68</v>
      </c>
      <c r="AE493" s="3" t="s">
        <v>71</v>
      </c>
      <c r="AF493" s="3" t="s">
        <v>172</v>
      </c>
      <c r="AG493" s="3" t="s">
        <v>173</v>
      </c>
      <c r="AH493" s="3" t="s">
        <v>350</v>
      </c>
      <c r="AI493" s="3" t="s">
        <v>66</v>
      </c>
      <c r="AJ493" s="3" t="s">
        <v>66</v>
      </c>
      <c r="AK493" s="3" t="s">
        <v>205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3" t="s">
        <v>351</v>
      </c>
      <c r="BC493" s="3" t="s">
        <v>352</v>
      </c>
      <c r="BD493" s="2">
        <v>731161.00000000105</v>
      </c>
      <c r="BE493" s="2">
        <v>3761400</v>
      </c>
      <c r="BF493" s="4"/>
      <c r="BG493" s="4"/>
      <c r="BH493" s="4"/>
      <c r="BI493" s="4"/>
      <c r="BJ493" s="2">
        <v>0</v>
      </c>
    </row>
    <row r="494" spans="1:62" x14ac:dyDescent="0.35">
      <c r="A494" s="2">
        <v>104143</v>
      </c>
      <c r="B494" s="2">
        <v>492</v>
      </c>
      <c r="C494" s="3" t="s">
        <v>57</v>
      </c>
      <c r="D494" s="3" t="s">
        <v>725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2130220060</v>
      </c>
      <c r="L494" s="7">
        <f t="shared" si="15"/>
        <v>2130220060</v>
      </c>
      <c r="M494" s="7">
        <f t="shared" si="16"/>
        <v>2130220060</v>
      </c>
      <c r="N494" s="3" t="s">
        <v>179</v>
      </c>
      <c r="O494" s="5" t="s">
        <v>726</v>
      </c>
      <c r="P494" s="3" t="s">
        <v>183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195</v>
      </c>
      <c r="V494" s="3" t="s">
        <v>195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349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3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1</v>
      </c>
      <c r="BA494" s="2">
        <f>(($AQ494+$AS494+$AU494++$AT494+$AV494+$AW494+$AX494)/3)+(IF(($AP494+$AR494)&gt;=($AY494+$AZ494),(($AP494+$AR494)-($AY494+$AZ494)),0))</f>
        <v>1</v>
      </c>
      <c r="BB494" s="3" t="s">
        <v>66</v>
      </c>
      <c r="BC494" s="3" t="s">
        <v>66</v>
      </c>
      <c r="BD494" s="2">
        <v>731177</v>
      </c>
      <c r="BE494" s="2">
        <v>3761371</v>
      </c>
      <c r="BF494" s="4"/>
      <c r="BG494" s="4"/>
      <c r="BH494" s="4"/>
      <c r="BI494" s="2">
        <v>0</v>
      </c>
      <c r="BJ494" s="2">
        <v>0</v>
      </c>
    </row>
    <row r="495" spans="1:62" hidden="1" x14ac:dyDescent="0.35">
      <c r="A495" s="2">
        <v>104144</v>
      </c>
      <c r="B495" s="2">
        <v>493</v>
      </c>
      <c r="C495" s="3" t="s">
        <v>57</v>
      </c>
      <c r="D495" s="3" t="s">
        <v>727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2130220060</v>
      </c>
      <c r="L495" s="7">
        <f t="shared" si="15"/>
        <v>2130220060</v>
      </c>
      <c r="M495" s="7">
        <f t="shared" si="16"/>
        <v>2130220061</v>
      </c>
      <c r="N495" s="3" t="s">
        <v>179</v>
      </c>
      <c r="O495" s="5" t="s">
        <v>726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349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3" t="s">
        <v>66</v>
      </c>
      <c r="BC495" s="3" t="s">
        <v>66</v>
      </c>
      <c r="BD495" s="2">
        <v>731177</v>
      </c>
      <c r="BE495" s="2">
        <v>3761371</v>
      </c>
      <c r="BF495" s="4"/>
      <c r="BG495" s="4"/>
      <c r="BH495" s="4"/>
      <c r="BI495" s="2">
        <v>0</v>
      </c>
      <c r="BJ495" s="2">
        <v>0</v>
      </c>
    </row>
    <row r="496" spans="1:62" x14ac:dyDescent="0.35">
      <c r="A496" s="2">
        <v>104145</v>
      </c>
      <c r="B496" s="2">
        <v>494</v>
      </c>
      <c r="C496" s="3" t="s">
        <v>57</v>
      </c>
      <c r="D496" s="3" t="s">
        <v>727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2130220061</v>
      </c>
      <c r="L496" s="7">
        <f t="shared" si="15"/>
        <v>2130220061</v>
      </c>
      <c r="M496" s="7">
        <f t="shared" si="16"/>
        <v>2130220061</v>
      </c>
      <c r="N496" s="3" t="s">
        <v>179</v>
      </c>
      <c r="O496" s="5" t="s">
        <v>728</v>
      </c>
      <c r="P496" s="3" t="s">
        <v>183</v>
      </c>
      <c r="Q496" s="3" t="s">
        <v>180</v>
      </c>
      <c r="R496" s="2">
        <v>0</v>
      </c>
      <c r="S496" s="3" t="s">
        <v>314</v>
      </c>
      <c r="T496" s="3" t="s">
        <v>254</v>
      </c>
      <c r="U496" s="3" t="s">
        <v>195</v>
      </c>
      <c r="V496" s="3" t="s">
        <v>195</v>
      </c>
      <c r="W496" s="3" t="s">
        <v>195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349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5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2</v>
      </c>
      <c r="AZ496" s="2">
        <f>(($AQ496+$AS496+$AU496++$AT496+$AV496+$AW496+$AX496)/3)+IF(($AP496+$AR496)&gt;=1,ROUNDDOWN(($AP496+$AR496)/3,0),0)</f>
        <v>1</v>
      </c>
      <c r="BA496" s="2">
        <f>(($AQ496+$AS496+$AU496++$AT496+$AV496+$AW496+$AX496)/3)+(IF(($AP496+$AR496)&gt;=($AY496+$AZ496),(($AP496+$AR496)-($AY496+$AZ496)),0))</f>
        <v>2</v>
      </c>
      <c r="BB496" s="3" t="s">
        <v>66</v>
      </c>
      <c r="BC496" s="3" t="s">
        <v>66</v>
      </c>
      <c r="BD496" s="2">
        <v>731200</v>
      </c>
      <c r="BE496" s="2">
        <v>3761343</v>
      </c>
      <c r="BF496" s="4"/>
      <c r="BG496" s="4"/>
      <c r="BH496" s="4"/>
      <c r="BI496" s="2">
        <v>0</v>
      </c>
      <c r="BJ496" s="2">
        <v>0</v>
      </c>
    </row>
    <row r="497" spans="1:62" ht="58" hidden="1" x14ac:dyDescent="0.35">
      <c r="A497" s="2">
        <v>104146</v>
      </c>
      <c r="B497" s="2">
        <v>495</v>
      </c>
      <c r="C497" s="3" t="s">
        <v>57</v>
      </c>
      <c r="D497" s="3" t="s">
        <v>729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17170920172</v>
      </c>
      <c r="L497" s="7">
        <f t="shared" si="15"/>
        <v>2130220061</v>
      </c>
      <c r="M497" s="7">
        <f t="shared" si="16"/>
        <v>2130220062</v>
      </c>
      <c r="N497" s="3" t="s">
        <v>179</v>
      </c>
      <c r="O497" s="5" t="s">
        <v>354</v>
      </c>
      <c r="P497" s="3" t="s">
        <v>66</v>
      </c>
      <c r="Q497" s="3" t="s">
        <v>180</v>
      </c>
      <c r="R497" s="2">
        <v>0</v>
      </c>
      <c r="S497" s="3" t="s">
        <v>66</v>
      </c>
      <c r="T497" s="3" t="s">
        <v>168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349</v>
      </c>
      <c r="AC497" s="2">
        <v>0</v>
      </c>
      <c r="AD497" s="3" t="s">
        <v>68</v>
      </c>
      <c r="AE497" s="3" t="s">
        <v>71</v>
      </c>
      <c r="AF497" s="3" t="s">
        <v>172</v>
      </c>
      <c r="AG497" s="3" t="s">
        <v>173</v>
      </c>
      <c r="AH497" s="3" t="s">
        <v>350</v>
      </c>
      <c r="AI497" s="3" t="s">
        <v>66</v>
      </c>
      <c r="AJ497" s="3" t="s">
        <v>66</v>
      </c>
      <c r="AK497" s="3" t="s">
        <v>205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3" t="s">
        <v>351</v>
      </c>
      <c r="BC497" s="3" t="s">
        <v>352</v>
      </c>
      <c r="BD497" s="2">
        <v>731161.00000000105</v>
      </c>
      <c r="BE497" s="2">
        <v>3761400</v>
      </c>
      <c r="BF497" s="4"/>
      <c r="BG497" s="4"/>
      <c r="BH497" s="4"/>
      <c r="BI497" s="4"/>
      <c r="BJ497" s="2">
        <v>0</v>
      </c>
    </row>
    <row r="498" spans="1:62" x14ac:dyDescent="0.35">
      <c r="A498" s="2">
        <v>104147</v>
      </c>
      <c r="B498" s="2">
        <v>496</v>
      </c>
      <c r="C498" s="3" t="s">
        <v>57</v>
      </c>
      <c r="D498" s="3" t="s">
        <v>729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2130220062</v>
      </c>
      <c r="L498" s="7">
        <f t="shared" si="15"/>
        <v>2130220062</v>
      </c>
      <c r="M498" s="7">
        <f t="shared" si="16"/>
        <v>2130220062</v>
      </c>
      <c r="N498" s="3" t="s">
        <v>179</v>
      </c>
      <c r="O498" s="5" t="s">
        <v>730</v>
      </c>
      <c r="P498" s="3" t="s">
        <v>183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195</v>
      </c>
      <c r="V498" s="3" t="s">
        <v>195</v>
      </c>
      <c r="W498" s="3" t="s">
        <v>195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349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3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>
        <f>(($AQ498+$AS498+$AU498++$AT498+$AV498+$AW498+$AX498)/3)+IF(($AP498+$AR498)&gt;=1,ROUNDUP(($AP498+$AR498)/3,0),0)</f>
        <v>1</v>
      </c>
      <c r="AZ498" s="2">
        <f>(($AQ498+$AS498+$AU498++$AT498+$AV498+$AW498+$AX498)/3)+IF(($AP498+$AR498)&gt;=1,ROUNDDOWN(($AP498+$AR498)/3,0),0)</f>
        <v>1</v>
      </c>
      <c r="BA498" s="2">
        <f>(($AQ498+$AS498+$AU498++$AT498+$AV498+$AW498+$AX498)/3)+(IF(($AP498+$AR498)&gt;=($AY498+$AZ498),(($AP498+$AR498)-($AY498+$AZ498)),0))</f>
        <v>1</v>
      </c>
      <c r="BB498" s="3" t="s">
        <v>66</v>
      </c>
      <c r="BC498" s="3" t="s">
        <v>66</v>
      </c>
      <c r="BD498" s="2">
        <v>731152</v>
      </c>
      <c r="BE498" s="2">
        <v>3761431</v>
      </c>
      <c r="BF498" s="4"/>
      <c r="BG498" s="4"/>
      <c r="BH498" s="4"/>
      <c r="BI498" s="2">
        <v>0</v>
      </c>
      <c r="BJ498" s="2">
        <v>0</v>
      </c>
    </row>
    <row r="499" spans="1:62" hidden="1" x14ac:dyDescent="0.35">
      <c r="A499" s="2">
        <v>104148</v>
      </c>
      <c r="B499" s="2">
        <v>497</v>
      </c>
      <c r="C499" s="3" t="s">
        <v>57</v>
      </c>
      <c r="D499" s="3" t="s">
        <v>731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2130220062</v>
      </c>
      <c r="L499" s="7">
        <f t="shared" si="15"/>
        <v>2130220062</v>
      </c>
      <c r="M499" s="7">
        <f t="shared" si="16"/>
        <v>2130220063</v>
      </c>
      <c r="N499" s="3" t="s">
        <v>179</v>
      </c>
      <c r="O499" s="5" t="s">
        <v>730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349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3" t="s">
        <v>66</v>
      </c>
      <c r="BC499" s="3" t="s">
        <v>66</v>
      </c>
      <c r="BD499" s="2">
        <v>731152</v>
      </c>
      <c r="BE499" s="2">
        <v>3761431</v>
      </c>
      <c r="BF499" s="4"/>
      <c r="BG499" s="4"/>
      <c r="BH499" s="4"/>
      <c r="BI499" s="2">
        <v>0</v>
      </c>
      <c r="BJ499" s="2">
        <v>0</v>
      </c>
    </row>
    <row r="500" spans="1:62" x14ac:dyDescent="0.35">
      <c r="A500" s="2">
        <v>104149</v>
      </c>
      <c r="B500" s="2">
        <v>498</v>
      </c>
      <c r="C500" s="3" t="s">
        <v>57</v>
      </c>
      <c r="D500" s="3" t="s">
        <v>731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2130220063</v>
      </c>
      <c r="L500" s="7">
        <f t="shared" si="15"/>
        <v>2130220063</v>
      </c>
      <c r="M500" s="7">
        <f t="shared" si="16"/>
        <v>2130220063</v>
      </c>
      <c r="N500" s="3" t="s">
        <v>179</v>
      </c>
      <c r="O500" s="5" t="s">
        <v>732</v>
      </c>
      <c r="P500" s="3" t="s">
        <v>733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195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349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3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1</v>
      </c>
      <c r="AZ500" s="2">
        <f>(($AQ500+$AS500+$AU500++$AT500+$AV500+$AW500+$AX500)/3)+IF(($AP500+$AR500)&gt;=1,ROUNDDOWN(($AP500+$AR500)/3,0),0)</f>
        <v>1</v>
      </c>
      <c r="BA500" s="2">
        <f>(($AQ500+$AS500+$AU500++$AT500+$AV500+$AW500+$AX500)/3)+(IF(($AP500+$AR500)&gt;=($AY500+$AZ500),(($AP500+$AR500)-($AY500+$AZ500)),0))</f>
        <v>1</v>
      </c>
      <c r="BB500" s="3" t="s">
        <v>66</v>
      </c>
      <c r="BC500" s="3" t="s">
        <v>66</v>
      </c>
      <c r="BD500" s="2">
        <v>731136</v>
      </c>
      <c r="BE500" s="2">
        <v>3761459</v>
      </c>
      <c r="BF500" s="4"/>
      <c r="BG500" s="4"/>
      <c r="BH500" s="4"/>
      <c r="BI500" s="2">
        <v>0</v>
      </c>
      <c r="BJ500" s="2">
        <v>0</v>
      </c>
    </row>
    <row r="501" spans="1:62" ht="58" hidden="1" x14ac:dyDescent="0.35">
      <c r="A501" s="2">
        <v>104150</v>
      </c>
      <c r="B501" s="2">
        <v>499</v>
      </c>
      <c r="C501" s="3" t="s">
        <v>57</v>
      </c>
      <c r="D501" s="3" t="s">
        <v>734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17170920182</v>
      </c>
      <c r="L501" s="7">
        <f t="shared" si="15"/>
        <v>2130220063</v>
      </c>
      <c r="M501" s="7">
        <f t="shared" si="16"/>
        <v>2180220066</v>
      </c>
      <c r="N501" s="3" t="s">
        <v>179</v>
      </c>
      <c r="O501" s="5" t="s">
        <v>379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374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375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3" t="s">
        <v>376</v>
      </c>
      <c r="BC501" s="3" t="s">
        <v>377</v>
      </c>
      <c r="BD501" s="2">
        <v>731221</v>
      </c>
      <c r="BE501" s="2">
        <v>3762206</v>
      </c>
      <c r="BF501" s="4"/>
      <c r="BG501" s="4"/>
      <c r="BH501" s="4"/>
      <c r="BI501" s="4"/>
      <c r="BJ501" s="2">
        <v>0</v>
      </c>
    </row>
    <row r="502" spans="1:62" hidden="1" x14ac:dyDescent="0.35">
      <c r="A502" s="2">
        <v>104151</v>
      </c>
      <c r="B502" s="2">
        <v>500</v>
      </c>
      <c r="C502" s="3" t="s">
        <v>57</v>
      </c>
      <c r="D502" s="3" t="s">
        <v>734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2180220066</v>
      </c>
      <c r="L502" s="7">
        <f t="shared" si="15"/>
        <v>2180220066</v>
      </c>
      <c r="M502" s="7">
        <f t="shared" si="16"/>
        <v>2180220066</v>
      </c>
      <c r="N502" s="3" t="s">
        <v>179</v>
      </c>
      <c r="O502" s="5" t="s">
        <v>735</v>
      </c>
      <c r="P502" s="3" t="s">
        <v>183</v>
      </c>
      <c r="Q502" s="3" t="s">
        <v>180</v>
      </c>
      <c r="R502" s="2">
        <v>0</v>
      </c>
      <c r="S502" s="3" t="s">
        <v>314</v>
      </c>
      <c r="T502" s="3" t="s">
        <v>638</v>
      </c>
      <c r="U502" s="3" t="s">
        <v>195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374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0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/>
      <c r="AZ502" s="2"/>
      <c r="BA502" s="2"/>
      <c r="BB502" s="3" t="s">
        <v>66</v>
      </c>
      <c r="BC502" s="3" t="s">
        <v>66</v>
      </c>
      <c r="BD502" s="2">
        <v>731190</v>
      </c>
      <c r="BE502" s="2">
        <v>3762171</v>
      </c>
      <c r="BF502" s="4"/>
      <c r="BG502" s="4"/>
      <c r="BH502" s="4"/>
      <c r="BI502" s="2">
        <v>0</v>
      </c>
      <c r="BJ502" s="2">
        <v>0</v>
      </c>
    </row>
    <row r="503" spans="1:62" hidden="1" x14ac:dyDescent="0.35">
      <c r="A503" s="2">
        <v>104152</v>
      </c>
      <c r="B503" s="2">
        <v>501</v>
      </c>
      <c r="C503" s="3" t="s">
        <v>57</v>
      </c>
      <c r="D503" s="3" t="s">
        <v>736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2180220066</v>
      </c>
      <c r="L503" s="7">
        <f t="shared" si="15"/>
        <v>2180220066</v>
      </c>
      <c r="M503" s="7">
        <f t="shared" si="16"/>
        <v>2180220067</v>
      </c>
      <c r="N503" s="3" t="s">
        <v>179</v>
      </c>
      <c r="O503" s="5" t="s">
        <v>735</v>
      </c>
      <c r="P503" s="3" t="s">
        <v>66</v>
      </c>
      <c r="Q503" s="3" t="s">
        <v>180</v>
      </c>
      <c r="R503" s="2">
        <v>0</v>
      </c>
      <c r="S503" s="3" t="s">
        <v>314</v>
      </c>
      <c r="T503" s="3" t="s">
        <v>638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374</v>
      </c>
      <c r="AC503" s="2">
        <v>0</v>
      </c>
      <c r="AD503" s="3" t="s">
        <v>68</v>
      </c>
      <c r="AE503" s="3" t="s">
        <v>71</v>
      </c>
      <c r="AF503" s="3" t="s">
        <v>66</v>
      </c>
      <c r="AG503" s="3" t="s">
        <v>66</v>
      </c>
      <c r="AH503" s="3" t="s">
        <v>66</v>
      </c>
      <c r="AI503" s="3" t="s">
        <v>66</v>
      </c>
      <c r="AJ503" s="3" t="s">
        <v>66</v>
      </c>
      <c r="AK503" s="3" t="s">
        <v>66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3" t="s">
        <v>66</v>
      </c>
      <c r="BC503" s="3" t="s">
        <v>66</v>
      </c>
      <c r="BD503" s="2">
        <v>731190</v>
      </c>
      <c r="BE503" s="2">
        <v>3762171</v>
      </c>
      <c r="BF503" s="4"/>
      <c r="BG503" s="4"/>
      <c r="BH503" s="4"/>
      <c r="BI503" s="2">
        <v>0</v>
      </c>
      <c r="BJ503" s="2">
        <v>0</v>
      </c>
    </row>
    <row r="504" spans="1:62" x14ac:dyDescent="0.35">
      <c r="A504" s="2">
        <v>104153</v>
      </c>
      <c r="B504" s="2">
        <v>502</v>
      </c>
      <c r="C504" s="3" t="s">
        <v>57</v>
      </c>
      <c r="D504" s="3" t="s">
        <v>736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2180220067</v>
      </c>
      <c r="L504" s="7">
        <f t="shared" si="15"/>
        <v>2180220067</v>
      </c>
      <c r="M504" s="7">
        <f t="shared" si="16"/>
        <v>2180220067</v>
      </c>
      <c r="N504" s="3" t="s">
        <v>179</v>
      </c>
      <c r="O504" s="5" t="s">
        <v>737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638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374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1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0</v>
      </c>
      <c r="BA504" s="2">
        <f>(($AQ504+$AS504+$AU504++$AT504+$AV504+$AW504+$AX504)/3)+(IF(($AP504+$AR504)&gt;=($AY504+$AZ504),(($AP504+$AR504)-($AY504+$AZ504)),0))</f>
        <v>0</v>
      </c>
      <c r="BB504" s="3" t="s">
        <v>66</v>
      </c>
      <c r="BC504" s="3" t="s">
        <v>66</v>
      </c>
      <c r="BD504" s="2">
        <v>731159</v>
      </c>
      <c r="BE504" s="2">
        <v>3762143</v>
      </c>
      <c r="BF504" s="4"/>
      <c r="BG504" s="4"/>
      <c r="BH504" s="4"/>
      <c r="BI504" s="2">
        <v>0</v>
      </c>
      <c r="BJ504" s="2">
        <v>0</v>
      </c>
    </row>
    <row r="505" spans="1:62" hidden="1" x14ac:dyDescent="0.35">
      <c r="A505" s="2">
        <v>104154</v>
      </c>
      <c r="B505" s="2">
        <v>503</v>
      </c>
      <c r="C505" s="3" t="s">
        <v>57</v>
      </c>
      <c r="D505" s="3" t="s">
        <v>738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2180220067</v>
      </c>
      <c r="L505" s="7">
        <f t="shared" si="15"/>
        <v>2180220067</v>
      </c>
      <c r="M505" s="7">
        <f t="shared" si="16"/>
        <v>2180220068</v>
      </c>
      <c r="N505" s="3" t="s">
        <v>179</v>
      </c>
      <c r="O505" s="5" t="s">
        <v>737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638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374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3" t="s">
        <v>66</v>
      </c>
      <c r="BC505" s="3" t="s">
        <v>66</v>
      </c>
      <c r="BD505" s="2">
        <v>731159</v>
      </c>
      <c r="BE505" s="2">
        <v>3762143</v>
      </c>
      <c r="BF505" s="4"/>
      <c r="BG505" s="4"/>
      <c r="BH505" s="4"/>
      <c r="BI505" s="2">
        <v>0</v>
      </c>
      <c r="BJ505" s="2">
        <v>0</v>
      </c>
    </row>
    <row r="506" spans="1:62" x14ac:dyDescent="0.35">
      <c r="A506" s="2">
        <v>104155</v>
      </c>
      <c r="B506" s="2">
        <v>504</v>
      </c>
      <c r="C506" s="3" t="s">
        <v>57</v>
      </c>
      <c r="D506" s="3" t="s">
        <v>738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2180220068</v>
      </c>
      <c r="L506" s="7">
        <f t="shared" si="15"/>
        <v>2180220068</v>
      </c>
      <c r="M506" s="7">
        <f t="shared" si="16"/>
        <v>2180220068</v>
      </c>
      <c r="N506" s="3" t="s">
        <v>179</v>
      </c>
      <c r="O506" s="5" t="s">
        <v>739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638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374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13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5</v>
      </c>
      <c r="AZ506" s="2">
        <f>(($AQ506+$AS506+$AU506++$AT506+$AV506+$AW506+$AX506)/3)+IF(($AP506+$AR506)&gt;=1,ROUNDDOWN(($AP506+$AR506)/3,0),0)</f>
        <v>4</v>
      </c>
      <c r="BA506" s="2">
        <f>(($AQ506+$AS506+$AU506++$AT506+$AV506+$AW506+$AX506)/3)+(IF(($AP506+$AR506)&gt;=($AY506+$AZ506),(($AP506+$AR506)-($AY506+$AZ506)),0))</f>
        <v>4</v>
      </c>
      <c r="BB506" s="3" t="s">
        <v>66</v>
      </c>
      <c r="BC506" s="3" t="s">
        <v>66</v>
      </c>
      <c r="BD506" s="2">
        <v>731126</v>
      </c>
      <c r="BE506" s="2">
        <v>3762112</v>
      </c>
      <c r="BF506" s="4"/>
      <c r="BG506" s="4"/>
      <c r="BH506" s="4"/>
      <c r="BI506" s="2">
        <v>0</v>
      </c>
      <c r="BJ506" s="2">
        <v>0</v>
      </c>
    </row>
    <row r="507" spans="1:62" hidden="1" x14ac:dyDescent="0.35">
      <c r="A507" s="2">
        <v>104156</v>
      </c>
      <c r="B507" s="2">
        <v>505</v>
      </c>
      <c r="C507" s="3" t="s">
        <v>57</v>
      </c>
      <c r="D507" s="3" t="s">
        <v>740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2180220068</v>
      </c>
      <c r="L507" s="7">
        <f t="shared" si="15"/>
        <v>2180220068</v>
      </c>
      <c r="M507" s="7">
        <f t="shared" si="16"/>
        <v>2180220069</v>
      </c>
      <c r="N507" s="3" t="s">
        <v>179</v>
      </c>
      <c r="O507" s="5" t="s">
        <v>739</v>
      </c>
      <c r="P507" s="3" t="s">
        <v>66</v>
      </c>
      <c r="Q507" s="3" t="s">
        <v>180</v>
      </c>
      <c r="R507" s="2">
        <v>0</v>
      </c>
      <c r="S507" s="3" t="s">
        <v>314</v>
      </c>
      <c r="T507" s="3" t="s">
        <v>638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374</v>
      </c>
      <c r="AC507" s="2">
        <v>0</v>
      </c>
      <c r="AD507" s="3" t="s">
        <v>68</v>
      </c>
      <c r="AE507" s="3" t="s">
        <v>71</v>
      </c>
      <c r="AF507" s="3" t="s">
        <v>66</v>
      </c>
      <c r="AG507" s="3" t="s">
        <v>66</v>
      </c>
      <c r="AH507" s="3" t="s">
        <v>66</v>
      </c>
      <c r="AI507" s="3" t="s">
        <v>66</v>
      </c>
      <c r="AJ507" s="3" t="s">
        <v>66</v>
      </c>
      <c r="AK507" s="3" t="s">
        <v>66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3" t="s">
        <v>66</v>
      </c>
      <c r="BC507" s="3" t="s">
        <v>66</v>
      </c>
      <c r="BD507" s="2">
        <v>731126</v>
      </c>
      <c r="BE507" s="2">
        <v>3762112</v>
      </c>
      <c r="BF507" s="4"/>
      <c r="BG507" s="4"/>
      <c r="BH507" s="4"/>
      <c r="BI507" s="2">
        <v>0</v>
      </c>
      <c r="BJ507" s="2">
        <v>0</v>
      </c>
    </row>
    <row r="508" spans="1:62" x14ac:dyDescent="0.35">
      <c r="A508" s="2">
        <v>104157</v>
      </c>
      <c r="B508" s="2">
        <v>506</v>
      </c>
      <c r="C508" s="3" t="s">
        <v>57</v>
      </c>
      <c r="D508" s="3" t="s">
        <v>740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2180220069</v>
      </c>
      <c r="L508" s="7">
        <f t="shared" si="15"/>
        <v>2180220069</v>
      </c>
      <c r="M508" s="7">
        <f t="shared" si="16"/>
        <v>2180220069</v>
      </c>
      <c r="N508" s="3" t="s">
        <v>179</v>
      </c>
      <c r="O508" s="5" t="s">
        <v>741</v>
      </c>
      <c r="P508" s="3" t="s">
        <v>183</v>
      </c>
      <c r="Q508" s="3" t="s">
        <v>180</v>
      </c>
      <c r="R508" s="2">
        <v>0</v>
      </c>
      <c r="S508" s="3" t="s">
        <v>314</v>
      </c>
      <c r="T508" s="3" t="s">
        <v>638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374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5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2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2</v>
      </c>
      <c r="BB508" s="3" t="s">
        <v>66</v>
      </c>
      <c r="BC508" s="3" t="s">
        <v>66</v>
      </c>
      <c r="BD508" s="2">
        <v>731090</v>
      </c>
      <c r="BE508" s="2">
        <v>3762096</v>
      </c>
      <c r="BF508" s="4"/>
      <c r="BG508" s="4"/>
      <c r="BH508" s="4"/>
      <c r="BI508" s="2">
        <v>0</v>
      </c>
      <c r="BJ508" s="2">
        <v>0</v>
      </c>
    </row>
    <row r="509" spans="1:62" hidden="1" x14ac:dyDescent="0.35">
      <c r="A509" s="2">
        <v>104158</v>
      </c>
      <c r="B509" s="2">
        <v>507</v>
      </c>
      <c r="C509" s="3" t="s">
        <v>57</v>
      </c>
      <c r="D509" s="3" t="s">
        <v>742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2180220069</v>
      </c>
      <c r="L509" s="7">
        <f t="shared" si="15"/>
        <v>2180220069</v>
      </c>
      <c r="M509" s="7">
        <f t="shared" si="16"/>
        <v>2180220072</v>
      </c>
      <c r="N509" s="3" t="s">
        <v>179</v>
      </c>
      <c r="O509" s="5" t="s">
        <v>741</v>
      </c>
      <c r="P509" s="3" t="s">
        <v>66</v>
      </c>
      <c r="Q509" s="3" t="s">
        <v>180</v>
      </c>
      <c r="R509" s="2">
        <v>0</v>
      </c>
      <c r="S509" s="3" t="s">
        <v>314</v>
      </c>
      <c r="T509" s="3" t="s">
        <v>638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374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3" t="s">
        <v>66</v>
      </c>
      <c r="BC509" s="3" t="s">
        <v>66</v>
      </c>
      <c r="BD509" s="2">
        <v>731090</v>
      </c>
      <c r="BE509" s="2">
        <v>3762096</v>
      </c>
      <c r="BF509" s="4"/>
      <c r="BG509" s="4"/>
      <c r="BH509" s="4"/>
      <c r="BI509" s="2">
        <v>0</v>
      </c>
      <c r="BJ509" s="2">
        <v>0</v>
      </c>
    </row>
    <row r="510" spans="1:62" x14ac:dyDescent="0.35">
      <c r="A510" s="2">
        <v>104159</v>
      </c>
      <c r="B510" s="2">
        <v>508</v>
      </c>
      <c r="C510" s="3" t="s">
        <v>57</v>
      </c>
      <c r="D510" s="3" t="s">
        <v>742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2180220072</v>
      </c>
      <c r="L510" s="7">
        <f t="shared" si="15"/>
        <v>2180220072</v>
      </c>
      <c r="M510" s="7">
        <f t="shared" si="16"/>
        <v>2180220072</v>
      </c>
      <c r="N510" s="3" t="s">
        <v>179</v>
      </c>
      <c r="O510" s="5" t="s">
        <v>743</v>
      </c>
      <c r="P510" s="3" t="s">
        <v>183</v>
      </c>
      <c r="Q510" s="3" t="s">
        <v>180</v>
      </c>
      <c r="R510" s="2">
        <v>0</v>
      </c>
      <c r="S510" s="3" t="s">
        <v>314</v>
      </c>
      <c r="T510" s="3" t="s">
        <v>638</v>
      </c>
      <c r="U510" s="3" t="s">
        <v>195</v>
      </c>
      <c r="V510" s="3" t="s">
        <v>195</v>
      </c>
      <c r="W510" s="3" t="s">
        <v>195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374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9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3</v>
      </c>
      <c r="AZ510" s="2">
        <f>(($AQ510+$AS510+$AU510++$AT510+$AV510+$AW510+$AX510)/3)+IF(($AP510+$AR510)&gt;=1,ROUNDDOWN(($AP510+$AR510)/3,0),0)</f>
        <v>3</v>
      </c>
      <c r="BA510" s="2">
        <f>(($AQ510+$AS510+$AU510++$AT510+$AV510+$AW510+$AX510)/3)+(IF(($AP510+$AR510)&gt;=($AY510+$AZ510),(($AP510+$AR510)-($AY510+$AZ510)),0))</f>
        <v>3</v>
      </c>
      <c r="BB510" s="3" t="s">
        <v>66</v>
      </c>
      <c r="BC510" s="3" t="s">
        <v>66</v>
      </c>
      <c r="BD510" s="2">
        <v>731055.00000000198</v>
      </c>
      <c r="BE510" s="2">
        <v>3762066</v>
      </c>
      <c r="BF510" s="4"/>
      <c r="BG510" s="4"/>
      <c r="BH510" s="4"/>
      <c r="BI510" s="2">
        <v>0</v>
      </c>
      <c r="BJ510" s="2">
        <v>0</v>
      </c>
    </row>
    <row r="511" spans="1:62" hidden="1" x14ac:dyDescent="0.35">
      <c r="A511" s="2">
        <v>104160</v>
      </c>
      <c r="B511" s="2">
        <v>509</v>
      </c>
      <c r="C511" s="3" t="s">
        <v>57</v>
      </c>
      <c r="D511" s="3" t="s">
        <v>744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2180220072</v>
      </c>
      <c r="L511" s="7">
        <f t="shared" si="15"/>
        <v>2180220072</v>
      </c>
      <c r="M511" s="7">
        <f t="shared" si="16"/>
        <v>2180220073</v>
      </c>
      <c r="N511" s="3" t="s">
        <v>179</v>
      </c>
      <c r="O511" s="5" t="s">
        <v>743</v>
      </c>
      <c r="P511" s="3" t="s">
        <v>66</v>
      </c>
      <c r="Q511" s="3" t="s">
        <v>180</v>
      </c>
      <c r="R511" s="2">
        <v>0</v>
      </c>
      <c r="S511" s="3" t="s">
        <v>314</v>
      </c>
      <c r="T511" s="3" t="s">
        <v>638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66</v>
      </c>
      <c r="AG511" s="3" t="s">
        <v>66</v>
      </c>
      <c r="AH511" s="3" t="s">
        <v>66</v>
      </c>
      <c r="AI511" s="3" t="s">
        <v>66</v>
      </c>
      <c r="AJ511" s="3" t="s">
        <v>66</v>
      </c>
      <c r="AK511" s="3" t="s">
        <v>66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3" t="s">
        <v>66</v>
      </c>
      <c r="BC511" s="3" t="s">
        <v>66</v>
      </c>
      <c r="BD511" s="2">
        <v>731055.00000000198</v>
      </c>
      <c r="BE511" s="2">
        <v>3762066</v>
      </c>
      <c r="BF511" s="4"/>
      <c r="BG511" s="4"/>
      <c r="BH511" s="4"/>
      <c r="BI511" s="2">
        <v>0</v>
      </c>
      <c r="BJ511" s="2">
        <v>0</v>
      </c>
    </row>
    <row r="512" spans="1:62" x14ac:dyDescent="0.35">
      <c r="A512" s="2">
        <v>104161</v>
      </c>
      <c r="B512" s="2">
        <v>510</v>
      </c>
      <c r="C512" s="3" t="s">
        <v>57</v>
      </c>
      <c r="D512" s="3" t="s">
        <v>744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2180220073</v>
      </c>
      <c r="L512" s="7">
        <f t="shared" si="15"/>
        <v>2180220073</v>
      </c>
      <c r="M512" s="7">
        <f t="shared" si="16"/>
        <v>2180220073</v>
      </c>
      <c r="N512" s="3" t="s">
        <v>179</v>
      </c>
      <c r="O512" s="5" t="s">
        <v>745</v>
      </c>
      <c r="P512" s="3" t="s">
        <v>696</v>
      </c>
      <c r="Q512" s="3" t="s">
        <v>180</v>
      </c>
      <c r="R512" s="2">
        <v>0</v>
      </c>
      <c r="S512" s="3" t="s">
        <v>314</v>
      </c>
      <c r="T512" s="3" t="s">
        <v>254</v>
      </c>
      <c r="U512" s="3" t="s">
        <v>195</v>
      </c>
      <c r="V512" s="3" t="s">
        <v>66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5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>
        <f>(($AQ512+$AS512+$AU512++$AT512+$AV512+$AW512+$AX512)/3)+IF(($AP512+$AR512)&gt;=1,ROUNDUP(($AP512+$AR512)/3,0),0)</f>
        <v>2</v>
      </c>
      <c r="AZ512" s="2">
        <f>(($AQ512+$AS512+$AU512++$AT512+$AV512+$AW512+$AX512)/3)+IF(($AP512+$AR512)&gt;=1,ROUNDDOWN(($AP512+$AR512)/3,0),0)</f>
        <v>1</v>
      </c>
      <c r="BA512" s="2">
        <f>(($AQ512+$AS512+$AU512++$AT512+$AV512+$AW512+$AX512)/3)+(IF(($AP512+$AR512)&gt;=($AY512+$AZ512),(($AP512+$AR512)-($AY512+$AZ512)),0))</f>
        <v>2</v>
      </c>
      <c r="BB512" s="3" t="s">
        <v>66</v>
      </c>
      <c r="BC512" s="3" t="s">
        <v>66</v>
      </c>
      <c r="BD512" s="2">
        <v>731013</v>
      </c>
      <c r="BE512" s="2">
        <v>3762031</v>
      </c>
      <c r="BF512" s="4"/>
      <c r="BG512" s="4"/>
      <c r="BH512" s="4"/>
      <c r="BI512" s="2">
        <v>0</v>
      </c>
      <c r="BJ512" s="2">
        <v>0</v>
      </c>
    </row>
    <row r="513" spans="1:62" hidden="1" x14ac:dyDescent="0.35">
      <c r="A513" s="2">
        <v>104162</v>
      </c>
      <c r="B513" s="2">
        <v>511</v>
      </c>
      <c r="C513" s="3" t="s">
        <v>57</v>
      </c>
      <c r="D513" s="3" t="s">
        <v>746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2180220073</v>
      </c>
      <c r="L513" s="7">
        <f t="shared" si="15"/>
        <v>2180220073</v>
      </c>
      <c r="M513" s="7">
        <f t="shared" si="16"/>
        <v>2180220074</v>
      </c>
      <c r="N513" s="3" t="s">
        <v>179</v>
      </c>
      <c r="O513" s="5" t="s">
        <v>745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254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3" t="s">
        <v>66</v>
      </c>
      <c r="BC513" s="3" t="s">
        <v>66</v>
      </c>
      <c r="BD513" s="2">
        <v>731013</v>
      </c>
      <c r="BE513" s="2">
        <v>3762031</v>
      </c>
      <c r="BF513" s="4"/>
      <c r="BG513" s="4"/>
      <c r="BH513" s="4"/>
      <c r="BI513" s="2">
        <v>0</v>
      </c>
      <c r="BJ513" s="2">
        <v>0</v>
      </c>
    </row>
    <row r="514" spans="1:62" x14ac:dyDescent="0.35">
      <c r="A514" s="2">
        <v>104163</v>
      </c>
      <c r="B514" s="2">
        <v>512</v>
      </c>
      <c r="C514" s="3" t="s">
        <v>57</v>
      </c>
      <c r="D514" s="3" t="s">
        <v>746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2180220074</v>
      </c>
      <c r="L514" s="7">
        <f t="shared" si="15"/>
        <v>2180220074</v>
      </c>
      <c r="M514" s="7">
        <f t="shared" si="16"/>
        <v>2180220074</v>
      </c>
      <c r="N514" s="3" t="s">
        <v>179</v>
      </c>
      <c r="O514" s="5" t="s">
        <v>747</v>
      </c>
      <c r="P514" s="3" t="s">
        <v>696</v>
      </c>
      <c r="Q514" s="3" t="s">
        <v>180</v>
      </c>
      <c r="R514" s="2">
        <v>0</v>
      </c>
      <c r="S514" s="3" t="s">
        <v>314</v>
      </c>
      <c r="T514" s="3" t="s">
        <v>254</v>
      </c>
      <c r="U514" s="3" t="s">
        <v>195</v>
      </c>
      <c r="V514" s="3" t="s">
        <v>66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25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9</v>
      </c>
      <c r="AZ514" s="2">
        <f>(($AQ514+$AS514+$AU514++$AT514+$AV514+$AW514+$AX514)/3)+IF(($AP514+$AR514)&gt;=1,ROUNDDOWN(($AP514+$AR514)/3,0),0)</f>
        <v>8</v>
      </c>
      <c r="BA514" s="2">
        <f>(($AQ514+$AS514+$AU514++$AT514+$AV514+$AW514+$AX514)/3)+(IF(($AP514+$AR514)&gt;=($AY514+$AZ514),(($AP514+$AR514)-($AY514+$AZ514)),0))</f>
        <v>8</v>
      </c>
      <c r="BB514" s="3" t="s">
        <v>66</v>
      </c>
      <c r="BC514" s="3" t="s">
        <v>66</v>
      </c>
      <c r="BD514" s="2">
        <v>730962</v>
      </c>
      <c r="BE514" s="2">
        <v>3762008</v>
      </c>
      <c r="BF514" s="4"/>
      <c r="BG514" s="4"/>
      <c r="BH514" s="4"/>
      <c r="BI514" s="2">
        <v>0</v>
      </c>
      <c r="BJ514" s="2">
        <v>0</v>
      </c>
    </row>
    <row r="515" spans="1:62" ht="58" hidden="1" x14ac:dyDescent="0.35">
      <c r="A515" s="2">
        <v>104164</v>
      </c>
      <c r="B515" s="2">
        <v>513</v>
      </c>
      <c r="C515" s="3" t="s">
        <v>57</v>
      </c>
      <c r="D515" s="3" t="s">
        <v>400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17170920191</v>
      </c>
      <c r="L515" s="7">
        <f t="shared" si="15"/>
        <v>2180220074</v>
      </c>
      <c r="M515" s="7">
        <f t="shared" si="16"/>
        <v>17170920191</v>
      </c>
      <c r="N515" s="3" t="s">
        <v>179</v>
      </c>
      <c r="O515" s="5" t="s">
        <v>401</v>
      </c>
      <c r="P515" s="3" t="s">
        <v>66</v>
      </c>
      <c r="Q515" s="3" t="s">
        <v>180</v>
      </c>
      <c r="R515" s="2">
        <v>0</v>
      </c>
      <c r="S515" s="3" t="s">
        <v>66</v>
      </c>
      <c r="T515" s="3" t="s">
        <v>168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397</v>
      </c>
      <c r="AC515" s="2">
        <v>0</v>
      </c>
      <c r="AD515" s="3" t="s">
        <v>68</v>
      </c>
      <c r="AE515" s="3" t="s">
        <v>71</v>
      </c>
      <c r="AF515" s="3" t="s">
        <v>172</v>
      </c>
      <c r="AG515" s="3" t="s">
        <v>173</v>
      </c>
      <c r="AH515" s="3" t="s">
        <v>398</v>
      </c>
      <c r="AI515" s="3" t="s">
        <v>66</v>
      </c>
      <c r="AJ515" s="3" t="s">
        <v>66</v>
      </c>
      <c r="AK515" s="3" t="s">
        <v>205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3" t="s">
        <v>388</v>
      </c>
      <c r="BC515" s="3" t="s">
        <v>399</v>
      </c>
      <c r="BD515" s="2">
        <v>731391.00000000105</v>
      </c>
      <c r="BE515" s="2">
        <v>3762374</v>
      </c>
      <c r="BF515" s="4"/>
      <c r="BG515" s="4"/>
      <c r="BH515" s="4"/>
      <c r="BI515" s="4"/>
      <c r="BJ515" s="2">
        <v>0</v>
      </c>
    </row>
    <row r="516" spans="1:62" x14ac:dyDescent="0.35">
      <c r="A516" s="2">
        <v>104165</v>
      </c>
      <c r="B516" s="2">
        <v>514</v>
      </c>
      <c r="C516" s="3" t="s">
        <v>57</v>
      </c>
      <c r="D516" s="3" t="s">
        <v>400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17170920191</v>
      </c>
      <c r="L516" s="7">
        <f t="shared" ref="L516:L579" si="17">IF(J516="E",K516,L515)</f>
        <v>17170920191</v>
      </c>
      <c r="M516" s="7">
        <f t="shared" si="16"/>
        <v>17170920191</v>
      </c>
      <c r="N516" s="3" t="s">
        <v>179</v>
      </c>
      <c r="O516" s="5" t="s">
        <v>401</v>
      </c>
      <c r="P516" s="3" t="s">
        <v>183</v>
      </c>
      <c r="Q516" s="3" t="s">
        <v>180</v>
      </c>
      <c r="R516" s="2">
        <v>0</v>
      </c>
      <c r="S516" s="3" t="s">
        <v>66</v>
      </c>
      <c r="T516" s="3" t="s">
        <v>168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397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11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4</v>
      </c>
      <c r="AZ516" s="2">
        <f>(($AQ516+$AS516+$AU516++$AT516+$AV516+$AW516+$AX516)/3)+IF(($AP516+$AR516)&gt;=1,ROUNDDOWN(($AP516+$AR516)/3,0),0)</f>
        <v>3</v>
      </c>
      <c r="BA516" s="2">
        <f>(($AQ516+$AS516+$AU516++$AT516+$AV516+$AW516+$AX516)/3)+(IF(($AP516+$AR516)&gt;=($AY516+$AZ516),(($AP516+$AR516)-($AY516+$AZ516)),0))</f>
        <v>4</v>
      </c>
      <c r="BB516" s="3" t="s">
        <v>66</v>
      </c>
      <c r="BC516" s="3" t="s">
        <v>66</v>
      </c>
      <c r="BD516" s="2">
        <v>731391.00000000105</v>
      </c>
      <c r="BE516" s="2">
        <v>3762374</v>
      </c>
      <c r="BF516" s="4"/>
      <c r="BG516" s="4"/>
      <c r="BH516" s="4"/>
      <c r="BI516" s="2">
        <v>0</v>
      </c>
      <c r="BJ516" s="2">
        <v>0</v>
      </c>
    </row>
    <row r="517" spans="1:62" hidden="1" x14ac:dyDescent="0.35">
      <c r="A517" s="2">
        <v>104166</v>
      </c>
      <c r="B517" s="2">
        <v>515</v>
      </c>
      <c r="C517" s="3" t="s">
        <v>57</v>
      </c>
      <c r="D517" s="3" t="s">
        <v>748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17170920191</v>
      </c>
      <c r="L517" s="7">
        <f t="shared" si="17"/>
        <v>17170920191</v>
      </c>
      <c r="M517" s="7">
        <f t="shared" si="16"/>
        <v>2180220076</v>
      </c>
      <c r="N517" s="3" t="s">
        <v>179</v>
      </c>
      <c r="O517" s="5" t="s">
        <v>401</v>
      </c>
      <c r="P517" s="3" t="s">
        <v>66</v>
      </c>
      <c r="Q517" s="3" t="s">
        <v>180</v>
      </c>
      <c r="R517" s="2">
        <v>0</v>
      </c>
      <c r="S517" s="3" t="s">
        <v>66</v>
      </c>
      <c r="T517" s="3" t="s">
        <v>168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397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3" t="s">
        <v>66</v>
      </c>
      <c r="BC517" s="3" t="s">
        <v>66</v>
      </c>
      <c r="BD517" s="2">
        <v>731391.00000000105</v>
      </c>
      <c r="BE517" s="2">
        <v>3762374</v>
      </c>
      <c r="BF517" s="4"/>
      <c r="BG517" s="4"/>
      <c r="BH517" s="4"/>
      <c r="BI517" s="2">
        <v>0</v>
      </c>
      <c r="BJ517" s="2">
        <v>0</v>
      </c>
    </row>
    <row r="518" spans="1:62" x14ac:dyDescent="0.35">
      <c r="A518" s="2">
        <v>104167</v>
      </c>
      <c r="B518" s="2">
        <v>516</v>
      </c>
      <c r="C518" s="3" t="s">
        <v>57</v>
      </c>
      <c r="D518" s="3" t="s">
        <v>748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2180220076</v>
      </c>
      <c r="L518" s="7">
        <f t="shared" si="17"/>
        <v>2180220076</v>
      </c>
      <c r="M518" s="7">
        <f t="shared" si="16"/>
        <v>2180220076</v>
      </c>
      <c r="N518" s="3" t="s">
        <v>179</v>
      </c>
      <c r="O518" s="5" t="s">
        <v>749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254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397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3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1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1</v>
      </c>
      <c r="BB518" s="3" t="s">
        <v>66</v>
      </c>
      <c r="BC518" s="3" t="s">
        <v>66</v>
      </c>
      <c r="BD518" s="2">
        <v>731421.00000000105</v>
      </c>
      <c r="BE518" s="2">
        <v>3762328</v>
      </c>
      <c r="BF518" s="4"/>
      <c r="BG518" s="4"/>
      <c r="BH518" s="4"/>
      <c r="BI518" s="2">
        <v>0</v>
      </c>
      <c r="BJ518" s="2">
        <v>0</v>
      </c>
    </row>
    <row r="519" spans="1:62" hidden="1" x14ac:dyDescent="0.35">
      <c r="A519" s="2">
        <v>104168</v>
      </c>
      <c r="B519" s="2">
        <v>517</v>
      </c>
      <c r="C519" s="3" t="s">
        <v>57</v>
      </c>
      <c r="D519" s="3" t="s">
        <v>750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2180220076</v>
      </c>
      <c r="L519" s="7">
        <f t="shared" si="17"/>
        <v>2180220076</v>
      </c>
      <c r="M519" s="7">
        <f t="shared" si="16"/>
        <v>2180220077</v>
      </c>
      <c r="N519" s="3" t="s">
        <v>179</v>
      </c>
      <c r="O519" s="5" t="s">
        <v>749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254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397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3" t="s">
        <v>66</v>
      </c>
      <c r="BC519" s="3" t="s">
        <v>66</v>
      </c>
      <c r="BD519" s="2">
        <v>731421.00000000105</v>
      </c>
      <c r="BE519" s="2">
        <v>3762328</v>
      </c>
      <c r="BF519" s="4"/>
      <c r="BG519" s="4"/>
      <c r="BH519" s="4"/>
      <c r="BI519" s="2">
        <v>0</v>
      </c>
      <c r="BJ519" s="2">
        <v>0</v>
      </c>
    </row>
    <row r="520" spans="1:62" x14ac:dyDescent="0.35">
      <c r="A520" s="2">
        <v>104169</v>
      </c>
      <c r="B520" s="2">
        <v>518</v>
      </c>
      <c r="C520" s="3" t="s">
        <v>57</v>
      </c>
      <c r="D520" s="3" t="s">
        <v>750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2180220077</v>
      </c>
      <c r="L520" s="7">
        <f t="shared" si="17"/>
        <v>2180220077</v>
      </c>
      <c r="M520" s="7">
        <f t="shared" si="16"/>
        <v>2180220077</v>
      </c>
      <c r="N520" s="3" t="s">
        <v>179</v>
      </c>
      <c r="O520" s="5" t="s">
        <v>751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254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397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2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1</v>
      </c>
      <c r="AZ520" s="2">
        <f>(($AQ520+$AS520+$AU520++$AT520+$AV520+$AW520+$AX520)/3)+IF(($AP520+$AR520)&gt;=1,ROUNDDOWN(($AP520+$AR520)/3,0),0)</f>
        <v>0</v>
      </c>
      <c r="BA520" s="2">
        <f>(($AQ520+$AS520+$AU520++$AT520+$AV520+$AW520+$AX520)/3)+(IF(($AP520+$AR520)&gt;=($AY520+$AZ520),(($AP520+$AR520)-($AY520+$AZ520)),0))</f>
        <v>1</v>
      </c>
      <c r="BB520" s="3" t="s">
        <v>66</v>
      </c>
      <c r="BC520" s="3" t="s">
        <v>66</v>
      </c>
      <c r="BD520" s="2">
        <v>731394.99999999895</v>
      </c>
      <c r="BE520" s="2">
        <v>3762316</v>
      </c>
      <c r="BF520" s="4"/>
      <c r="BG520" s="4"/>
      <c r="BH520" s="4"/>
      <c r="BI520" s="2">
        <v>0</v>
      </c>
      <c r="BJ520" s="2">
        <v>0</v>
      </c>
    </row>
    <row r="521" spans="1:62" hidden="1" x14ac:dyDescent="0.35">
      <c r="A521" s="2">
        <v>104170</v>
      </c>
      <c r="B521" s="2">
        <v>519</v>
      </c>
      <c r="C521" s="3" t="s">
        <v>57</v>
      </c>
      <c r="D521" s="3" t="s">
        <v>752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2180220077</v>
      </c>
      <c r="L521" s="7">
        <f t="shared" si="17"/>
        <v>2180220077</v>
      </c>
      <c r="M521" s="7">
        <f t="shared" si="16"/>
        <v>2170822662</v>
      </c>
      <c r="N521" s="3" t="s">
        <v>179</v>
      </c>
      <c r="O521" s="5" t="s">
        <v>751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254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397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3" t="s">
        <v>66</v>
      </c>
      <c r="BC521" s="3" t="s">
        <v>66</v>
      </c>
      <c r="BD521" s="2">
        <v>731394.99999999895</v>
      </c>
      <c r="BE521" s="2">
        <v>3762316</v>
      </c>
      <c r="BF521" s="4"/>
      <c r="BG521" s="4"/>
      <c r="BH521" s="4"/>
      <c r="BI521" s="2">
        <v>0</v>
      </c>
      <c r="BJ521" s="2">
        <v>0</v>
      </c>
    </row>
    <row r="522" spans="1:62" x14ac:dyDescent="0.35">
      <c r="A522" s="2">
        <v>104171</v>
      </c>
      <c r="B522" s="2">
        <v>520</v>
      </c>
      <c r="C522" s="3" t="s">
        <v>57</v>
      </c>
      <c r="D522" s="3" t="s">
        <v>752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2170822662</v>
      </c>
      <c r="L522" s="7">
        <f t="shared" si="17"/>
        <v>2170822662</v>
      </c>
      <c r="M522" s="7">
        <f t="shared" si="16"/>
        <v>2170822662</v>
      </c>
      <c r="N522" s="3" t="s">
        <v>179</v>
      </c>
      <c r="O522" s="5" t="s">
        <v>753</v>
      </c>
      <c r="P522" s="3" t="s">
        <v>183</v>
      </c>
      <c r="Q522" s="3" t="s">
        <v>180</v>
      </c>
      <c r="R522" s="2">
        <v>0</v>
      </c>
      <c r="S522" s="3" t="s">
        <v>314</v>
      </c>
      <c r="T522" s="3" t="s">
        <v>638</v>
      </c>
      <c r="U522" s="3" t="s">
        <v>195</v>
      </c>
      <c r="V522" s="3" t="s">
        <v>195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397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1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1</v>
      </c>
      <c r="AZ522" s="2">
        <f>(($AQ522+$AS522+$AU522++$AT522+$AV522+$AW522+$AX522)/3)+IF(($AP522+$AR522)&gt;=1,ROUNDDOWN(($AP522+$AR522)/3,0),0)</f>
        <v>0</v>
      </c>
      <c r="BA522" s="2">
        <f>(($AQ522+$AS522+$AU522++$AT522+$AV522+$AW522+$AX522)/3)+(IF(($AP522+$AR522)&gt;=($AY522+$AZ522),(($AP522+$AR522)-($AY522+$AZ522)),0))</f>
        <v>0</v>
      </c>
      <c r="BB522" s="3" t="s">
        <v>66</v>
      </c>
      <c r="BC522" s="3" t="s">
        <v>66</v>
      </c>
      <c r="BD522" s="2">
        <v>731412</v>
      </c>
      <c r="BE522" s="2">
        <v>3762272</v>
      </c>
      <c r="BF522" s="4"/>
      <c r="BG522" s="4"/>
      <c r="BH522" s="4"/>
      <c r="BI522" s="4"/>
      <c r="BJ522" s="2">
        <v>0</v>
      </c>
    </row>
    <row r="523" spans="1:62" hidden="1" x14ac:dyDescent="0.35">
      <c r="A523" s="2">
        <v>104172</v>
      </c>
      <c r="B523" s="2">
        <v>521</v>
      </c>
      <c r="C523" s="3" t="s">
        <v>57</v>
      </c>
      <c r="D523" s="3" t="s">
        <v>754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2170822662</v>
      </c>
      <c r="L523" s="7">
        <f t="shared" si="17"/>
        <v>2170822662</v>
      </c>
      <c r="M523" s="7">
        <f t="shared" si="16"/>
        <v>2170822663</v>
      </c>
      <c r="N523" s="3" t="s">
        <v>179</v>
      </c>
      <c r="O523" s="5" t="s">
        <v>753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638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397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3" t="s">
        <v>66</v>
      </c>
      <c r="BC523" s="3" t="s">
        <v>66</v>
      </c>
      <c r="BD523" s="2">
        <v>731412</v>
      </c>
      <c r="BE523" s="2">
        <v>3762272</v>
      </c>
      <c r="BF523" s="4"/>
      <c r="BG523" s="4"/>
      <c r="BH523" s="4"/>
      <c r="BI523" s="4"/>
      <c r="BJ523" s="2">
        <v>0</v>
      </c>
    </row>
    <row r="524" spans="1:62" x14ac:dyDescent="0.35">
      <c r="A524" s="2">
        <v>104173</v>
      </c>
      <c r="B524" s="2">
        <v>522</v>
      </c>
      <c r="C524" s="3" t="s">
        <v>57</v>
      </c>
      <c r="D524" s="3" t="s">
        <v>754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2170822663</v>
      </c>
      <c r="L524" s="7">
        <f t="shared" si="17"/>
        <v>2170822663</v>
      </c>
      <c r="M524" s="7">
        <f t="shared" si="16"/>
        <v>2170822663</v>
      </c>
      <c r="N524" s="3" t="s">
        <v>179</v>
      </c>
      <c r="O524" s="5" t="s">
        <v>755</v>
      </c>
      <c r="P524" s="3" t="s">
        <v>183</v>
      </c>
      <c r="Q524" s="3" t="s">
        <v>180</v>
      </c>
      <c r="R524" s="2">
        <v>0</v>
      </c>
      <c r="S524" s="3" t="s">
        <v>314</v>
      </c>
      <c r="T524" s="3" t="s">
        <v>638</v>
      </c>
      <c r="U524" s="3" t="s">
        <v>195</v>
      </c>
      <c r="V524" s="3" t="s">
        <v>195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397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3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1</v>
      </c>
      <c r="AZ524" s="2">
        <f>(($AQ524+$AS524+$AU524++$AT524+$AV524+$AW524+$AX524)/3)+IF(($AP524+$AR524)&gt;=1,ROUNDDOWN(($AP524+$AR524)/3,0),0)</f>
        <v>1</v>
      </c>
      <c r="BA524" s="2">
        <f>(($AQ524+$AS524+$AU524++$AT524+$AV524+$AW524+$AX524)/3)+(IF(($AP524+$AR524)&gt;=($AY524+$AZ524),(($AP524+$AR524)-($AY524+$AZ524)),0))</f>
        <v>1</v>
      </c>
      <c r="BB524" s="3" t="s">
        <v>66</v>
      </c>
      <c r="BC524" s="3" t="s">
        <v>66</v>
      </c>
      <c r="BD524" s="2">
        <v>731426.00000000198</v>
      </c>
      <c r="BE524" s="2">
        <v>3762213</v>
      </c>
      <c r="BF524" s="4"/>
      <c r="BG524" s="4"/>
      <c r="BH524" s="4"/>
      <c r="BI524" s="4"/>
      <c r="BJ524" s="2">
        <v>0</v>
      </c>
    </row>
    <row r="525" spans="1:62" hidden="1" x14ac:dyDescent="0.35">
      <c r="A525" s="2">
        <v>104174</v>
      </c>
      <c r="B525" s="2">
        <v>523</v>
      </c>
      <c r="C525" s="3" t="s">
        <v>57</v>
      </c>
      <c r="D525" s="3" t="s">
        <v>756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2170822663</v>
      </c>
      <c r="L525" s="7">
        <f t="shared" si="17"/>
        <v>2170822663</v>
      </c>
      <c r="M525" s="7">
        <f t="shared" si="16"/>
        <v>2170822664</v>
      </c>
      <c r="N525" s="3" t="s">
        <v>179</v>
      </c>
      <c r="O525" s="5" t="s">
        <v>755</v>
      </c>
      <c r="P525" s="3" t="s">
        <v>66</v>
      </c>
      <c r="Q525" s="3" t="s">
        <v>180</v>
      </c>
      <c r="R525" s="2">
        <v>0</v>
      </c>
      <c r="S525" s="3" t="s">
        <v>314</v>
      </c>
      <c r="T525" s="3" t="s">
        <v>638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66</v>
      </c>
      <c r="AG525" s="3" t="s">
        <v>66</v>
      </c>
      <c r="AH525" s="3" t="s">
        <v>66</v>
      </c>
      <c r="AI525" s="3" t="s">
        <v>66</v>
      </c>
      <c r="AJ525" s="3" t="s">
        <v>66</v>
      </c>
      <c r="AK525" s="3" t="s">
        <v>66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3" t="s">
        <v>66</v>
      </c>
      <c r="BC525" s="3" t="s">
        <v>66</v>
      </c>
      <c r="BD525" s="2">
        <v>731426.00000000198</v>
      </c>
      <c r="BE525" s="2">
        <v>3762213</v>
      </c>
      <c r="BF525" s="4"/>
      <c r="BG525" s="4"/>
      <c r="BH525" s="4"/>
      <c r="BI525" s="4"/>
      <c r="BJ525" s="2">
        <v>0</v>
      </c>
    </row>
    <row r="526" spans="1:62" x14ac:dyDescent="0.35">
      <c r="A526" s="2">
        <v>104175</v>
      </c>
      <c r="B526" s="2">
        <v>524</v>
      </c>
      <c r="C526" s="3" t="s">
        <v>57</v>
      </c>
      <c r="D526" s="3" t="s">
        <v>756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2170822664</v>
      </c>
      <c r="L526" s="7">
        <f t="shared" si="17"/>
        <v>2170822664</v>
      </c>
      <c r="M526" s="7">
        <f t="shared" si="16"/>
        <v>2170822664</v>
      </c>
      <c r="N526" s="3" t="s">
        <v>179</v>
      </c>
      <c r="O526" s="5" t="s">
        <v>757</v>
      </c>
      <c r="P526" s="3" t="s">
        <v>183</v>
      </c>
      <c r="Q526" s="3" t="s">
        <v>180</v>
      </c>
      <c r="R526" s="2">
        <v>0</v>
      </c>
      <c r="S526" s="3" t="s">
        <v>314</v>
      </c>
      <c r="T526" s="3" t="s">
        <v>638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2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1</v>
      </c>
      <c r="AZ526" s="2">
        <f>(($AQ526+$AS526+$AU526++$AT526+$AV526+$AW526+$AX526)/3)+IF(($AP526+$AR526)&gt;=1,ROUNDDOWN(($AP526+$AR526)/3,0),0)</f>
        <v>0</v>
      </c>
      <c r="BA526" s="2">
        <f>(($AQ526+$AS526+$AU526++$AT526+$AV526+$AW526+$AX526)/3)+(IF(($AP526+$AR526)&gt;=($AY526+$AZ526),(($AP526+$AR526)-($AY526+$AZ526)),0))</f>
        <v>1</v>
      </c>
      <c r="BB526" s="3" t="s">
        <v>66</v>
      </c>
      <c r="BC526" s="3" t="s">
        <v>66</v>
      </c>
      <c r="BD526" s="2">
        <v>731438</v>
      </c>
      <c r="BE526" s="2">
        <v>3762168</v>
      </c>
      <c r="BF526" s="4"/>
      <c r="BG526" s="4"/>
      <c r="BH526" s="4"/>
      <c r="BI526" s="4"/>
      <c r="BJ526" s="2">
        <v>0</v>
      </c>
    </row>
    <row r="527" spans="1:62" hidden="1" x14ac:dyDescent="0.35">
      <c r="A527" s="2">
        <v>104176</v>
      </c>
      <c r="B527" s="2">
        <v>525</v>
      </c>
      <c r="C527" s="3" t="s">
        <v>57</v>
      </c>
      <c r="D527" s="3" t="s">
        <v>758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2170822664</v>
      </c>
      <c r="L527" s="7">
        <f t="shared" si="17"/>
        <v>2170822664</v>
      </c>
      <c r="M527" s="7">
        <f t="shared" si="16"/>
        <v>2170822665</v>
      </c>
      <c r="N527" s="3" t="s">
        <v>179</v>
      </c>
      <c r="O527" s="5" t="s">
        <v>757</v>
      </c>
      <c r="P527" s="3" t="s">
        <v>66</v>
      </c>
      <c r="Q527" s="3" t="s">
        <v>180</v>
      </c>
      <c r="R527" s="2">
        <v>0</v>
      </c>
      <c r="S527" s="3" t="s">
        <v>314</v>
      </c>
      <c r="T527" s="3" t="s">
        <v>638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3" t="s">
        <v>66</v>
      </c>
      <c r="BC527" s="3" t="s">
        <v>66</v>
      </c>
      <c r="BD527" s="2">
        <v>731438</v>
      </c>
      <c r="BE527" s="2">
        <v>3762168</v>
      </c>
      <c r="BF527" s="4"/>
      <c r="BG527" s="4"/>
      <c r="BH527" s="4"/>
      <c r="BI527" s="4"/>
      <c r="BJ527" s="2">
        <v>0</v>
      </c>
    </row>
    <row r="528" spans="1:62" x14ac:dyDescent="0.35">
      <c r="A528" s="2">
        <v>104177</v>
      </c>
      <c r="B528" s="2">
        <v>526</v>
      </c>
      <c r="C528" s="3" t="s">
        <v>57</v>
      </c>
      <c r="D528" s="3" t="s">
        <v>758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2170822665</v>
      </c>
      <c r="L528" s="7">
        <f t="shared" si="17"/>
        <v>2170822665</v>
      </c>
      <c r="M528" s="7">
        <f t="shared" si="16"/>
        <v>2170822665</v>
      </c>
      <c r="N528" s="3" t="s">
        <v>179</v>
      </c>
      <c r="O528" s="5" t="s">
        <v>759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638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4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2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3" t="s">
        <v>66</v>
      </c>
      <c r="BC528" s="3" t="s">
        <v>66</v>
      </c>
      <c r="BD528" s="2">
        <v>731455.00000000105</v>
      </c>
      <c r="BE528" s="2">
        <v>3762125</v>
      </c>
      <c r="BF528" s="4"/>
      <c r="BG528" s="4"/>
      <c r="BH528" s="4"/>
      <c r="BI528" s="4"/>
      <c r="BJ528" s="2">
        <v>0</v>
      </c>
    </row>
    <row r="529" spans="1:62" hidden="1" x14ac:dyDescent="0.35">
      <c r="A529" s="2">
        <v>104178</v>
      </c>
      <c r="B529" s="2">
        <v>527</v>
      </c>
      <c r="C529" s="3" t="s">
        <v>57</v>
      </c>
      <c r="D529" s="3" t="s">
        <v>760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2170822662</v>
      </c>
      <c r="L529" s="7">
        <f t="shared" si="17"/>
        <v>2170822665</v>
      </c>
      <c r="M529" s="7">
        <f t="shared" si="16"/>
        <v>2170822666</v>
      </c>
      <c r="N529" s="3" t="s">
        <v>179</v>
      </c>
      <c r="O529" s="5" t="s">
        <v>753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638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3" t="s">
        <v>66</v>
      </c>
      <c r="BC529" s="3" t="s">
        <v>66</v>
      </c>
      <c r="BD529" s="2">
        <v>731412</v>
      </c>
      <c r="BE529" s="2">
        <v>3762272</v>
      </c>
      <c r="BF529" s="4"/>
      <c r="BG529" s="4"/>
      <c r="BH529" s="4"/>
      <c r="BI529" s="4"/>
      <c r="BJ529" s="2">
        <v>0</v>
      </c>
    </row>
    <row r="530" spans="1:62" x14ac:dyDescent="0.35">
      <c r="A530" s="2">
        <v>104179</v>
      </c>
      <c r="B530" s="2">
        <v>528</v>
      </c>
      <c r="C530" s="3" t="s">
        <v>57</v>
      </c>
      <c r="D530" s="3" t="s">
        <v>760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2170822666</v>
      </c>
      <c r="L530" s="7">
        <f t="shared" si="17"/>
        <v>2170822666</v>
      </c>
      <c r="M530" s="7">
        <f t="shared" si="16"/>
        <v>2170822666</v>
      </c>
      <c r="N530" s="3" t="s">
        <v>179</v>
      </c>
      <c r="O530" s="5" t="s">
        <v>761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1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0</v>
      </c>
      <c r="BB530" s="3" t="s">
        <v>762</v>
      </c>
      <c r="BC530" s="3" t="s">
        <v>66</v>
      </c>
      <c r="BD530" s="2">
        <v>731443</v>
      </c>
      <c r="BE530" s="2">
        <v>3762276</v>
      </c>
      <c r="BF530" s="4"/>
      <c r="BG530" s="4"/>
      <c r="BH530" s="4"/>
      <c r="BI530" s="4"/>
      <c r="BJ530" s="2">
        <v>0</v>
      </c>
    </row>
    <row r="531" spans="1:62" hidden="1" x14ac:dyDescent="0.35">
      <c r="A531" s="2">
        <v>104180</v>
      </c>
      <c r="B531" s="2">
        <v>529</v>
      </c>
      <c r="C531" s="3" t="s">
        <v>57</v>
      </c>
      <c r="D531" s="3" t="s">
        <v>763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2170822666</v>
      </c>
      <c r="L531" s="7">
        <f t="shared" si="17"/>
        <v>2170822666</v>
      </c>
      <c r="M531" s="7">
        <f t="shared" ref="M531:M594" si="18">IF(J531="E",K531,M532)</f>
        <v>2170822667</v>
      </c>
      <c r="N531" s="3" t="s">
        <v>179</v>
      </c>
      <c r="O531" s="5" t="s">
        <v>761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3" t="s">
        <v>66</v>
      </c>
      <c r="BC531" s="3" t="s">
        <v>66</v>
      </c>
      <c r="BD531" s="2">
        <v>731443</v>
      </c>
      <c r="BE531" s="2">
        <v>3762276</v>
      </c>
      <c r="BF531" s="4"/>
      <c r="BG531" s="4"/>
      <c r="BH531" s="4"/>
      <c r="BI531" s="4"/>
      <c r="BJ531" s="2">
        <v>0</v>
      </c>
    </row>
    <row r="532" spans="1:62" x14ac:dyDescent="0.35">
      <c r="A532" s="2">
        <v>104181</v>
      </c>
      <c r="B532" s="2">
        <v>530</v>
      </c>
      <c r="C532" s="3" t="s">
        <v>57</v>
      </c>
      <c r="D532" s="3" t="s">
        <v>763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2170822667</v>
      </c>
      <c r="L532" s="7">
        <f t="shared" si="17"/>
        <v>2170822667</v>
      </c>
      <c r="M532" s="7">
        <f t="shared" si="18"/>
        <v>2170822667</v>
      </c>
      <c r="N532" s="3" t="s">
        <v>179</v>
      </c>
      <c r="O532" s="5" t="s">
        <v>764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254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3" t="s">
        <v>66</v>
      </c>
      <c r="BC532" s="3" t="s">
        <v>66</v>
      </c>
      <c r="BD532" s="2">
        <v>731444.00000000105</v>
      </c>
      <c r="BE532" s="2">
        <v>3762245</v>
      </c>
      <c r="BF532" s="4"/>
      <c r="BG532" s="4"/>
      <c r="BH532" s="4"/>
      <c r="BI532" s="4"/>
      <c r="BJ532" s="2">
        <v>0</v>
      </c>
    </row>
    <row r="533" spans="1:62" hidden="1" x14ac:dyDescent="0.35">
      <c r="A533" s="2">
        <v>104182</v>
      </c>
      <c r="B533" s="2">
        <v>531</v>
      </c>
      <c r="C533" s="3" t="s">
        <v>57</v>
      </c>
      <c r="D533" s="3" t="s">
        <v>765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2180220076</v>
      </c>
      <c r="L533" s="7">
        <f t="shared" si="17"/>
        <v>2170822667</v>
      </c>
      <c r="M533" s="7">
        <f t="shared" si="18"/>
        <v>2170822669</v>
      </c>
      <c r="N533" s="3" t="s">
        <v>179</v>
      </c>
      <c r="O533" s="5" t="s">
        <v>749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254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3" t="s">
        <v>66</v>
      </c>
      <c r="BC533" s="3" t="s">
        <v>66</v>
      </c>
      <c r="BD533" s="2">
        <v>731421.00000000105</v>
      </c>
      <c r="BE533" s="2">
        <v>3762328</v>
      </c>
      <c r="BF533" s="4"/>
      <c r="BG533" s="4"/>
      <c r="BH533" s="4"/>
      <c r="BI533" s="2">
        <v>0</v>
      </c>
      <c r="BJ533" s="2">
        <v>0</v>
      </c>
    </row>
    <row r="534" spans="1:62" x14ac:dyDescent="0.35">
      <c r="A534" s="2">
        <v>104183</v>
      </c>
      <c r="B534" s="2">
        <v>532</v>
      </c>
      <c r="C534" s="3" t="s">
        <v>57</v>
      </c>
      <c r="D534" s="3" t="s">
        <v>765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2170822669</v>
      </c>
      <c r="L534" s="7">
        <f t="shared" si="17"/>
        <v>2170822669</v>
      </c>
      <c r="M534" s="7">
        <f t="shared" si="18"/>
        <v>2170822669</v>
      </c>
      <c r="N534" s="3" t="s">
        <v>179</v>
      </c>
      <c r="O534" s="5" t="s">
        <v>766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254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2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0</v>
      </c>
      <c r="BA534" s="2">
        <f>(($AQ534+$AS534+$AU534++$AT534+$AV534+$AW534+$AX534)/3)+(IF(($AP534+$AR534)&gt;=($AY534+$AZ534),(($AP534+$AR534)-($AY534+$AZ534)),0))</f>
        <v>1</v>
      </c>
      <c r="BB534" s="3" t="s">
        <v>66</v>
      </c>
      <c r="BC534" s="3" t="s">
        <v>66</v>
      </c>
      <c r="BD534" s="2">
        <v>731438</v>
      </c>
      <c r="BE534" s="2">
        <v>3762333</v>
      </c>
      <c r="BF534" s="4"/>
      <c r="BG534" s="4"/>
      <c r="BH534" s="4"/>
      <c r="BI534" s="4"/>
      <c r="BJ534" s="2">
        <v>0</v>
      </c>
    </row>
    <row r="535" spans="1:62" hidden="1" x14ac:dyDescent="0.35">
      <c r="A535" s="2">
        <v>104184</v>
      </c>
      <c r="B535" s="2">
        <v>533</v>
      </c>
      <c r="C535" s="3" t="s">
        <v>57</v>
      </c>
      <c r="D535" s="3" t="s">
        <v>767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2170822669</v>
      </c>
      <c r="L535" s="7">
        <f t="shared" si="17"/>
        <v>2170822669</v>
      </c>
      <c r="M535" s="7">
        <f t="shared" si="18"/>
        <v>2170822670</v>
      </c>
      <c r="N535" s="3" t="s">
        <v>179</v>
      </c>
      <c r="O535" s="5" t="s">
        <v>766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254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3" t="s">
        <v>66</v>
      </c>
      <c r="BC535" s="3" t="s">
        <v>66</v>
      </c>
      <c r="BD535" s="2">
        <v>731438</v>
      </c>
      <c r="BE535" s="2">
        <v>3762333</v>
      </c>
      <c r="BF535" s="4"/>
      <c r="BG535" s="4"/>
      <c r="BH535" s="4"/>
      <c r="BI535" s="4"/>
      <c r="BJ535" s="2">
        <v>0</v>
      </c>
    </row>
    <row r="536" spans="1:62" x14ac:dyDescent="0.35">
      <c r="A536" s="2">
        <v>104185</v>
      </c>
      <c r="B536" s="2">
        <v>534</v>
      </c>
      <c r="C536" s="3" t="s">
        <v>57</v>
      </c>
      <c r="D536" s="3" t="s">
        <v>767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2170822670</v>
      </c>
      <c r="L536" s="7">
        <f t="shared" si="17"/>
        <v>2170822670</v>
      </c>
      <c r="M536" s="7">
        <f t="shared" si="18"/>
        <v>2170822670</v>
      </c>
      <c r="N536" s="3" t="s">
        <v>179</v>
      </c>
      <c r="O536" s="5" t="s">
        <v>768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254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3" t="s">
        <v>66</v>
      </c>
      <c r="BC536" s="3" t="s">
        <v>66</v>
      </c>
      <c r="BD536" s="2">
        <v>731440</v>
      </c>
      <c r="BE536" s="2">
        <v>3762301</v>
      </c>
      <c r="BF536" s="4"/>
      <c r="BG536" s="4"/>
      <c r="BH536" s="4"/>
      <c r="BI536" s="4"/>
      <c r="BJ536" s="2">
        <v>0</v>
      </c>
    </row>
    <row r="537" spans="1:62" ht="58" hidden="1" x14ac:dyDescent="0.35">
      <c r="A537" s="2">
        <v>104186</v>
      </c>
      <c r="B537" s="2">
        <v>535</v>
      </c>
      <c r="C537" s="3" t="s">
        <v>57</v>
      </c>
      <c r="D537" s="3" t="s">
        <v>769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17170920188</v>
      </c>
      <c r="L537" s="7">
        <f t="shared" si="17"/>
        <v>2170822670</v>
      </c>
      <c r="M537" s="7">
        <f t="shared" si="18"/>
        <v>2180220079</v>
      </c>
      <c r="N537" s="3" t="s">
        <v>179</v>
      </c>
      <c r="O537" s="5" t="s">
        <v>391</v>
      </c>
      <c r="P537" s="3" t="s">
        <v>66</v>
      </c>
      <c r="Q537" s="3" t="s">
        <v>180</v>
      </c>
      <c r="R537" s="2">
        <v>0</v>
      </c>
      <c r="S537" s="3" t="s">
        <v>66</v>
      </c>
      <c r="T537" s="3" t="s">
        <v>168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387</v>
      </c>
      <c r="AC537" s="2">
        <v>0</v>
      </c>
      <c r="AD537" s="3" t="s">
        <v>68</v>
      </c>
      <c r="AE537" s="3" t="s">
        <v>71</v>
      </c>
      <c r="AF537" s="3" t="s">
        <v>172</v>
      </c>
      <c r="AG537" s="3" t="s">
        <v>173</v>
      </c>
      <c r="AH537" s="3" t="s">
        <v>217</v>
      </c>
      <c r="AI537" s="3" t="s">
        <v>66</v>
      </c>
      <c r="AJ537" s="3" t="s">
        <v>66</v>
      </c>
      <c r="AK537" s="3" t="s">
        <v>175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3" t="s">
        <v>388</v>
      </c>
      <c r="BC537" s="3" t="s">
        <v>389</v>
      </c>
      <c r="BD537" s="2">
        <v>731358.00000000105</v>
      </c>
      <c r="BE537" s="2">
        <v>3762355</v>
      </c>
      <c r="BF537" s="4"/>
      <c r="BG537" s="4"/>
      <c r="BH537" s="4"/>
      <c r="BI537" s="4"/>
      <c r="BJ537" s="2">
        <v>0</v>
      </c>
    </row>
    <row r="538" spans="1:62" hidden="1" x14ac:dyDescent="0.35">
      <c r="A538" s="2">
        <v>104187</v>
      </c>
      <c r="B538" s="2">
        <v>536</v>
      </c>
      <c r="C538" s="3" t="s">
        <v>57</v>
      </c>
      <c r="D538" s="3" t="s">
        <v>769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2180220079</v>
      </c>
      <c r="L538" s="7">
        <f t="shared" si="17"/>
        <v>2180220079</v>
      </c>
      <c r="M538" s="7">
        <f t="shared" si="18"/>
        <v>2180220079</v>
      </c>
      <c r="N538" s="3" t="s">
        <v>179</v>
      </c>
      <c r="O538" s="5" t="s">
        <v>770</v>
      </c>
      <c r="P538" s="3" t="s">
        <v>183</v>
      </c>
      <c r="Q538" s="3" t="s">
        <v>180</v>
      </c>
      <c r="R538" s="2">
        <v>0</v>
      </c>
      <c r="S538" s="3" t="s">
        <v>73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387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/>
      <c r="AZ538" s="2"/>
      <c r="BA538" s="2"/>
      <c r="BB538" s="3" t="s">
        <v>66</v>
      </c>
      <c r="BC538" s="3" t="s">
        <v>66</v>
      </c>
      <c r="BD538" s="2">
        <v>731327.00000000105</v>
      </c>
      <c r="BE538" s="2">
        <v>3762319</v>
      </c>
      <c r="BF538" s="4"/>
      <c r="BG538" s="4"/>
      <c r="BH538" s="4"/>
      <c r="BI538" s="2">
        <v>0</v>
      </c>
      <c r="BJ538" s="2">
        <v>0</v>
      </c>
    </row>
    <row r="539" spans="1:62" hidden="1" x14ac:dyDescent="0.35">
      <c r="A539" s="2">
        <v>104188</v>
      </c>
      <c r="B539" s="2">
        <v>537</v>
      </c>
      <c r="C539" s="3" t="s">
        <v>57</v>
      </c>
      <c r="D539" s="3" t="s">
        <v>771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2180220079</v>
      </c>
      <c r="L539" s="7">
        <f t="shared" si="17"/>
        <v>2180220079</v>
      </c>
      <c r="M539" s="7">
        <f t="shared" si="18"/>
        <v>2180220080</v>
      </c>
      <c r="N539" s="3" t="s">
        <v>179</v>
      </c>
      <c r="O539" s="5" t="s">
        <v>770</v>
      </c>
      <c r="P539" s="3" t="s">
        <v>66</v>
      </c>
      <c r="Q539" s="3" t="s">
        <v>180</v>
      </c>
      <c r="R539" s="2">
        <v>0</v>
      </c>
      <c r="S539" s="3" t="s">
        <v>73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387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3" t="s">
        <v>66</v>
      </c>
      <c r="BC539" s="3" t="s">
        <v>66</v>
      </c>
      <c r="BD539" s="2">
        <v>731327.00000000105</v>
      </c>
      <c r="BE539" s="2">
        <v>3762319</v>
      </c>
      <c r="BF539" s="4"/>
      <c r="BG539" s="4"/>
      <c r="BH539" s="4"/>
      <c r="BI539" s="2">
        <v>0</v>
      </c>
      <c r="BJ539" s="2">
        <v>0</v>
      </c>
    </row>
    <row r="540" spans="1:62" hidden="1" x14ac:dyDescent="0.35">
      <c r="A540" s="2">
        <v>104189</v>
      </c>
      <c r="B540" s="2">
        <v>538</v>
      </c>
      <c r="C540" s="3" t="s">
        <v>57</v>
      </c>
      <c r="D540" s="3" t="s">
        <v>771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2180220080</v>
      </c>
      <c r="L540" s="7">
        <f t="shared" si="17"/>
        <v>2180220080</v>
      </c>
      <c r="M540" s="7">
        <f t="shared" si="18"/>
        <v>2180220080</v>
      </c>
      <c r="N540" s="3" t="s">
        <v>179</v>
      </c>
      <c r="O540" s="5" t="s">
        <v>772</v>
      </c>
      <c r="P540" s="3" t="s">
        <v>183</v>
      </c>
      <c r="Q540" s="3" t="s">
        <v>180</v>
      </c>
      <c r="R540" s="2">
        <v>0</v>
      </c>
      <c r="S540" s="3" t="s">
        <v>73</v>
      </c>
      <c r="T540" s="3" t="s">
        <v>638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387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/>
      <c r="AZ540" s="2"/>
      <c r="BA540" s="2"/>
      <c r="BB540" s="3" t="s">
        <v>66</v>
      </c>
      <c r="BC540" s="3" t="s">
        <v>66</v>
      </c>
      <c r="BD540" s="2">
        <v>731290</v>
      </c>
      <c r="BE540" s="2">
        <v>3762282</v>
      </c>
      <c r="BF540" s="4"/>
      <c r="BG540" s="4"/>
      <c r="BH540" s="4"/>
      <c r="BI540" s="2">
        <v>0</v>
      </c>
      <c r="BJ540" s="2">
        <v>0</v>
      </c>
    </row>
    <row r="541" spans="1:62" hidden="1" x14ac:dyDescent="0.35">
      <c r="A541" s="2">
        <v>104190</v>
      </c>
      <c r="B541" s="2">
        <v>539</v>
      </c>
      <c r="C541" s="3" t="s">
        <v>57</v>
      </c>
      <c r="D541" s="3" t="s">
        <v>773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2180220080</v>
      </c>
      <c r="L541" s="7">
        <f t="shared" si="17"/>
        <v>2180220080</v>
      </c>
      <c r="M541" s="7">
        <f t="shared" si="18"/>
        <v>2180220081</v>
      </c>
      <c r="N541" s="3" t="s">
        <v>179</v>
      </c>
      <c r="O541" s="5" t="s">
        <v>772</v>
      </c>
      <c r="P541" s="3" t="s">
        <v>66</v>
      </c>
      <c r="Q541" s="3" t="s">
        <v>180</v>
      </c>
      <c r="R541" s="2">
        <v>0</v>
      </c>
      <c r="S541" s="3" t="s">
        <v>73</v>
      </c>
      <c r="T541" s="3" t="s">
        <v>638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387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3" t="s">
        <v>66</v>
      </c>
      <c r="BC541" s="3" t="s">
        <v>66</v>
      </c>
      <c r="BD541" s="2">
        <v>731290</v>
      </c>
      <c r="BE541" s="2">
        <v>3762282</v>
      </c>
      <c r="BF541" s="4"/>
      <c r="BG541" s="4"/>
      <c r="BH541" s="4"/>
      <c r="BI541" s="2">
        <v>0</v>
      </c>
      <c r="BJ541" s="2">
        <v>0</v>
      </c>
    </row>
    <row r="542" spans="1:62" x14ac:dyDescent="0.35">
      <c r="A542" s="2">
        <v>104191</v>
      </c>
      <c r="B542" s="2">
        <v>540</v>
      </c>
      <c r="C542" s="3" t="s">
        <v>57</v>
      </c>
      <c r="D542" s="3" t="s">
        <v>773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2180220081</v>
      </c>
      <c r="L542" s="7">
        <f t="shared" si="17"/>
        <v>2180220081</v>
      </c>
      <c r="M542" s="7">
        <f t="shared" si="18"/>
        <v>2180220081</v>
      </c>
      <c r="N542" s="3" t="s">
        <v>179</v>
      </c>
      <c r="O542" s="5" t="s">
        <v>774</v>
      </c>
      <c r="P542" s="3" t="s">
        <v>183</v>
      </c>
      <c r="Q542" s="3" t="s">
        <v>180</v>
      </c>
      <c r="R542" s="2">
        <v>0</v>
      </c>
      <c r="S542" s="3" t="s">
        <v>73</v>
      </c>
      <c r="T542" s="3" t="s">
        <v>638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387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24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8</v>
      </c>
      <c r="AZ542" s="2">
        <f>(($AQ542+$AS542+$AU542++$AT542+$AV542+$AW542+$AX542)/3)+IF(($AP542+$AR542)&gt;=1,ROUNDDOWN(($AP542+$AR542)/3,0),0)</f>
        <v>8</v>
      </c>
      <c r="BA542" s="2">
        <f>(($AQ542+$AS542+$AU542++$AT542+$AV542+$AW542+$AX542)/3)+(IF(($AP542+$AR542)&gt;=($AY542+$AZ542),(($AP542+$AR542)-($AY542+$AZ542)),0))</f>
        <v>8</v>
      </c>
      <c r="BB542" s="3" t="s">
        <v>66</v>
      </c>
      <c r="BC542" s="3" t="s">
        <v>66</v>
      </c>
      <c r="BD542" s="2">
        <v>731259</v>
      </c>
      <c r="BE542" s="2">
        <v>3762250</v>
      </c>
      <c r="BF542" s="4"/>
      <c r="BG542" s="4"/>
      <c r="BH542" s="4"/>
      <c r="BI542" s="2">
        <v>0</v>
      </c>
      <c r="BJ542" s="2">
        <v>0</v>
      </c>
    </row>
    <row r="543" spans="1:62" ht="58" hidden="1" x14ac:dyDescent="0.35">
      <c r="A543" s="2">
        <v>104192</v>
      </c>
      <c r="B543" s="2">
        <v>541</v>
      </c>
      <c r="C543" s="3" t="s">
        <v>57</v>
      </c>
      <c r="D543" s="3" t="s">
        <v>775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17240920202</v>
      </c>
      <c r="L543" s="7">
        <f t="shared" si="17"/>
        <v>2180220081</v>
      </c>
      <c r="M543" s="7">
        <f t="shared" si="18"/>
        <v>2180220083</v>
      </c>
      <c r="N543" s="3" t="s">
        <v>179</v>
      </c>
      <c r="O543" s="5" t="s">
        <v>425</v>
      </c>
      <c r="P543" s="3" t="s">
        <v>66</v>
      </c>
      <c r="Q543" s="3" t="s">
        <v>180</v>
      </c>
      <c r="R543" s="2">
        <v>0</v>
      </c>
      <c r="S543" s="3" t="s">
        <v>66</v>
      </c>
      <c r="T543" s="3" t="s">
        <v>168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422</v>
      </c>
      <c r="AC543" s="2">
        <v>0</v>
      </c>
      <c r="AD543" s="3" t="s">
        <v>68</v>
      </c>
      <c r="AE543" s="3" t="s">
        <v>71</v>
      </c>
      <c r="AF543" s="3" t="s">
        <v>172</v>
      </c>
      <c r="AG543" s="3" t="s">
        <v>173</v>
      </c>
      <c r="AH543" s="3" t="s">
        <v>174</v>
      </c>
      <c r="AI543" s="3" t="s">
        <v>66</v>
      </c>
      <c r="AJ543" s="3" t="s">
        <v>66</v>
      </c>
      <c r="AK543" s="3" t="s">
        <v>175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3" t="s">
        <v>410</v>
      </c>
      <c r="BC543" s="3" t="s">
        <v>423</v>
      </c>
      <c r="BD543" s="2">
        <v>731504.99999999895</v>
      </c>
      <c r="BE543" s="2">
        <v>3762070</v>
      </c>
      <c r="BF543" s="4"/>
      <c r="BG543" s="4"/>
      <c r="BH543" s="4"/>
      <c r="BI543" s="4"/>
      <c r="BJ543" s="2">
        <v>0</v>
      </c>
    </row>
    <row r="544" spans="1:62" x14ac:dyDescent="0.35">
      <c r="A544" s="2">
        <v>104193</v>
      </c>
      <c r="B544" s="2">
        <v>542</v>
      </c>
      <c r="C544" s="3" t="s">
        <v>57</v>
      </c>
      <c r="D544" s="3" t="s">
        <v>775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2180220083</v>
      </c>
      <c r="L544" s="7">
        <f t="shared" si="17"/>
        <v>2180220083</v>
      </c>
      <c r="M544" s="7">
        <f t="shared" si="18"/>
        <v>2180220083</v>
      </c>
      <c r="N544" s="3" t="s">
        <v>179</v>
      </c>
      <c r="O544" s="5" t="s">
        <v>776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638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422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39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13</v>
      </c>
      <c r="AZ544" s="2">
        <f>(($AQ544+$AS544+$AU544++$AT544+$AV544+$AW544+$AX544)/3)+IF(($AP544+$AR544)&gt;=1,ROUNDDOWN(($AP544+$AR544)/3,0),0)</f>
        <v>13</v>
      </c>
      <c r="BA544" s="2">
        <f>(($AQ544+$AS544+$AU544++$AT544+$AV544+$AW544+$AX544)/3)+(IF(($AP544+$AR544)&gt;=($AY544+$AZ544),(($AP544+$AR544)-($AY544+$AZ544)),0))</f>
        <v>13</v>
      </c>
      <c r="BB544" s="3" t="s">
        <v>66</v>
      </c>
      <c r="BC544" s="3" t="s">
        <v>66</v>
      </c>
      <c r="BD544" s="2">
        <v>731481</v>
      </c>
      <c r="BE544" s="2">
        <v>3762084</v>
      </c>
      <c r="BF544" s="4"/>
      <c r="BG544" s="4"/>
      <c r="BH544" s="4"/>
      <c r="BI544" s="2">
        <v>0</v>
      </c>
      <c r="BJ544" s="2">
        <v>0</v>
      </c>
    </row>
    <row r="545" spans="1:62" ht="58" hidden="1" x14ac:dyDescent="0.35">
      <c r="A545" s="2">
        <v>104194</v>
      </c>
      <c r="B545" s="2">
        <v>543</v>
      </c>
      <c r="C545" s="3" t="s">
        <v>57</v>
      </c>
      <c r="D545" s="3" t="s">
        <v>777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17240920202</v>
      </c>
      <c r="L545" s="7">
        <f t="shared" si="17"/>
        <v>2180220083</v>
      </c>
      <c r="M545" s="7">
        <f t="shared" si="18"/>
        <v>2180220084</v>
      </c>
      <c r="N545" s="3" t="s">
        <v>179</v>
      </c>
      <c r="O545" s="5" t="s">
        <v>425</v>
      </c>
      <c r="P545" s="3" t="s">
        <v>66</v>
      </c>
      <c r="Q545" s="3" t="s">
        <v>180</v>
      </c>
      <c r="R545" s="2">
        <v>0</v>
      </c>
      <c r="S545" s="3" t="s">
        <v>66</v>
      </c>
      <c r="T545" s="3" t="s">
        <v>168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422</v>
      </c>
      <c r="AC545" s="2">
        <v>0</v>
      </c>
      <c r="AD545" s="3" t="s">
        <v>68</v>
      </c>
      <c r="AE545" s="3" t="s">
        <v>71</v>
      </c>
      <c r="AF545" s="3" t="s">
        <v>172</v>
      </c>
      <c r="AG545" s="3" t="s">
        <v>173</v>
      </c>
      <c r="AH545" s="3" t="s">
        <v>174</v>
      </c>
      <c r="AI545" s="3" t="s">
        <v>66</v>
      </c>
      <c r="AJ545" s="3" t="s">
        <v>66</v>
      </c>
      <c r="AK545" s="3" t="s">
        <v>175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3" t="s">
        <v>410</v>
      </c>
      <c r="BC545" s="3" t="s">
        <v>423</v>
      </c>
      <c r="BD545" s="2">
        <v>731504.99999999895</v>
      </c>
      <c r="BE545" s="2">
        <v>3762070</v>
      </c>
      <c r="BF545" s="4"/>
      <c r="BG545" s="4"/>
      <c r="BH545" s="4"/>
      <c r="BI545" s="4"/>
      <c r="BJ545" s="2">
        <v>0</v>
      </c>
    </row>
    <row r="546" spans="1:62" x14ac:dyDescent="0.35">
      <c r="A546" s="2">
        <v>104195</v>
      </c>
      <c r="B546" s="2">
        <v>544</v>
      </c>
      <c r="C546" s="3" t="s">
        <v>57</v>
      </c>
      <c r="D546" s="3" t="s">
        <v>777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2180220084</v>
      </c>
      <c r="L546" s="7">
        <f t="shared" si="17"/>
        <v>2180220084</v>
      </c>
      <c r="M546" s="7">
        <f t="shared" si="18"/>
        <v>2180220084</v>
      </c>
      <c r="N546" s="3" t="s">
        <v>179</v>
      </c>
      <c r="O546" s="5" t="s">
        <v>778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638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422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11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4</v>
      </c>
      <c r="AZ546" s="2">
        <f>(($AQ546+$AS546+$AU546++$AT546+$AV546+$AW546+$AX546)/3)+IF(($AP546+$AR546)&gt;=1,ROUNDDOWN(($AP546+$AR546)/3,0),0)</f>
        <v>3</v>
      </c>
      <c r="BA546" s="2">
        <f>(($AQ546+$AS546+$AU546++$AT546+$AV546+$AW546+$AX546)/3)+(IF(($AP546+$AR546)&gt;=($AY546+$AZ546),(($AP546+$AR546)-($AY546+$AZ546)),0))</f>
        <v>4</v>
      </c>
      <c r="BB546" s="3" t="s">
        <v>66</v>
      </c>
      <c r="BC546" s="3" t="s">
        <v>66</v>
      </c>
      <c r="BD546" s="2">
        <v>731533</v>
      </c>
      <c r="BE546" s="2">
        <v>3762039</v>
      </c>
      <c r="BF546" s="4"/>
      <c r="BG546" s="4"/>
      <c r="BH546" s="4"/>
      <c r="BI546" s="2">
        <v>0</v>
      </c>
      <c r="BJ546" s="2">
        <v>0</v>
      </c>
    </row>
    <row r="547" spans="1:62" hidden="1" x14ac:dyDescent="0.35">
      <c r="A547" s="2">
        <v>104196</v>
      </c>
      <c r="B547" s="2">
        <v>545</v>
      </c>
      <c r="C547" s="3" t="s">
        <v>57</v>
      </c>
      <c r="D547" s="3" t="s">
        <v>779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2180220084</v>
      </c>
      <c r="L547" s="7">
        <f t="shared" si="17"/>
        <v>2180220084</v>
      </c>
      <c r="M547" s="7">
        <f t="shared" si="18"/>
        <v>2180220085</v>
      </c>
      <c r="N547" s="3" t="s">
        <v>179</v>
      </c>
      <c r="O547" s="5" t="s">
        <v>778</v>
      </c>
      <c r="P547" s="3" t="s">
        <v>66</v>
      </c>
      <c r="Q547" s="3" t="s">
        <v>180</v>
      </c>
      <c r="R547" s="2">
        <v>0</v>
      </c>
      <c r="S547" s="3" t="s">
        <v>314</v>
      </c>
      <c r="T547" s="3" t="s">
        <v>638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422</v>
      </c>
      <c r="AC547" s="2">
        <v>0</v>
      </c>
      <c r="AD547" s="3" t="s">
        <v>68</v>
      </c>
      <c r="AE547" s="3" t="s">
        <v>71</v>
      </c>
      <c r="AF547" s="3" t="s">
        <v>66</v>
      </c>
      <c r="AG547" s="3" t="s">
        <v>66</v>
      </c>
      <c r="AH547" s="3" t="s">
        <v>66</v>
      </c>
      <c r="AI547" s="3" t="s">
        <v>66</v>
      </c>
      <c r="AJ547" s="3" t="s">
        <v>66</v>
      </c>
      <c r="AK547" s="3" t="s">
        <v>66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3" t="s">
        <v>66</v>
      </c>
      <c r="BC547" s="3" t="s">
        <v>66</v>
      </c>
      <c r="BD547" s="2">
        <v>731533</v>
      </c>
      <c r="BE547" s="2">
        <v>3762039</v>
      </c>
      <c r="BF547" s="4"/>
      <c r="BG547" s="4"/>
      <c r="BH547" s="4"/>
      <c r="BI547" s="2">
        <v>0</v>
      </c>
      <c r="BJ547" s="2">
        <v>0</v>
      </c>
    </row>
    <row r="548" spans="1:62" x14ac:dyDescent="0.35">
      <c r="A548" s="2">
        <v>104197</v>
      </c>
      <c r="B548" s="2">
        <v>546</v>
      </c>
      <c r="C548" s="3" t="s">
        <v>57</v>
      </c>
      <c r="D548" s="3" t="s">
        <v>779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2180220085</v>
      </c>
      <c r="L548" s="7">
        <f t="shared" si="17"/>
        <v>2180220085</v>
      </c>
      <c r="M548" s="7">
        <f t="shared" si="18"/>
        <v>2180220085</v>
      </c>
      <c r="N548" s="3" t="s">
        <v>179</v>
      </c>
      <c r="O548" s="5" t="s">
        <v>780</v>
      </c>
      <c r="P548" s="3" t="s">
        <v>696</v>
      </c>
      <c r="Q548" s="3" t="s">
        <v>180</v>
      </c>
      <c r="R548" s="2">
        <v>0</v>
      </c>
      <c r="S548" s="3" t="s">
        <v>314</v>
      </c>
      <c r="T548" s="3" t="s">
        <v>254</v>
      </c>
      <c r="U548" s="3" t="s">
        <v>195</v>
      </c>
      <c r="V548" s="3" t="s">
        <v>66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422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23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>
        <f>(($AQ548+$AS548+$AU548++$AT548+$AV548+$AW548+$AX548)/3)+IF(($AP548+$AR548)&gt;=1,ROUNDUP(($AP548+$AR548)/3,0),0)</f>
        <v>8</v>
      </c>
      <c r="AZ548" s="2">
        <f>(($AQ548+$AS548+$AU548++$AT548+$AV548+$AW548+$AX548)/3)+IF(($AP548+$AR548)&gt;=1,ROUNDDOWN(($AP548+$AR548)/3,0),0)</f>
        <v>7</v>
      </c>
      <c r="BA548" s="2">
        <f>(($AQ548+$AS548+$AU548++$AT548+$AV548+$AW548+$AX548)/3)+(IF(($AP548+$AR548)&gt;=($AY548+$AZ548),(($AP548+$AR548)-($AY548+$AZ548)),0))</f>
        <v>8</v>
      </c>
      <c r="BB548" s="3" t="s">
        <v>66</v>
      </c>
      <c r="BC548" s="3" t="s">
        <v>66</v>
      </c>
      <c r="BD548" s="2">
        <v>731558</v>
      </c>
      <c r="BE548" s="2">
        <v>3762003</v>
      </c>
      <c r="BF548" s="4"/>
      <c r="BG548" s="4"/>
      <c r="BH548" s="4"/>
      <c r="BI548" s="2">
        <v>0</v>
      </c>
      <c r="BJ548" s="2">
        <v>0</v>
      </c>
    </row>
    <row r="549" spans="1:62" ht="58" hidden="1" x14ac:dyDescent="0.35">
      <c r="A549" s="2">
        <v>104198</v>
      </c>
      <c r="B549" s="2">
        <v>547</v>
      </c>
      <c r="C549" s="3" t="s">
        <v>57</v>
      </c>
      <c r="D549" s="3" t="s">
        <v>445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17240920211</v>
      </c>
      <c r="L549" s="7">
        <f t="shared" si="17"/>
        <v>2180220085</v>
      </c>
      <c r="M549" s="7">
        <f t="shared" si="18"/>
        <v>17240920211</v>
      </c>
      <c r="N549" s="3" t="s">
        <v>179</v>
      </c>
      <c r="O549" s="5" t="s">
        <v>446</v>
      </c>
      <c r="P549" s="3" t="s">
        <v>66</v>
      </c>
      <c r="Q549" s="3" t="s">
        <v>180</v>
      </c>
      <c r="R549" s="2">
        <v>0</v>
      </c>
      <c r="S549" s="3" t="s">
        <v>66</v>
      </c>
      <c r="T549" s="3" t="s">
        <v>168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443</v>
      </c>
      <c r="AC549" s="2">
        <v>0</v>
      </c>
      <c r="AD549" s="3" t="s">
        <v>68</v>
      </c>
      <c r="AE549" s="3" t="s">
        <v>71</v>
      </c>
      <c r="AF549" s="3" t="s">
        <v>172</v>
      </c>
      <c r="AG549" s="3" t="s">
        <v>173</v>
      </c>
      <c r="AH549" s="3" t="s">
        <v>217</v>
      </c>
      <c r="AI549" s="3" t="s">
        <v>66</v>
      </c>
      <c r="AJ549" s="3" t="s">
        <v>66</v>
      </c>
      <c r="AK549" s="3" t="s">
        <v>205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3" t="s">
        <v>410</v>
      </c>
      <c r="BC549" s="3" t="s">
        <v>444</v>
      </c>
      <c r="BD549" s="2">
        <v>731602</v>
      </c>
      <c r="BE549" s="2">
        <v>3761964</v>
      </c>
      <c r="BF549" s="4"/>
      <c r="BG549" s="4"/>
      <c r="BH549" s="4"/>
      <c r="BI549" s="4"/>
      <c r="BJ549" s="2">
        <v>0</v>
      </c>
    </row>
    <row r="550" spans="1:62" x14ac:dyDescent="0.35">
      <c r="A550" s="2">
        <v>104199</v>
      </c>
      <c r="B550" s="2">
        <v>548</v>
      </c>
      <c r="C550" s="3" t="s">
        <v>57</v>
      </c>
      <c r="D550" s="3" t="s">
        <v>445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17240920211</v>
      </c>
      <c r="L550" s="7">
        <f t="shared" si="17"/>
        <v>17240920211</v>
      </c>
      <c r="M550" s="7">
        <f t="shared" si="18"/>
        <v>17240920211</v>
      </c>
      <c r="N550" s="3" t="s">
        <v>179</v>
      </c>
      <c r="O550" s="5" t="s">
        <v>446</v>
      </c>
      <c r="P550" s="3" t="s">
        <v>183</v>
      </c>
      <c r="Q550" s="3" t="s">
        <v>180</v>
      </c>
      <c r="R550" s="2">
        <v>0</v>
      </c>
      <c r="S550" s="3" t="s">
        <v>314</v>
      </c>
      <c r="T550" s="3" t="s">
        <v>168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443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16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>
        <f>(($AQ550+$AS550+$AU550++$AT550+$AV550+$AW550+$AX550)/3)+IF(($AP550+$AR550)&gt;=1,ROUNDUP(($AP550+$AR550)/3,0),0)</f>
        <v>6</v>
      </c>
      <c r="AZ550" s="2">
        <f>(($AQ550+$AS550+$AU550++$AT550+$AV550+$AW550+$AX550)/3)+IF(($AP550+$AR550)&gt;=1,ROUNDDOWN(($AP550+$AR550)/3,0),0)</f>
        <v>5</v>
      </c>
      <c r="BA550" s="2">
        <f>(($AQ550+$AS550+$AU550++$AT550+$AV550+$AW550+$AX550)/3)+(IF(($AP550+$AR550)&gt;=($AY550+$AZ550),(($AP550+$AR550)-($AY550+$AZ550)),0))</f>
        <v>5</v>
      </c>
      <c r="BB550" s="3" t="s">
        <v>66</v>
      </c>
      <c r="BC550" s="3" t="s">
        <v>66</v>
      </c>
      <c r="BD550" s="2">
        <v>731602</v>
      </c>
      <c r="BE550" s="2">
        <v>3761964</v>
      </c>
      <c r="BF550" s="4"/>
      <c r="BG550" s="4"/>
      <c r="BH550" s="4"/>
      <c r="BI550" s="2">
        <v>0</v>
      </c>
      <c r="BJ550" s="2">
        <v>0</v>
      </c>
    </row>
    <row r="551" spans="1:62" hidden="1" x14ac:dyDescent="0.35">
      <c r="A551" s="2">
        <v>104200</v>
      </c>
      <c r="B551" s="2">
        <v>549</v>
      </c>
      <c r="C551" s="3" t="s">
        <v>57</v>
      </c>
      <c r="D551" s="3" t="s">
        <v>781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17240920211</v>
      </c>
      <c r="L551" s="7">
        <f t="shared" si="17"/>
        <v>17240920211</v>
      </c>
      <c r="M551" s="7">
        <f t="shared" si="18"/>
        <v>2180220087</v>
      </c>
      <c r="N551" s="3" t="s">
        <v>179</v>
      </c>
      <c r="O551" s="5" t="s">
        <v>446</v>
      </c>
      <c r="P551" s="3" t="s">
        <v>66</v>
      </c>
      <c r="Q551" s="3" t="s">
        <v>180</v>
      </c>
      <c r="R551" s="2">
        <v>0</v>
      </c>
      <c r="S551" s="3" t="s">
        <v>314</v>
      </c>
      <c r="T551" s="3" t="s">
        <v>168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443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3" t="s">
        <v>66</v>
      </c>
      <c r="BC551" s="3" t="s">
        <v>66</v>
      </c>
      <c r="BD551" s="2">
        <v>731602</v>
      </c>
      <c r="BE551" s="2">
        <v>3761964</v>
      </c>
      <c r="BF551" s="4"/>
      <c r="BG551" s="4"/>
      <c r="BH551" s="4"/>
      <c r="BI551" s="2">
        <v>0</v>
      </c>
      <c r="BJ551" s="2">
        <v>0</v>
      </c>
    </row>
    <row r="552" spans="1:62" x14ac:dyDescent="0.35">
      <c r="A552" s="2">
        <v>104201</v>
      </c>
      <c r="B552" s="2">
        <v>550</v>
      </c>
      <c r="C552" s="3" t="s">
        <v>57</v>
      </c>
      <c r="D552" s="3" t="s">
        <v>781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2180220087</v>
      </c>
      <c r="L552" s="7">
        <f t="shared" si="17"/>
        <v>2180220087</v>
      </c>
      <c r="M552" s="7">
        <f t="shared" si="18"/>
        <v>2180220087</v>
      </c>
      <c r="N552" s="3" t="s">
        <v>179</v>
      </c>
      <c r="O552" s="5" t="s">
        <v>782</v>
      </c>
      <c r="P552" s="3" t="s">
        <v>183</v>
      </c>
      <c r="Q552" s="3" t="s">
        <v>180</v>
      </c>
      <c r="R552" s="2">
        <v>0</v>
      </c>
      <c r="S552" s="3" t="s">
        <v>314</v>
      </c>
      <c r="T552" s="3" t="s">
        <v>254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443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28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10</v>
      </c>
      <c r="AZ552" s="2">
        <f>(($AQ552+$AS552+$AU552++$AT552+$AV552+$AW552+$AX552)/3)+IF(($AP552+$AR552)&gt;=1,ROUNDDOWN(($AP552+$AR552)/3,0),0)</f>
        <v>9</v>
      </c>
      <c r="BA552" s="2">
        <f>(($AQ552+$AS552+$AU552++$AT552+$AV552+$AW552+$AX552)/3)+(IF(($AP552+$AR552)&gt;=($AY552+$AZ552),(($AP552+$AR552)-($AY552+$AZ552)),0))</f>
        <v>9</v>
      </c>
      <c r="BB552" s="3" t="s">
        <v>66</v>
      </c>
      <c r="BC552" s="3" t="s">
        <v>66</v>
      </c>
      <c r="BD552" s="2">
        <v>731580.00000000105</v>
      </c>
      <c r="BE552" s="2">
        <v>3761928</v>
      </c>
      <c r="BF552" s="4"/>
      <c r="BG552" s="4"/>
      <c r="BH552" s="4"/>
      <c r="BI552" s="2">
        <v>0</v>
      </c>
      <c r="BJ552" s="2">
        <v>0</v>
      </c>
    </row>
    <row r="553" spans="1:62" ht="58" hidden="1" x14ac:dyDescent="0.35">
      <c r="A553" s="2">
        <v>104202</v>
      </c>
      <c r="B553" s="2">
        <v>551</v>
      </c>
      <c r="C553" s="3" t="s">
        <v>57</v>
      </c>
      <c r="D553" s="3" t="s">
        <v>783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17240920216</v>
      </c>
      <c r="L553" s="7">
        <f t="shared" si="17"/>
        <v>2180220087</v>
      </c>
      <c r="M553" s="7">
        <f t="shared" si="18"/>
        <v>2180220089</v>
      </c>
      <c r="N553" s="3" t="s">
        <v>179</v>
      </c>
      <c r="O553" s="5" t="s">
        <v>457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453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231</v>
      </c>
      <c r="AI553" s="3" t="s">
        <v>66</v>
      </c>
      <c r="AJ553" s="3" t="s">
        <v>66</v>
      </c>
      <c r="AK553" s="3" t="s">
        <v>318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3" t="s">
        <v>410</v>
      </c>
      <c r="BC553" s="3" t="s">
        <v>455</v>
      </c>
      <c r="BD553" s="2">
        <v>731746.00000000105</v>
      </c>
      <c r="BE553" s="2">
        <v>3761799</v>
      </c>
      <c r="BF553" s="4"/>
      <c r="BG553" s="4"/>
      <c r="BH553" s="4"/>
      <c r="BI553" s="4"/>
      <c r="BJ553" s="2">
        <v>0</v>
      </c>
    </row>
    <row r="554" spans="1:62" x14ac:dyDescent="0.35">
      <c r="A554" s="2">
        <v>104203</v>
      </c>
      <c r="B554" s="2">
        <v>552</v>
      </c>
      <c r="C554" s="3" t="s">
        <v>57</v>
      </c>
      <c r="D554" s="3" t="s">
        <v>783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2180220089</v>
      </c>
      <c r="L554" s="7">
        <f t="shared" si="17"/>
        <v>2180220089</v>
      </c>
      <c r="M554" s="7">
        <f t="shared" si="18"/>
        <v>2180220089</v>
      </c>
      <c r="N554" s="3" t="s">
        <v>179</v>
      </c>
      <c r="O554" s="5" t="s">
        <v>784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84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453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3</v>
      </c>
      <c r="AZ554" s="2">
        <f>(($AQ554+$AS554+$AU554++$AT554+$AV554+$AW554+$AX554)/3)+IF(($AP554+$AR554)&gt;=1,ROUNDDOWN(($AP554+$AR554)/3,0),0)</f>
        <v>3</v>
      </c>
      <c r="BA554" s="2">
        <f>(($AQ554+$AS554+$AU554++$AT554+$AV554+$AW554+$AX554)/3)+(IF(($AP554+$AR554)&gt;=($AY554+$AZ554),(($AP554+$AR554)-($AY554+$AZ554)),0))</f>
        <v>3</v>
      </c>
      <c r="BB554" s="3" t="s">
        <v>66</v>
      </c>
      <c r="BC554" s="3" t="s">
        <v>66</v>
      </c>
      <c r="BD554" s="2">
        <v>731737</v>
      </c>
      <c r="BE554" s="2">
        <v>3761758</v>
      </c>
      <c r="BF554" s="4"/>
      <c r="BG554" s="4"/>
      <c r="BH554" s="4"/>
      <c r="BI554" s="4"/>
      <c r="BJ554" s="2">
        <v>0</v>
      </c>
    </row>
    <row r="555" spans="1:62" hidden="1" x14ac:dyDescent="0.35">
      <c r="A555" s="2">
        <v>104204</v>
      </c>
      <c r="B555" s="2">
        <v>553</v>
      </c>
      <c r="C555" s="3" t="s">
        <v>57</v>
      </c>
      <c r="D555" s="3" t="s">
        <v>785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2180220089</v>
      </c>
      <c r="L555" s="7">
        <f t="shared" si="17"/>
        <v>2180220089</v>
      </c>
      <c r="M555" s="7">
        <f t="shared" si="18"/>
        <v>2180220090</v>
      </c>
      <c r="N555" s="3" t="s">
        <v>179</v>
      </c>
      <c r="O555" s="5" t="s">
        <v>784</v>
      </c>
      <c r="P555" s="3" t="s">
        <v>66</v>
      </c>
      <c r="Q555" s="3" t="s">
        <v>180</v>
      </c>
      <c r="R555" s="2">
        <v>0</v>
      </c>
      <c r="S555" s="3" t="s">
        <v>314</v>
      </c>
      <c r="T555" s="3" t="s">
        <v>84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453</v>
      </c>
      <c r="AC555" s="2">
        <v>0</v>
      </c>
      <c r="AD555" s="3" t="s">
        <v>68</v>
      </c>
      <c r="AE555" s="3" t="s">
        <v>71</v>
      </c>
      <c r="AF555" s="3" t="s">
        <v>66</v>
      </c>
      <c r="AG555" s="3" t="s">
        <v>66</v>
      </c>
      <c r="AH555" s="3" t="s">
        <v>66</v>
      </c>
      <c r="AI555" s="3" t="s">
        <v>66</v>
      </c>
      <c r="AJ555" s="3" t="s">
        <v>66</v>
      </c>
      <c r="AK555" s="3" t="s">
        <v>66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3" t="s">
        <v>66</v>
      </c>
      <c r="BC555" s="3" t="s">
        <v>66</v>
      </c>
      <c r="BD555" s="2">
        <v>731737</v>
      </c>
      <c r="BE555" s="2">
        <v>3761758</v>
      </c>
      <c r="BF555" s="4"/>
      <c r="BG555" s="4"/>
      <c r="BH555" s="4"/>
      <c r="BI555" s="4"/>
      <c r="BJ555" s="2">
        <v>0</v>
      </c>
    </row>
    <row r="556" spans="1:62" x14ac:dyDescent="0.35">
      <c r="A556" s="2">
        <v>104205</v>
      </c>
      <c r="B556" s="2">
        <v>554</v>
      </c>
      <c r="C556" s="3" t="s">
        <v>57</v>
      </c>
      <c r="D556" s="3" t="s">
        <v>785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2180220090</v>
      </c>
      <c r="L556" s="7">
        <f t="shared" si="17"/>
        <v>2180220090</v>
      </c>
      <c r="M556" s="7">
        <f t="shared" si="18"/>
        <v>2180220090</v>
      </c>
      <c r="N556" s="3" t="s">
        <v>179</v>
      </c>
      <c r="O556" s="5" t="s">
        <v>786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84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453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25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9</v>
      </c>
      <c r="AZ556" s="2">
        <f>(($AQ556+$AS556+$AU556++$AT556+$AV556+$AW556+$AX556)/3)+IF(($AP556+$AR556)&gt;=1,ROUNDDOWN(($AP556+$AR556)/3,0),0)</f>
        <v>8</v>
      </c>
      <c r="BA556" s="2">
        <f>(($AQ556+$AS556+$AU556++$AT556+$AV556+$AW556+$AX556)/3)+(IF(($AP556+$AR556)&gt;=($AY556+$AZ556),(($AP556+$AR556)-($AY556+$AZ556)),0))</f>
        <v>8</v>
      </c>
      <c r="BB556" s="3" t="s">
        <v>66</v>
      </c>
      <c r="BC556" s="3" t="s">
        <v>66</v>
      </c>
      <c r="BD556" s="2">
        <v>731682.00000000105</v>
      </c>
      <c r="BE556" s="2">
        <v>3761788</v>
      </c>
      <c r="BF556" s="4"/>
      <c r="BG556" s="4"/>
      <c r="BH556" s="4"/>
      <c r="BI556" s="4"/>
      <c r="BJ556" s="2">
        <v>0</v>
      </c>
    </row>
    <row r="557" spans="1:62" hidden="1" x14ac:dyDescent="0.35">
      <c r="A557" s="2">
        <v>104206</v>
      </c>
      <c r="B557" s="2">
        <v>555</v>
      </c>
      <c r="C557" s="3" t="s">
        <v>57</v>
      </c>
      <c r="D557" s="3" t="s">
        <v>787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2180220090</v>
      </c>
      <c r="L557" s="7">
        <f t="shared" si="17"/>
        <v>2180220090</v>
      </c>
      <c r="M557" s="7">
        <f t="shared" si="18"/>
        <v>2180220091</v>
      </c>
      <c r="N557" s="3" t="s">
        <v>179</v>
      </c>
      <c r="O557" s="5" t="s">
        <v>786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84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453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3" t="s">
        <v>66</v>
      </c>
      <c r="BC557" s="3" t="s">
        <v>66</v>
      </c>
      <c r="BD557" s="2">
        <v>731682.00000000105</v>
      </c>
      <c r="BE557" s="2">
        <v>3761788</v>
      </c>
      <c r="BF557" s="4"/>
      <c r="BG557" s="4"/>
      <c r="BH557" s="4"/>
      <c r="BI557" s="4"/>
      <c r="BJ557" s="2">
        <v>0</v>
      </c>
    </row>
    <row r="558" spans="1:62" x14ac:dyDescent="0.35">
      <c r="A558" s="2">
        <v>104207</v>
      </c>
      <c r="B558" s="2">
        <v>556</v>
      </c>
      <c r="C558" s="3" t="s">
        <v>57</v>
      </c>
      <c r="D558" s="3" t="s">
        <v>787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2180220091</v>
      </c>
      <c r="L558" s="7">
        <f t="shared" si="17"/>
        <v>2180220091</v>
      </c>
      <c r="M558" s="7">
        <f t="shared" si="18"/>
        <v>2180220091</v>
      </c>
      <c r="N558" s="3" t="s">
        <v>179</v>
      </c>
      <c r="O558" s="5" t="s">
        <v>788</v>
      </c>
      <c r="P558" s="3" t="s">
        <v>183</v>
      </c>
      <c r="Q558" s="3" t="s">
        <v>180</v>
      </c>
      <c r="R558" s="2">
        <v>0</v>
      </c>
      <c r="S558" s="3" t="s">
        <v>314</v>
      </c>
      <c r="T558" s="3" t="s">
        <v>84</v>
      </c>
      <c r="U558" s="3" t="s">
        <v>195</v>
      </c>
      <c r="V558" s="3" t="s">
        <v>195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453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12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4</v>
      </c>
      <c r="AZ558" s="2">
        <f>(($AQ558+$AS558+$AU558++$AT558+$AV558+$AW558+$AX558)/3)+IF(($AP558+$AR558)&gt;=1,ROUNDDOWN(($AP558+$AR558)/3,0),0)</f>
        <v>4</v>
      </c>
      <c r="BA558" s="2">
        <f>(($AQ558+$AS558+$AU558++$AT558+$AV558+$AW558+$AX558)/3)+(IF(($AP558+$AR558)&gt;=($AY558+$AZ558),(($AP558+$AR558)-($AY558+$AZ558)),0))</f>
        <v>4</v>
      </c>
      <c r="BB558" s="3" t="s">
        <v>66</v>
      </c>
      <c r="BC558" s="3" t="s">
        <v>66</v>
      </c>
      <c r="BD558" s="2">
        <v>731650</v>
      </c>
      <c r="BE558" s="2">
        <v>3761738</v>
      </c>
      <c r="BF558" s="4"/>
      <c r="BG558" s="4"/>
      <c r="BH558" s="4"/>
      <c r="BI558" s="4"/>
      <c r="BJ558" s="2">
        <v>0</v>
      </c>
    </row>
    <row r="559" spans="1:62" hidden="1" x14ac:dyDescent="0.35">
      <c r="A559" s="2">
        <v>104208</v>
      </c>
      <c r="B559" s="2">
        <v>557</v>
      </c>
      <c r="C559" s="3" t="s">
        <v>57</v>
      </c>
      <c r="D559" s="3" t="s">
        <v>789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2180220091</v>
      </c>
      <c r="L559" s="7">
        <f t="shared" si="17"/>
        <v>2180220091</v>
      </c>
      <c r="M559" s="7">
        <f t="shared" si="18"/>
        <v>2180220092</v>
      </c>
      <c r="N559" s="3" t="s">
        <v>179</v>
      </c>
      <c r="O559" s="5" t="s">
        <v>788</v>
      </c>
      <c r="P559" s="3" t="s">
        <v>66</v>
      </c>
      <c r="Q559" s="3" t="s">
        <v>180</v>
      </c>
      <c r="R559" s="2">
        <v>0</v>
      </c>
      <c r="S559" s="3" t="s">
        <v>314</v>
      </c>
      <c r="T559" s="3" t="s">
        <v>84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453</v>
      </c>
      <c r="AC559" s="2">
        <v>0</v>
      </c>
      <c r="AD559" s="3" t="s">
        <v>68</v>
      </c>
      <c r="AE559" s="3" t="s">
        <v>71</v>
      </c>
      <c r="AF559" s="3" t="s">
        <v>66</v>
      </c>
      <c r="AG559" s="3" t="s">
        <v>66</v>
      </c>
      <c r="AH559" s="3" t="s">
        <v>66</v>
      </c>
      <c r="AI559" s="3" t="s">
        <v>66</v>
      </c>
      <c r="AJ559" s="3" t="s">
        <v>66</v>
      </c>
      <c r="AK559" s="3" t="s">
        <v>66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3" t="s">
        <v>66</v>
      </c>
      <c r="BC559" s="3" t="s">
        <v>66</v>
      </c>
      <c r="BD559" s="2">
        <v>731650</v>
      </c>
      <c r="BE559" s="2">
        <v>3761738</v>
      </c>
      <c r="BF559" s="4"/>
      <c r="BG559" s="4"/>
      <c r="BH559" s="4"/>
      <c r="BI559" s="4"/>
      <c r="BJ559" s="2">
        <v>0</v>
      </c>
    </row>
    <row r="560" spans="1:62" x14ac:dyDescent="0.35">
      <c r="A560" s="2">
        <v>104209</v>
      </c>
      <c r="B560" s="2">
        <v>558</v>
      </c>
      <c r="C560" s="3" t="s">
        <v>57</v>
      </c>
      <c r="D560" s="3" t="s">
        <v>789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2180220092</v>
      </c>
      <c r="L560" s="7">
        <f t="shared" si="17"/>
        <v>2180220092</v>
      </c>
      <c r="M560" s="7">
        <f t="shared" si="18"/>
        <v>2180220092</v>
      </c>
      <c r="N560" s="3" t="s">
        <v>179</v>
      </c>
      <c r="O560" s="5" t="s">
        <v>790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84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453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9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3</v>
      </c>
      <c r="AZ560" s="2">
        <f>(($AQ560+$AS560+$AU560++$AT560+$AV560+$AW560+$AX560)/3)+IF(($AP560+$AR560)&gt;=1,ROUNDDOWN(($AP560+$AR560)/3,0),0)</f>
        <v>3</v>
      </c>
      <c r="BA560" s="2">
        <f>(($AQ560+$AS560+$AU560++$AT560+$AV560+$AW560+$AX560)/3)+(IF(($AP560+$AR560)&gt;=($AY560+$AZ560),(($AP560+$AR560)-($AY560+$AZ560)),0))</f>
        <v>3</v>
      </c>
      <c r="BB560" s="3" t="s">
        <v>66</v>
      </c>
      <c r="BC560" s="3" t="s">
        <v>66</v>
      </c>
      <c r="BD560" s="2">
        <v>731604</v>
      </c>
      <c r="BE560" s="2">
        <v>3761685</v>
      </c>
      <c r="BF560" s="4"/>
      <c r="BG560" s="4"/>
      <c r="BH560" s="4"/>
      <c r="BI560" s="4"/>
      <c r="BJ560" s="2">
        <v>0</v>
      </c>
    </row>
    <row r="561" spans="1:62" ht="58" hidden="1" x14ac:dyDescent="0.35">
      <c r="A561" s="2">
        <v>104210</v>
      </c>
      <c r="B561" s="2">
        <v>559</v>
      </c>
      <c r="C561" s="3" t="s">
        <v>57</v>
      </c>
      <c r="D561" s="3" t="s">
        <v>791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17240920216</v>
      </c>
      <c r="L561" s="7">
        <f t="shared" si="17"/>
        <v>2180220092</v>
      </c>
      <c r="M561" s="7">
        <f t="shared" si="18"/>
        <v>2180220095</v>
      </c>
      <c r="N561" s="3" t="s">
        <v>179</v>
      </c>
      <c r="O561" s="5" t="s">
        <v>457</v>
      </c>
      <c r="P561" s="3" t="s">
        <v>66</v>
      </c>
      <c r="Q561" s="3" t="s">
        <v>180</v>
      </c>
      <c r="R561" s="2">
        <v>0</v>
      </c>
      <c r="S561" s="3" t="s">
        <v>66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453</v>
      </c>
      <c r="AC561" s="2">
        <v>0</v>
      </c>
      <c r="AD561" s="3" t="s">
        <v>68</v>
      </c>
      <c r="AE561" s="3" t="s">
        <v>71</v>
      </c>
      <c r="AF561" s="3" t="s">
        <v>172</v>
      </c>
      <c r="AG561" s="3" t="s">
        <v>173</v>
      </c>
      <c r="AH561" s="3" t="s">
        <v>231</v>
      </c>
      <c r="AI561" s="3" t="s">
        <v>66</v>
      </c>
      <c r="AJ561" s="3" t="s">
        <v>66</v>
      </c>
      <c r="AK561" s="3" t="s">
        <v>318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3" t="s">
        <v>410</v>
      </c>
      <c r="BC561" s="3" t="s">
        <v>455</v>
      </c>
      <c r="BD561" s="2">
        <v>731746.00000000105</v>
      </c>
      <c r="BE561" s="2">
        <v>3761799</v>
      </c>
      <c r="BF561" s="4"/>
      <c r="BG561" s="4"/>
      <c r="BH561" s="4"/>
      <c r="BI561" s="4"/>
      <c r="BJ561" s="2">
        <v>0</v>
      </c>
    </row>
    <row r="562" spans="1:62" x14ac:dyDescent="0.35">
      <c r="A562" s="2">
        <v>104211</v>
      </c>
      <c r="B562" s="2">
        <v>560</v>
      </c>
      <c r="C562" s="3" t="s">
        <v>57</v>
      </c>
      <c r="D562" s="3" t="s">
        <v>791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2180220095</v>
      </c>
      <c r="L562" s="7">
        <f t="shared" si="17"/>
        <v>2180220095</v>
      </c>
      <c r="M562" s="7">
        <f t="shared" si="18"/>
        <v>2180220095</v>
      </c>
      <c r="N562" s="3" t="s">
        <v>179</v>
      </c>
      <c r="O562" s="5" t="s">
        <v>792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84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453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16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6</v>
      </c>
      <c r="AZ562" s="2">
        <f>(($AQ562+$AS562+$AU562++$AT562+$AV562+$AW562+$AX562)/3)+IF(($AP562+$AR562)&gt;=1,ROUNDDOWN(($AP562+$AR562)/3,0),0)</f>
        <v>5</v>
      </c>
      <c r="BA562" s="2">
        <f>(($AQ562+$AS562+$AU562++$AT562+$AV562+$AW562+$AX562)/3)+(IF(($AP562+$AR562)&gt;=($AY562+$AZ562),(($AP562+$AR562)-($AY562+$AZ562)),0))</f>
        <v>5</v>
      </c>
      <c r="BB562" s="3" t="s">
        <v>66</v>
      </c>
      <c r="BC562" s="3" t="s">
        <v>66</v>
      </c>
      <c r="BD562" s="2">
        <v>731745</v>
      </c>
      <c r="BE562" s="2">
        <v>3761832</v>
      </c>
      <c r="BF562" s="4"/>
      <c r="BG562" s="4"/>
      <c r="BH562" s="4"/>
      <c r="BI562" s="4"/>
      <c r="BJ562" s="2">
        <v>0</v>
      </c>
    </row>
    <row r="563" spans="1:62" hidden="1" x14ac:dyDescent="0.35">
      <c r="A563" s="2">
        <v>104212</v>
      </c>
      <c r="B563" s="2">
        <v>561</v>
      </c>
      <c r="C563" s="3" t="s">
        <v>57</v>
      </c>
      <c r="D563" s="3" t="s">
        <v>793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2180220095</v>
      </c>
      <c r="L563" s="7">
        <f t="shared" si="17"/>
        <v>2180220095</v>
      </c>
      <c r="M563" s="7">
        <f t="shared" si="18"/>
        <v>2180220096</v>
      </c>
      <c r="N563" s="3" t="s">
        <v>179</v>
      </c>
      <c r="O563" s="5" t="s">
        <v>792</v>
      </c>
      <c r="P563" s="3" t="s">
        <v>66</v>
      </c>
      <c r="Q563" s="3" t="s">
        <v>180</v>
      </c>
      <c r="R563" s="2">
        <v>0</v>
      </c>
      <c r="S563" s="3" t="s">
        <v>314</v>
      </c>
      <c r="T563" s="3" t="s">
        <v>84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66</v>
      </c>
      <c r="AG563" s="3" t="s">
        <v>66</v>
      </c>
      <c r="AH563" s="3" t="s">
        <v>66</v>
      </c>
      <c r="AI563" s="3" t="s">
        <v>66</v>
      </c>
      <c r="AJ563" s="3" t="s">
        <v>66</v>
      </c>
      <c r="AK563" s="3" t="s">
        <v>66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3" t="s">
        <v>66</v>
      </c>
      <c r="BC563" s="3" t="s">
        <v>66</v>
      </c>
      <c r="BD563" s="2">
        <v>731745</v>
      </c>
      <c r="BE563" s="2">
        <v>3761832</v>
      </c>
      <c r="BF563" s="4"/>
      <c r="BG563" s="4"/>
      <c r="BH563" s="4"/>
      <c r="BI563" s="4"/>
      <c r="BJ563" s="2">
        <v>0</v>
      </c>
    </row>
    <row r="564" spans="1:62" x14ac:dyDescent="0.35">
      <c r="A564" s="2">
        <v>104213</v>
      </c>
      <c r="B564" s="2">
        <v>562</v>
      </c>
      <c r="C564" s="3" t="s">
        <v>57</v>
      </c>
      <c r="D564" s="3" t="s">
        <v>793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2180220096</v>
      </c>
      <c r="L564" s="7">
        <f t="shared" si="17"/>
        <v>2180220096</v>
      </c>
      <c r="M564" s="7">
        <f t="shared" si="18"/>
        <v>2180220096</v>
      </c>
      <c r="N564" s="3" t="s">
        <v>179</v>
      </c>
      <c r="O564" s="5" t="s">
        <v>794</v>
      </c>
      <c r="P564" s="3" t="s">
        <v>733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66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13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5</v>
      </c>
      <c r="AZ564" s="2">
        <f>(($AQ564+$AS564+$AU564++$AT564+$AV564+$AW564+$AX564)/3)+IF(($AP564+$AR564)&gt;=1,ROUNDDOWN(($AP564+$AR564)/3,0),0)</f>
        <v>4</v>
      </c>
      <c r="BA564" s="2">
        <f>(($AQ564+$AS564+$AU564++$AT564+$AV564+$AW564+$AX564)/3)+(IF(($AP564+$AR564)&gt;=($AY564+$AZ564),(($AP564+$AR564)-($AY564+$AZ564)),0))</f>
        <v>4</v>
      </c>
      <c r="BB564" s="3" t="s">
        <v>66</v>
      </c>
      <c r="BC564" s="3" t="s">
        <v>66</v>
      </c>
      <c r="BD564" s="2">
        <v>731746.00000000105</v>
      </c>
      <c r="BE564" s="2">
        <v>3761832</v>
      </c>
      <c r="BF564" s="4"/>
      <c r="BG564" s="4"/>
      <c r="BH564" s="4"/>
      <c r="BI564" s="4"/>
      <c r="BJ564" s="2">
        <v>0</v>
      </c>
    </row>
    <row r="565" spans="1:62" hidden="1" x14ac:dyDescent="0.35">
      <c r="A565" s="2">
        <v>104214</v>
      </c>
      <c r="B565" s="2">
        <v>563</v>
      </c>
      <c r="C565" s="3" t="s">
        <v>57</v>
      </c>
      <c r="D565" s="3" t="s">
        <v>795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2180220096</v>
      </c>
      <c r="L565" s="7">
        <f t="shared" si="17"/>
        <v>2180220096</v>
      </c>
      <c r="M565" s="7">
        <f t="shared" si="18"/>
        <v>2180220097</v>
      </c>
      <c r="N565" s="3" t="s">
        <v>179</v>
      </c>
      <c r="O565" s="5" t="s">
        <v>794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3" t="s">
        <v>66</v>
      </c>
      <c r="BC565" s="3" t="s">
        <v>66</v>
      </c>
      <c r="BD565" s="2">
        <v>731746.00000000105</v>
      </c>
      <c r="BE565" s="2">
        <v>3761832</v>
      </c>
      <c r="BF565" s="4"/>
      <c r="BG565" s="4"/>
      <c r="BH565" s="4"/>
      <c r="BI565" s="4"/>
      <c r="BJ565" s="2">
        <v>0</v>
      </c>
    </row>
    <row r="566" spans="1:62" x14ac:dyDescent="0.35">
      <c r="A566" s="2">
        <v>104215</v>
      </c>
      <c r="B566" s="2">
        <v>564</v>
      </c>
      <c r="C566" s="3" t="s">
        <v>57</v>
      </c>
      <c r="D566" s="3" t="s">
        <v>795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2180220097</v>
      </c>
      <c r="L566" s="7">
        <f t="shared" si="17"/>
        <v>2180220097</v>
      </c>
      <c r="M566" s="7">
        <f t="shared" si="18"/>
        <v>2180220097</v>
      </c>
      <c r="N566" s="3" t="s">
        <v>179</v>
      </c>
      <c r="O566" s="5" t="s">
        <v>796</v>
      </c>
      <c r="P566" s="3" t="s">
        <v>733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66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26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9</v>
      </c>
      <c r="BB566" s="3" t="s">
        <v>66</v>
      </c>
      <c r="BC566" s="3" t="s">
        <v>66</v>
      </c>
      <c r="BD566" s="2">
        <v>731745</v>
      </c>
      <c r="BE566" s="2">
        <v>3761919</v>
      </c>
      <c r="BF566" s="4"/>
      <c r="BG566" s="4"/>
      <c r="BH566" s="4"/>
      <c r="BI566" s="4"/>
      <c r="BJ566" s="2">
        <v>0</v>
      </c>
    </row>
    <row r="567" spans="1:62" ht="58" hidden="1" x14ac:dyDescent="0.35">
      <c r="A567" s="2">
        <v>104216</v>
      </c>
      <c r="B567" s="2">
        <v>565</v>
      </c>
      <c r="C567" s="3" t="s">
        <v>57</v>
      </c>
      <c r="D567" s="3" t="s">
        <v>797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17240920225</v>
      </c>
      <c r="L567" s="7">
        <f t="shared" si="17"/>
        <v>2180220097</v>
      </c>
      <c r="M567" s="7">
        <f t="shared" si="18"/>
        <v>2180220099</v>
      </c>
      <c r="N567" s="3" t="s">
        <v>179</v>
      </c>
      <c r="O567" s="5" t="s">
        <v>479</v>
      </c>
      <c r="P567" s="3" t="s">
        <v>66</v>
      </c>
      <c r="Q567" s="3" t="s">
        <v>180</v>
      </c>
      <c r="R567" s="2">
        <v>0</v>
      </c>
      <c r="S567" s="3" t="s">
        <v>66</v>
      </c>
      <c r="T567" s="3" t="s">
        <v>168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475</v>
      </c>
      <c r="AC567" s="2">
        <v>0</v>
      </c>
      <c r="AD567" s="3" t="s">
        <v>68</v>
      </c>
      <c r="AE567" s="3" t="s">
        <v>71</v>
      </c>
      <c r="AF567" s="3" t="s">
        <v>172</v>
      </c>
      <c r="AG567" s="3" t="s">
        <v>173</v>
      </c>
      <c r="AH567" s="3" t="s">
        <v>174</v>
      </c>
      <c r="AI567" s="3" t="s">
        <v>66</v>
      </c>
      <c r="AJ567" s="3" t="s">
        <v>66</v>
      </c>
      <c r="AK567" s="3" t="s">
        <v>205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3" t="s">
        <v>476</v>
      </c>
      <c r="BC567" s="3" t="s">
        <v>477</v>
      </c>
      <c r="BD567" s="2">
        <v>731715.00000000198</v>
      </c>
      <c r="BE567" s="2">
        <v>3761724</v>
      </c>
      <c r="BF567" s="4"/>
      <c r="BG567" s="4"/>
      <c r="BH567" s="4"/>
      <c r="BI567" s="4"/>
      <c r="BJ567" s="2">
        <v>0</v>
      </c>
    </row>
    <row r="568" spans="1:62" x14ac:dyDescent="0.35">
      <c r="A568" s="2">
        <v>104217</v>
      </c>
      <c r="B568" s="2">
        <v>566</v>
      </c>
      <c r="C568" s="3" t="s">
        <v>57</v>
      </c>
      <c r="D568" s="3" t="s">
        <v>797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2180220099</v>
      </c>
      <c r="L568" s="7">
        <f t="shared" si="17"/>
        <v>2180220099</v>
      </c>
      <c r="M568" s="7">
        <f t="shared" si="18"/>
        <v>2180220099</v>
      </c>
      <c r="N568" s="3" t="s">
        <v>179</v>
      </c>
      <c r="O568" s="5" t="s">
        <v>798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254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475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1</v>
      </c>
      <c r="AZ568" s="2">
        <f>(($AQ568+$AS568+$AU568++$AT568+$AV568+$AW568+$AX568)/3)+IF(($AP568+$AR568)&gt;=1,ROUNDDOWN(($AP568+$AR568)/3,0),0)</f>
        <v>0</v>
      </c>
      <c r="BA568" s="2">
        <f>(($AQ568+$AS568+$AU568++$AT568+$AV568+$AW568+$AX568)/3)+(IF(($AP568+$AR568)&gt;=($AY568+$AZ568),(($AP568+$AR568)-($AY568+$AZ568)),0))</f>
        <v>1</v>
      </c>
      <c r="BB568" s="3" t="s">
        <v>66</v>
      </c>
      <c r="BC568" s="3" t="s">
        <v>66</v>
      </c>
      <c r="BD568" s="2">
        <v>731764.00000000105</v>
      </c>
      <c r="BE568" s="2">
        <v>3761704</v>
      </c>
      <c r="BF568" s="4"/>
      <c r="BG568" s="4"/>
      <c r="BH568" s="4"/>
      <c r="BI568" s="2">
        <v>0</v>
      </c>
      <c r="BJ568" s="2">
        <v>0</v>
      </c>
    </row>
    <row r="569" spans="1:62" hidden="1" x14ac:dyDescent="0.35">
      <c r="A569" s="2">
        <v>104218</v>
      </c>
      <c r="B569" s="2">
        <v>567</v>
      </c>
      <c r="C569" s="3" t="s">
        <v>57</v>
      </c>
      <c r="D569" s="3" t="s">
        <v>799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2180220099</v>
      </c>
      <c r="L569" s="7">
        <f t="shared" si="17"/>
        <v>2180220099</v>
      </c>
      <c r="M569" s="7">
        <f t="shared" si="18"/>
        <v>2180220100</v>
      </c>
      <c r="N569" s="3" t="s">
        <v>179</v>
      </c>
      <c r="O569" s="5" t="s">
        <v>798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254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475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3" t="s">
        <v>66</v>
      </c>
      <c r="BC569" s="3" t="s">
        <v>66</v>
      </c>
      <c r="BD569" s="2">
        <v>731764.00000000105</v>
      </c>
      <c r="BE569" s="2">
        <v>3761704</v>
      </c>
      <c r="BF569" s="4"/>
      <c r="BG569" s="4"/>
      <c r="BH569" s="4"/>
      <c r="BI569" s="2">
        <v>0</v>
      </c>
      <c r="BJ569" s="2">
        <v>0</v>
      </c>
    </row>
    <row r="570" spans="1:62" x14ac:dyDescent="0.35">
      <c r="A570" s="2">
        <v>104219</v>
      </c>
      <c r="B570" s="2">
        <v>568</v>
      </c>
      <c r="C570" s="3" t="s">
        <v>57</v>
      </c>
      <c r="D570" s="3" t="s">
        <v>799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2180220100</v>
      </c>
      <c r="L570" s="7">
        <f t="shared" si="17"/>
        <v>2180220100</v>
      </c>
      <c r="M570" s="7">
        <f t="shared" si="18"/>
        <v>2180220100</v>
      </c>
      <c r="N570" s="3" t="s">
        <v>179</v>
      </c>
      <c r="O570" s="5" t="s">
        <v>800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254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475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13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5</v>
      </c>
      <c r="AZ570" s="2">
        <f>(($AQ570+$AS570+$AU570++$AT570+$AV570+$AW570+$AX570)/3)+IF(($AP570+$AR570)&gt;=1,ROUNDDOWN(($AP570+$AR570)/3,0),0)</f>
        <v>4</v>
      </c>
      <c r="BA570" s="2">
        <f>(($AQ570+$AS570+$AU570++$AT570+$AV570+$AW570+$AX570)/3)+(IF(($AP570+$AR570)&gt;=($AY570+$AZ570),(($AP570+$AR570)-($AY570+$AZ570)),0))</f>
        <v>4</v>
      </c>
      <c r="BB570" s="3" t="s">
        <v>66</v>
      </c>
      <c r="BC570" s="3" t="s">
        <v>66</v>
      </c>
      <c r="BD570" s="2">
        <v>731819</v>
      </c>
      <c r="BE570" s="2">
        <v>3761667</v>
      </c>
      <c r="BF570" s="4"/>
      <c r="BG570" s="4"/>
      <c r="BH570" s="4"/>
      <c r="BI570" s="2">
        <v>0</v>
      </c>
      <c r="BJ570" s="2">
        <v>0</v>
      </c>
    </row>
    <row r="571" spans="1:62" ht="58" hidden="1" x14ac:dyDescent="0.35">
      <c r="A571" s="2">
        <v>104220</v>
      </c>
      <c r="B571" s="2">
        <v>569</v>
      </c>
      <c r="C571" s="3" t="s">
        <v>57</v>
      </c>
      <c r="D571" s="3" t="s">
        <v>801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17240920230</v>
      </c>
      <c r="L571" s="7">
        <f t="shared" si="17"/>
        <v>2180220100</v>
      </c>
      <c r="M571" s="7">
        <f t="shared" si="18"/>
        <v>2180220102</v>
      </c>
      <c r="N571" s="3" t="s">
        <v>179</v>
      </c>
      <c r="O571" s="5" t="s">
        <v>489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486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205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3" t="s">
        <v>476</v>
      </c>
      <c r="BC571" s="3" t="s">
        <v>487</v>
      </c>
      <c r="BD571" s="2">
        <v>731621.00000000105</v>
      </c>
      <c r="BE571" s="2">
        <v>3761640</v>
      </c>
      <c r="BF571" s="4"/>
      <c r="BG571" s="4"/>
      <c r="BH571" s="4"/>
      <c r="BI571" s="4"/>
      <c r="BJ571" s="2">
        <v>0</v>
      </c>
    </row>
    <row r="572" spans="1:62" x14ac:dyDescent="0.35">
      <c r="A572" s="2">
        <v>104221</v>
      </c>
      <c r="B572" s="2">
        <v>570</v>
      </c>
      <c r="C572" s="3" t="s">
        <v>57</v>
      </c>
      <c r="D572" s="3" t="s">
        <v>801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2180220102</v>
      </c>
      <c r="L572" s="7">
        <f t="shared" si="17"/>
        <v>2180220102</v>
      </c>
      <c r="M572" s="7">
        <f t="shared" si="18"/>
        <v>2180220102</v>
      </c>
      <c r="N572" s="3" t="s">
        <v>179</v>
      </c>
      <c r="O572" s="5" t="s">
        <v>802</v>
      </c>
      <c r="P572" s="3" t="s">
        <v>183</v>
      </c>
      <c r="Q572" s="3" t="s">
        <v>180</v>
      </c>
      <c r="R572" s="2">
        <v>0</v>
      </c>
      <c r="S572" s="3" t="s">
        <v>73</v>
      </c>
      <c r="T572" s="3" t="s">
        <v>638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486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5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2</v>
      </c>
      <c r="AZ572" s="2">
        <f>(($AQ572+$AS572+$AU572++$AT572+$AV572+$AW572+$AX572)/3)+IF(($AP572+$AR572)&gt;=1,ROUNDDOWN(($AP572+$AR572)/3,0),0)</f>
        <v>1</v>
      </c>
      <c r="BA572" s="2">
        <f>(($AQ572+$AS572+$AU572++$AT572+$AV572+$AW572+$AX572)/3)+(IF(($AP572+$AR572)&gt;=($AY572+$AZ572),(($AP572+$AR572)-($AY572+$AZ572)),0))</f>
        <v>2</v>
      </c>
      <c r="BB572" s="3" t="s">
        <v>66</v>
      </c>
      <c r="BC572" s="3" t="s">
        <v>66</v>
      </c>
      <c r="BD572" s="2">
        <v>731664.00000000105</v>
      </c>
      <c r="BE572" s="2">
        <v>3761669</v>
      </c>
      <c r="BF572" s="4"/>
      <c r="BG572" s="4"/>
      <c r="BH572" s="4"/>
      <c r="BI572" s="2">
        <v>0</v>
      </c>
      <c r="BJ572" s="2">
        <v>0</v>
      </c>
    </row>
    <row r="573" spans="1:62" ht="58" hidden="1" x14ac:dyDescent="0.35">
      <c r="A573" s="2">
        <v>104222</v>
      </c>
      <c r="B573" s="2">
        <v>571</v>
      </c>
      <c r="C573" s="3" t="s">
        <v>57</v>
      </c>
      <c r="D573" s="3" t="s">
        <v>803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17240920230</v>
      </c>
      <c r="L573" s="7">
        <f t="shared" si="17"/>
        <v>2180220102</v>
      </c>
      <c r="M573" s="7">
        <f t="shared" si="18"/>
        <v>2180220103</v>
      </c>
      <c r="N573" s="3" t="s">
        <v>179</v>
      </c>
      <c r="O573" s="5" t="s">
        <v>489</v>
      </c>
      <c r="P573" s="3" t="s">
        <v>66</v>
      </c>
      <c r="Q573" s="3" t="s">
        <v>180</v>
      </c>
      <c r="R573" s="2">
        <v>0</v>
      </c>
      <c r="S573" s="3" t="s">
        <v>66</v>
      </c>
      <c r="T573" s="3" t="s">
        <v>168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486</v>
      </c>
      <c r="AC573" s="2">
        <v>0</v>
      </c>
      <c r="AD573" s="3" t="s">
        <v>68</v>
      </c>
      <c r="AE573" s="3" t="s">
        <v>71</v>
      </c>
      <c r="AF573" s="3" t="s">
        <v>172</v>
      </c>
      <c r="AG573" s="3" t="s">
        <v>173</v>
      </c>
      <c r="AH573" s="3" t="s">
        <v>231</v>
      </c>
      <c r="AI573" s="3" t="s">
        <v>66</v>
      </c>
      <c r="AJ573" s="3" t="s">
        <v>66</v>
      </c>
      <c r="AK573" s="3" t="s">
        <v>205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3" t="s">
        <v>476</v>
      </c>
      <c r="BC573" s="3" t="s">
        <v>487</v>
      </c>
      <c r="BD573" s="2">
        <v>731621.00000000105</v>
      </c>
      <c r="BE573" s="2">
        <v>3761640</v>
      </c>
      <c r="BF573" s="4"/>
      <c r="BG573" s="4"/>
      <c r="BH573" s="4"/>
      <c r="BI573" s="4"/>
      <c r="BJ573" s="2">
        <v>0</v>
      </c>
    </row>
    <row r="574" spans="1:62" x14ac:dyDescent="0.35">
      <c r="A574" s="2">
        <v>104223</v>
      </c>
      <c r="B574" s="2">
        <v>572</v>
      </c>
      <c r="C574" s="3" t="s">
        <v>57</v>
      </c>
      <c r="D574" s="3" t="s">
        <v>803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2180220103</v>
      </c>
      <c r="L574" s="7">
        <f t="shared" si="17"/>
        <v>2180220103</v>
      </c>
      <c r="M574" s="7">
        <f t="shared" si="18"/>
        <v>2180220103</v>
      </c>
      <c r="N574" s="3" t="s">
        <v>179</v>
      </c>
      <c r="O574" s="5" t="s">
        <v>804</v>
      </c>
      <c r="P574" s="3" t="s">
        <v>183</v>
      </c>
      <c r="Q574" s="3" t="s">
        <v>180</v>
      </c>
      <c r="R574" s="2">
        <v>0</v>
      </c>
      <c r="S574" s="3" t="s">
        <v>73</v>
      </c>
      <c r="T574" s="3" t="s">
        <v>638</v>
      </c>
      <c r="U574" s="3" t="s">
        <v>195</v>
      </c>
      <c r="V574" s="3" t="s">
        <v>195</v>
      </c>
      <c r="W574" s="3" t="s">
        <v>195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486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8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3</v>
      </c>
      <c r="AZ574" s="2">
        <f>(($AQ574+$AS574+$AU574++$AT574+$AV574+$AW574+$AX574)/3)+IF(($AP574+$AR574)&gt;=1,ROUNDDOWN(($AP574+$AR574)/3,0),0)</f>
        <v>2</v>
      </c>
      <c r="BA574" s="2">
        <f>(($AQ574+$AS574+$AU574++$AT574+$AV574+$AW574+$AX574)/3)+(IF(($AP574+$AR574)&gt;=($AY574+$AZ574),(($AP574+$AR574)-($AY574+$AZ574)),0))</f>
        <v>3</v>
      </c>
      <c r="BB574" s="3" t="s">
        <v>66</v>
      </c>
      <c r="BC574" s="3" t="s">
        <v>66</v>
      </c>
      <c r="BD574" s="2">
        <v>731589</v>
      </c>
      <c r="BE574" s="2">
        <v>3761620</v>
      </c>
      <c r="BF574" s="4"/>
      <c r="BG574" s="4"/>
      <c r="BH574" s="4"/>
      <c r="BI574" s="2">
        <v>0</v>
      </c>
      <c r="BJ574" s="2">
        <v>0</v>
      </c>
    </row>
    <row r="575" spans="1:62" hidden="1" x14ac:dyDescent="0.35">
      <c r="A575" s="2">
        <v>104224</v>
      </c>
      <c r="B575" s="2">
        <v>573</v>
      </c>
      <c r="C575" s="3" t="s">
        <v>57</v>
      </c>
      <c r="D575" s="3" t="s">
        <v>805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2180220103</v>
      </c>
      <c r="L575" s="7">
        <f t="shared" si="17"/>
        <v>2180220103</v>
      </c>
      <c r="M575" s="7">
        <f t="shared" si="18"/>
        <v>2180220104</v>
      </c>
      <c r="N575" s="3" t="s">
        <v>179</v>
      </c>
      <c r="O575" s="5" t="s">
        <v>804</v>
      </c>
      <c r="P575" s="3" t="s">
        <v>66</v>
      </c>
      <c r="Q575" s="3" t="s">
        <v>180</v>
      </c>
      <c r="R575" s="2">
        <v>0</v>
      </c>
      <c r="S575" s="3" t="s">
        <v>73</v>
      </c>
      <c r="T575" s="3" t="s">
        <v>638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486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3" t="s">
        <v>66</v>
      </c>
      <c r="BC575" s="3" t="s">
        <v>66</v>
      </c>
      <c r="BD575" s="2">
        <v>731589</v>
      </c>
      <c r="BE575" s="2">
        <v>3761620</v>
      </c>
      <c r="BF575" s="4"/>
      <c r="BG575" s="4"/>
      <c r="BH575" s="4"/>
      <c r="BI575" s="2">
        <v>0</v>
      </c>
      <c r="BJ575" s="2">
        <v>0</v>
      </c>
    </row>
    <row r="576" spans="1:62" x14ac:dyDescent="0.35">
      <c r="A576" s="2">
        <v>104225</v>
      </c>
      <c r="B576" s="2">
        <v>574</v>
      </c>
      <c r="C576" s="3" t="s">
        <v>57</v>
      </c>
      <c r="D576" s="3" t="s">
        <v>805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2180220104</v>
      </c>
      <c r="L576" s="7">
        <f t="shared" si="17"/>
        <v>2180220104</v>
      </c>
      <c r="M576" s="7">
        <f t="shared" si="18"/>
        <v>2180220104</v>
      </c>
      <c r="N576" s="3" t="s">
        <v>179</v>
      </c>
      <c r="O576" s="5" t="s">
        <v>806</v>
      </c>
      <c r="P576" s="3" t="s">
        <v>183</v>
      </c>
      <c r="Q576" s="3" t="s">
        <v>180</v>
      </c>
      <c r="R576" s="2">
        <v>0</v>
      </c>
      <c r="S576" s="3" t="s">
        <v>73</v>
      </c>
      <c r="T576" s="3" t="s">
        <v>638</v>
      </c>
      <c r="U576" s="3" t="s">
        <v>195</v>
      </c>
      <c r="V576" s="3" t="s">
        <v>195</v>
      </c>
      <c r="W576" s="3" t="s">
        <v>195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486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1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1</v>
      </c>
      <c r="AZ576" s="2">
        <f>(($AQ576+$AS576+$AU576++$AT576+$AV576+$AW576+$AX576)/3)+IF(($AP576+$AR576)&gt;=1,ROUNDDOWN(($AP576+$AR576)/3,0),0)</f>
        <v>0</v>
      </c>
      <c r="BA576" s="2">
        <f>(($AQ576+$AS576+$AU576++$AT576+$AV576+$AW576+$AX576)/3)+(IF(($AP576+$AR576)&gt;=($AY576+$AZ576),(($AP576+$AR576)-($AY576+$AZ576)),0))</f>
        <v>0</v>
      </c>
      <c r="BB576" s="3" t="s">
        <v>66</v>
      </c>
      <c r="BC576" s="3" t="s">
        <v>66</v>
      </c>
      <c r="BD576" s="2">
        <v>731582.00000000198</v>
      </c>
      <c r="BE576" s="2">
        <v>3761587</v>
      </c>
      <c r="BF576" s="4"/>
      <c r="BG576" s="4"/>
      <c r="BH576" s="4"/>
      <c r="BI576" s="2">
        <v>0</v>
      </c>
      <c r="BJ576" s="2">
        <v>0</v>
      </c>
    </row>
    <row r="577" spans="1:62" hidden="1" x14ac:dyDescent="0.35">
      <c r="A577" s="2">
        <v>104226</v>
      </c>
      <c r="B577" s="2">
        <v>575</v>
      </c>
      <c r="C577" s="3" t="s">
        <v>57</v>
      </c>
      <c r="D577" s="3" t="s">
        <v>807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2180220104</v>
      </c>
      <c r="L577" s="7">
        <f t="shared" si="17"/>
        <v>2180220104</v>
      </c>
      <c r="M577" s="7">
        <f t="shared" si="18"/>
        <v>2180220105</v>
      </c>
      <c r="N577" s="3" t="s">
        <v>179</v>
      </c>
      <c r="O577" s="5" t="s">
        <v>806</v>
      </c>
      <c r="P577" s="3" t="s">
        <v>66</v>
      </c>
      <c r="Q577" s="3" t="s">
        <v>180</v>
      </c>
      <c r="R577" s="2">
        <v>0</v>
      </c>
      <c r="S577" s="3" t="s">
        <v>73</v>
      </c>
      <c r="T577" s="3" t="s">
        <v>638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486</v>
      </c>
      <c r="AC577" s="2">
        <v>0</v>
      </c>
      <c r="AD577" s="3" t="s">
        <v>68</v>
      </c>
      <c r="AE577" s="3" t="s">
        <v>71</v>
      </c>
      <c r="AF577" s="3" t="s">
        <v>66</v>
      </c>
      <c r="AG577" s="3" t="s">
        <v>66</v>
      </c>
      <c r="AH577" s="3" t="s">
        <v>66</v>
      </c>
      <c r="AI577" s="3" t="s">
        <v>66</v>
      </c>
      <c r="AJ577" s="3" t="s">
        <v>66</v>
      </c>
      <c r="AK577" s="3" t="s">
        <v>66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3" t="s">
        <v>66</v>
      </c>
      <c r="BC577" s="3" t="s">
        <v>66</v>
      </c>
      <c r="BD577" s="2">
        <v>731582.00000000198</v>
      </c>
      <c r="BE577" s="2">
        <v>3761587</v>
      </c>
      <c r="BF577" s="4"/>
      <c r="BG577" s="4"/>
      <c r="BH577" s="4"/>
      <c r="BI577" s="2">
        <v>0</v>
      </c>
      <c r="BJ577" s="2">
        <v>0</v>
      </c>
    </row>
    <row r="578" spans="1:62" x14ac:dyDescent="0.35">
      <c r="A578" s="2">
        <v>104227</v>
      </c>
      <c r="B578" s="2">
        <v>576</v>
      </c>
      <c r="C578" s="3" t="s">
        <v>57</v>
      </c>
      <c r="D578" s="3" t="s">
        <v>807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2180220105</v>
      </c>
      <c r="L578" s="7">
        <f t="shared" si="17"/>
        <v>2180220105</v>
      </c>
      <c r="M578" s="7">
        <f t="shared" si="18"/>
        <v>2180220105</v>
      </c>
      <c r="N578" s="3" t="s">
        <v>179</v>
      </c>
      <c r="O578" s="5" t="s">
        <v>808</v>
      </c>
      <c r="P578" s="3" t="s">
        <v>183</v>
      </c>
      <c r="Q578" s="3" t="s">
        <v>180</v>
      </c>
      <c r="R578" s="2">
        <v>0</v>
      </c>
      <c r="S578" s="3" t="s">
        <v>73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486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1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0</v>
      </c>
      <c r="BB578" s="3" t="s">
        <v>66</v>
      </c>
      <c r="BC578" s="3" t="s">
        <v>66</v>
      </c>
      <c r="BD578" s="2">
        <v>731572.00000000105</v>
      </c>
      <c r="BE578" s="2">
        <v>3761564</v>
      </c>
      <c r="BF578" s="4"/>
      <c r="BG578" s="4"/>
      <c r="BH578" s="4"/>
      <c r="BI578" s="2">
        <v>0</v>
      </c>
      <c r="BJ578" s="2">
        <v>0</v>
      </c>
    </row>
    <row r="579" spans="1:62" hidden="1" x14ac:dyDescent="0.35">
      <c r="A579" s="2">
        <v>104228</v>
      </c>
      <c r="B579" s="2">
        <v>577</v>
      </c>
      <c r="C579" s="3" t="s">
        <v>57</v>
      </c>
      <c r="D579" s="3" t="s">
        <v>809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2180220105</v>
      </c>
      <c r="L579" s="7">
        <f t="shared" si="17"/>
        <v>2180220105</v>
      </c>
      <c r="M579" s="7">
        <f t="shared" si="18"/>
        <v>2180220106</v>
      </c>
      <c r="N579" s="3" t="s">
        <v>179</v>
      </c>
      <c r="O579" s="5" t="s">
        <v>808</v>
      </c>
      <c r="P579" s="3" t="s">
        <v>66</v>
      </c>
      <c r="Q579" s="3" t="s">
        <v>180</v>
      </c>
      <c r="R579" s="2">
        <v>0</v>
      </c>
      <c r="S579" s="3" t="s">
        <v>73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486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3" t="s">
        <v>66</v>
      </c>
      <c r="BC579" s="3" t="s">
        <v>66</v>
      </c>
      <c r="BD579" s="2">
        <v>731572.00000000105</v>
      </c>
      <c r="BE579" s="2">
        <v>3761564</v>
      </c>
      <c r="BF579" s="4"/>
      <c r="BG579" s="4"/>
      <c r="BH579" s="4"/>
      <c r="BI579" s="2">
        <v>0</v>
      </c>
      <c r="BJ579" s="2">
        <v>0</v>
      </c>
    </row>
    <row r="580" spans="1:62" x14ac:dyDescent="0.35">
      <c r="A580" s="2">
        <v>104229</v>
      </c>
      <c r="B580" s="2">
        <v>578</v>
      </c>
      <c r="C580" s="3" t="s">
        <v>57</v>
      </c>
      <c r="D580" s="3" t="s">
        <v>809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2180220106</v>
      </c>
      <c r="L580" s="7">
        <f t="shared" ref="L580:L643" si="19">IF(J580="E",K580,L579)</f>
        <v>2180220106</v>
      </c>
      <c r="M580" s="7">
        <f t="shared" si="18"/>
        <v>2180220106</v>
      </c>
      <c r="N580" s="3" t="s">
        <v>179</v>
      </c>
      <c r="O580" s="5" t="s">
        <v>810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638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486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9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3</v>
      </c>
      <c r="AZ580" s="2">
        <f>(($AQ580+$AS580+$AU580++$AT580+$AV580+$AW580+$AX580)/3)+IF(($AP580+$AR580)&gt;=1,ROUNDDOWN(($AP580+$AR580)/3,0),0)</f>
        <v>3</v>
      </c>
      <c r="BA580" s="2">
        <f>(($AQ580+$AS580+$AU580++$AT580+$AV580+$AW580+$AX580)/3)+(IF(($AP580+$AR580)&gt;=($AY580+$AZ580),(($AP580+$AR580)-($AY580+$AZ580)),0))</f>
        <v>3</v>
      </c>
      <c r="BB580" s="3" t="s">
        <v>66</v>
      </c>
      <c r="BC580" s="3" t="s">
        <v>66</v>
      </c>
      <c r="BD580" s="2">
        <v>731569.00000000198</v>
      </c>
      <c r="BE580" s="2">
        <v>3761556</v>
      </c>
      <c r="BF580" s="4"/>
      <c r="BG580" s="4"/>
      <c r="BH580" s="4"/>
      <c r="BI580" s="2">
        <v>0</v>
      </c>
      <c r="BJ580" s="2">
        <v>0</v>
      </c>
    </row>
    <row r="581" spans="1:62" hidden="1" x14ac:dyDescent="0.35">
      <c r="A581" s="2">
        <v>104230</v>
      </c>
      <c r="B581" s="2">
        <v>579</v>
      </c>
      <c r="C581" s="3" t="s">
        <v>57</v>
      </c>
      <c r="D581" s="3" t="s">
        <v>811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2180220106</v>
      </c>
      <c r="L581" s="7">
        <f t="shared" si="19"/>
        <v>2180220106</v>
      </c>
      <c r="M581" s="7">
        <f t="shared" si="18"/>
        <v>2180220107</v>
      </c>
      <c r="N581" s="3" t="s">
        <v>179</v>
      </c>
      <c r="O581" s="5" t="s">
        <v>810</v>
      </c>
      <c r="P581" s="3" t="s">
        <v>66</v>
      </c>
      <c r="Q581" s="3" t="s">
        <v>180</v>
      </c>
      <c r="R581" s="2">
        <v>0</v>
      </c>
      <c r="S581" s="3" t="s">
        <v>314</v>
      </c>
      <c r="T581" s="3" t="s">
        <v>638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66</v>
      </c>
      <c r="AG581" s="3" t="s">
        <v>66</v>
      </c>
      <c r="AH581" s="3" t="s">
        <v>66</v>
      </c>
      <c r="AI581" s="3" t="s">
        <v>66</v>
      </c>
      <c r="AJ581" s="3" t="s">
        <v>66</v>
      </c>
      <c r="AK581" s="3" t="s">
        <v>66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3" t="s">
        <v>66</v>
      </c>
      <c r="BC581" s="3" t="s">
        <v>66</v>
      </c>
      <c r="BD581" s="2">
        <v>731569.00000000198</v>
      </c>
      <c r="BE581" s="2">
        <v>3761556</v>
      </c>
      <c r="BF581" s="4"/>
      <c r="BG581" s="4"/>
      <c r="BH581" s="4"/>
      <c r="BI581" s="2">
        <v>0</v>
      </c>
      <c r="BJ581" s="2">
        <v>0</v>
      </c>
    </row>
    <row r="582" spans="1:62" x14ac:dyDescent="0.35">
      <c r="A582" s="2">
        <v>104231</v>
      </c>
      <c r="B582" s="2">
        <v>580</v>
      </c>
      <c r="C582" s="3" t="s">
        <v>57</v>
      </c>
      <c r="D582" s="3" t="s">
        <v>811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2180220107</v>
      </c>
      <c r="L582" s="7">
        <f t="shared" si="19"/>
        <v>2180220107</v>
      </c>
      <c r="M582" s="7">
        <f t="shared" si="18"/>
        <v>2180220107</v>
      </c>
      <c r="N582" s="3" t="s">
        <v>179</v>
      </c>
      <c r="O582" s="5" t="s">
        <v>812</v>
      </c>
      <c r="P582" s="3" t="s">
        <v>183</v>
      </c>
      <c r="Q582" s="3" t="s">
        <v>180</v>
      </c>
      <c r="R582" s="2">
        <v>0</v>
      </c>
      <c r="S582" s="3" t="s">
        <v>314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8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3</v>
      </c>
      <c r="AZ582" s="2">
        <f>(($AQ582+$AS582+$AU582++$AT582+$AV582+$AW582+$AX582)/3)+IF(($AP582+$AR582)&gt;=1,ROUNDDOWN(($AP582+$AR582)/3,0),0)</f>
        <v>2</v>
      </c>
      <c r="BA582" s="2">
        <f>(($AQ582+$AS582+$AU582++$AT582+$AV582+$AW582+$AX582)/3)+(IF(($AP582+$AR582)&gt;=($AY582+$AZ582),(($AP582+$AR582)-($AY582+$AZ582)),0))</f>
        <v>3</v>
      </c>
      <c r="BB582" s="3" t="s">
        <v>66</v>
      </c>
      <c r="BC582" s="3" t="s">
        <v>66</v>
      </c>
      <c r="BD582" s="2">
        <v>731590.00000000105</v>
      </c>
      <c r="BE582" s="2">
        <v>3761532</v>
      </c>
      <c r="BF582" s="4"/>
      <c r="BG582" s="4"/>
      <c r="BH582" s="4"/>
      <c r="BI582" s="2">
        <v>0</v>
      </c>
      <c r="BJ582" s="2">
        <v>0</v>
      </c>
    </row>
    <row r="583" spans="1:62" ht="58" hidden="1" x14ac:dyDescent="0.35">
      <c r="A583" s="2">
        <v>104232</v>
      </c>
      <c r="B583" s="2">
        <v>581</v>
      </c>
      <c r="C583" s="3" t="s">
        <v>57</v>
      </c>
      <c r="D583" s="3" t="s">
        <v>813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17240920235</v>
      </c>
      <c r="L583" s="7">
        <f t="shared" si="19"/>
        <v>2180220107</v>
      </c>
      <c r="M583" s="7">
        <f t="shared" si="18"/>
        <v>2180220109</v>
      </c>
      <c r="N583" s="3" t="s">
        <v>179</v>
      </c>
      <c r="O583" s="5" t="s">
        <v>499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496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3" t="s">
        <v>476</v>
      </c>
      <c r="BC583" s="3" t="s">
        <v>497</v>
      </c>
      <c r="BD583" s="2">
        <v>731573</v>
      </c>
      <c r="BE583" s="2">
        <v>3761569</v>
      </c>
      <c r="BF583" s="4"/>
      <c r="BG583" s="4"/>
      <c r="BH583" s="4"/>
      <c r="BI583" s="4"/>
      <c r="BJ583" s="2">
        <v>0</v>
      </c>
    </row>
    <row r="584" spans="1:62" x14ac:dyDescent="0.35">
      <c r="A584" s="2">
        <v>104233</v>
      </c>
      <c r="B584" s="2">
        <v>582</v>
      </c>
      <c r="C584" s="3" t="s">
        <v>57</v>
      </c>
      <c r="D584" s="3" t="s">
        <v>813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2180220109</v>
      </c>
      <c r="L584" s="7">
        <f t="shared" si="19"/>
        <v>2180220109</v>
      </c>
      <c r="M584" s="7">
        <f t="shared" si="18"/>
        <v>2180220109</v>
      </c>
      <c r="N584" s="3" t="s">
        <v>179</v>
      </c>
      <c r="O584" s="5" t="s">
        <v>814</v>
      </c>
      <c r="P584" s="3" t="s">
        <v>183</v>
      </c>
      <c r="Q584" s="3" t="s">
        <v>180</v>
      </c>
      <c r="R584" s="2">
        <v>0</v>
      </c>
      <c r="S584" s="3" t="s">
        <v>314</v>
      </c>
      <c r="T584" s="3" t="s">
        <v>254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496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3" t="s">
        <v>66</v>
      </c>
      <c r="BC584" s="3" t="s">
        <v>66</v>
      </c>
      <c r="BD584" s="2">
        <v>731536.00000000198</v>
      </c>
      <c r="BE584" s="2">
        <v>3761638</v>
      </c>
      <c r="BF584" s="4"/>
      <c r="BG584" s="4"/>
      <c r="BH584" s="4"/>
      <c r="BI584" s="2">
        <v>0</v>
      </c>
      <c r="BJ584" s="2">
        <v>0</v>
      </c>
    </row>
    <row r="585" spans="1:62" hidden="1" x14ac:dyDescent="0.35">
      <c r="A585" s="2">
        <v>104234</v>
      </c>
      <c r="B585" s="2">
        <v>583</v>
      </c>
      <c r="C585" s="3" t="s">
        <v>57</v>
      </c>
      <c r="D585" s="3" t="s">
        <v>815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2180220109</v>
      </c>
      <c r="L585" s="7">
        <f t="shared" si="19"/>
        <v>2180220109</v>
      </c>
      <c r="M585" s="7">
        <f t="shared" si="18"/>
        <v>2180220110</v>
      </c>
      <c r="N585" s="3" t="s">
        <v>179</v>
      </c>
      <c r="O585" s="5" t="s">
        <v>814</v>
      </c>
      <c r="P585" s="3" t="s">
        <v>66</v>
      </c>
      <c r="Q585" s="3" t="s">
        <v>180</v>
      </c>
      <c r="R585" s="2">
        <v>0</v>
      </c>
      <c r="S585" s="3" t="s">
        <v>314</v>
      </c>
      <c r="T585" s="3" t="s">
        <v>254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496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3" t="s">
        <v>66</v>
      </c>
      <c r="BC585" s="3" t="s">
        <v>66</v>
      </c>
      <c r="BD585" s="2">
        <v>731536.00000000198</v>
      </c>
      <c r="BE585" s="2">
        <v>3761638</v>
      </c>
      <c r="BF585" s="4"/>
      <c r="BG585" s="4"/>
      <c r="BH585" s="4"/>
      <c r="BI585" s="2">
        <v>0</v>
      </c>
      <c r="BJ585" s="2">
        <v>0</v>
      </c>
    </row>
    <row r="586" spans="1:62" x14ac:dyDescent="0.35">
      <c r="A586" s="2">
        <v>104235</v>
      </c>
      <c r="B586" s="2">
        <v>584</v>
      </c>
      <c r="C586" s="3" t="s">
        <v>57</v>
      </c>
      <c r="D586" s="3" t="s">
        <v>815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2180220110</v>
      </c>
      <c r="L586" s="7">
        <f t="shared" si="19"/>
        <v>2180220110</v>
      </c>
      <c r="M586" s="7">
        <f t="shared" si="18"/>
        <v>2180220110</v>
      </c>
      <c r="N586" s="3" t="s">
        <v>179</v>
      </c>
      <c r="O586" s="5" t="s">
        <v>816</v>
      </c>
      <c r="P586" s="3" t="s">
        <v>183</v>
      </c>
      <c r="Q586" s="3" t="s">
        <v>180</v>
      </c>
      <c r="R586" s="2">
        <v>0</v>
      </c>
      <c r="S586" s="3" t="s">
        <v>314</v>
      </c>
      <c r="T586" s="3" t="s">
        <v>254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496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4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2</v>
      </c>
      <c r="AZ586" s="2">
        <f>(($AQ586+$AS586+$AU586++$AT586+$AV586+$AW586+$AX586)/3)+IF(($AP586+$AR586)&gt;=1,ROUNDDOWN(($AP586+$AR586)/3,0),0)</f>
        <v>1</v>
      </c>
      <c r="BA586" s="2">
        <f>(($AQ586+$AS586+$AU586++$AT586+$AV586+$AW586+$AX586)/3)+(IF(($AP586+$AR586)&gt;=($AY586+$AZ586),(($AP586+$AR586)-($AY586+$AZ586)),0))</f>
        <v>1</v>
      </c>
      <c r="BB586" s="3" t="s">
        <v>66</v>
      </c>
      <c r="BC586" s="3" t="s">
        <v>66</v>
      </c>
      <c r="BD586" s="2">
        <v>731522</v>
      </c>
      <c r="BE586" s="2">
        <v>3761674</v>
      </c>
      <c r="BF586" s="4"/>
      <c r="BG586" s="4"/>
      <c r="BH586" s="4"/>
      <c r="BI586" s="2">
        <v>0</v>
      </c>
      <c r="BJ586" s="2">
        <v>0</v>
      </c>
    </row>
    <row r="587" spans="1:62" hidden="1" x14ac:dyDescent="0.35">
      <c r="A587" s="2">
        <v>104236</v>
      </c>
      <c r="B587" s="2">
        <v>585</v>
      </c>
      <c r="C587" s="3" t="s">
        <v>57</v>
      </c>
      <c r="D587" s="3" t="s">
        <v>817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2180220110</v>
      </c>
      <c r="L587" s="7">
        <f t="shared" si="19"/>
        <v>2180220110</v>
      </c>
      <c r="M587" s="7">
        <f t="shared" si="18"/>
        <v>2180220111</v>
      </c>
      <c r="N587" s="3" t="s">
        <v>179</v>
      </c>
      <c r="O587" s="5" t="s">
        <v>816</v>
      </c>
      <c r="P587" s="3" t="s">
        <v>66</v>
      </c>
      <c r="Q587" s="3" t="s">
        <v>180</v>
      </c>
      <c r="R587" s="2">
        <v>0</v>
      </c>
      <c r="S587" s="3" t="s">
        <v>314</v>
      </c>
      <c r="T587" s="3" t="s">
        <v>254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496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3" t="s">
        <v>66</v>
      </c>
      <c r="BC587" s="3" t="s">
        <v>66</v>
      </c>
      <c r="BD587" s="2">
        <v>731522</v>
      </c>
      <c r="BE587" s="2">
        <v>3761674</v>
      </c>
      <c r="BF587" s="4"/>
      <c r="BG587" s="4"/>
      <c r="BH587" s="4"/>
      <c r="BI587" s="2">
        <v>0</v>
      </c>
      <c r="BJ587" s="2">
        <v>0</v>
      </c>
    </row>
    <row r="588" spans="1:62" x14ac:dyDescent="0.35">
      <c r="A588" s="2">
        <v>104237</v>
      </c>
      <c r="B588" s="2">
        <v>586</v>
      </c>
      <c r="C588" s="3" t="s">
        <v>57</v>
      </c>
      <c r="D588" s="3" t="s">
        <v>817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2180220111</v>
      </c>
      <c r="L588" s="7">
        <f t="shared" si="19"/>
        <v>2180220111</v>
      </c>
      <c r="M588" s="7">
        <f t="shared" si="18"/>
        <v>2180220111</v>
      </c>
      <c r="N588" s="3" t="s">
        <v>179</v>
      </c>
      <c r="O588" s="5" t="s">
        <v>818</v>
      </c>
      <c r="P588" s="3" t="s">
        <v>183</v>
      </c>
      <c r="Q588" s="3" t="s">
        <v>180</v>
      </c>
      <c r="R588" s="2">
        <v>0</v>
      </c>
      <c r="S588" s="3" t="s">
        <v>314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496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15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5</v>
      </c>
      <c r="AZ588" s="2">
        <f>(($AQ588+$AS588+$AU588++$AT588+$AV588+$AW588+$AX588)/3)+IF(($AP588+$AR588)&gt;=1,ROUNDDOWN(($AP588+$AR588)/3,0),0)</f>
        <v>5</v>
      </c>
      <c r="BA588" s="2">
        <f>(($AQ588+$AS588+$AU588++$AT588+$AV588+$AW588+$AX588)/3)+(IF(($AP588+$AR588)&gt;=($AY588+$AZ588),(($AP588+$AR588)-($AY588+$AZ588)),0))</f>
        <v>5</v>
      </c>
      <c r="BB588" s="3" t="s">
        <v>66</v>
      </c>
      <c r="BC588" s="3" t="s">
        <v>66</v>
      </c>
      <c r="BD588" s="2">
        <v>731496.00000000105</v>
      </c>
      <c r="BE588" s="2">
        <v>3761701</v>
      </c>
      <c r="BF588" s="4"/>
      <c r="BG588" s="4"/>
      <c r="BH588" s="4"/>
      <c r="BI588" s="2">
        <v>0</v>
      </c>
      <c r="BJ588" s="2">
        <v>0</v>
      </c>
    </row>
    <row r="589" spans="1:62" ht="58" hidden="1" x14ac:dyDescent="0.35">
      <c r="A589" s="2">
        <v>104238</v>
      </c>
      <c r="B589" s="2">
        <v>587</v>
      </c>
      <c r="C589" s="3" t="s">
        <v>57</v>
      </c>
      <c r="D589" s="3" t="s">
        <v>507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17240920239</v>
      </c>
      <c r="L589" s="7">
        <f t="shared" si="19"/>
        <v>2180220111</v>
      </c>
      <c r="M589" s="7">
        <f t="shared" si="18"/>
        <v>17240920239</v>
      </c>
      <c r="N589" s="3" t="s">
        <v>179</v>
      </c>
      <c r="O589" s="5" t="s">
        <v>508</v>
      </c>
      <c r="P589" s="3" t="s">
        <v>66</v>
      </c>
      <c r="Q589" s="3" t="s">
        <v>180</v>
      </c>
      <c r="R589" s="2">
        <v>0</v>
      </c>
      <c r="S589" s="3" t="s">
        <v>66</v>
      </c>
      <c r="T589" s="3" t="s">
        <v>168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505</v>
      </c>
      <c r="AC589" s="2">
        <v>0</v>
      </c>
      <c r="AD589" s="3" t="s">
        <v>68</v>
      </c>
      <c r="AE589" s="3" t="s">
        <v>71</v>
      </c>
      <c r="AF589" s="3" t="s">
        <v>172</v>
      </c>
      <c r="AG589" s="3" t="s">
        <v>173</v>
      </c>
      <c r="AH589" s="3" t="s">
        <v>231</v>
      </c>
      <c r="AI589" s="3" t="s">
        <v>66</v>
      </c>
      <c r="AJ589" s="3" t="s">
        <v>66</v>
      </c>
      <c r="AK589" s="3" t="s">
        <v>205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3" t="s">
        <v>476</v>
      </c>
      <c r="BC589" s="3" t="s">
        <v>506</v>
      </c>
      <c r="BD589" s="2">
        <v>731549.00000000105</v>
      </c>
      <c r="BE589" s="2">
        <v>3761452</v>
      </c>
      <c r="BF589" s="4"/>
      <c r="BG589" s="4"/>
      <c r="BH589" s="4"/>
      <c r="BI589" s="4"/>
      <c r="BJ589" s="2">
        <v>0</v>
      </c>
    </row>
    <row r="590" spans="1:62" x14ac:dyDescent="0.35">
      <c r="A590" s="2">
        <v>104239</v>
      </c>
      <c r="B590" s="2">
        <v>588</v>
      </c>
      <c r="C590" s="3" t="s">
        <v>57</v>
      </c>
      <c r="D590" s="3" t="s">
        <v>507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17240920239</v>
      </c>
      <c r="L590" s="7">
        <f t="shared" si="19"/>
        <v>17240920239</v>
      </c>
      <c r="M590" s="7">
        <f t="shared" si="18"/>
        <v>17240920239</v>
      </c>
      <c r="N590" s="3" t="s">
        <v>179</v>
      </c>
      <c r="O590" s="5" t="s">
        <v>508</v>
      </c>
      <c r="P590" s="3" t="s">
        <v>183</v>
      </c>
      <c r="Q590" s="3" t="s">
        <v>180</v>
      </c>
      <c r="R590" s="2">
        <v>0</v>
      </c>
      <c r="S590" s="3" t="s">
        <v>66</v>
      </c>
      <c r="T590" s="3" t="s">
        <v>168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505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3" t="s">
        <v>66</v>
      </c>
      <c r="BC590" s="3" t="s">
        <v>66</v>
      </c>
      <c r="BD590" s="2">
        <v>731549.00000000105</v>
      </c>
      <c r="BE590" s="2">
        <v>3761452</v>
      </c>
      <c r="BF590" s="4"/>
      <c r="BG590" s="4"/>
      <c r="BH590" s="4"/>
      <c r="BI590" s="4"/>
      <c r="BJ590" s="2">
        <v>0</v>
      </c>
    </row>
    <row r="591" spans="1:62" hidden="1" x14ac:dyDescent="0.35">
      <c r="A591" s="2">
        <v>104240</v>
      </c>
      <c r="B591" s="2">
        <v>589</v>
      </c>
      <c r="C591" s="3" t="s">
        <v>57</v>
      </c>
      <c r="D591" s="3" t="s">
        <v>819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17240920239</v>
      </c>
      <c r="L591" s="7">
        <f t="shared" si="19"/>
        <v>17240920239</v>
      </c>
      <c r="M591" s="7">
        <f t="shared" si="18"/>
        <v>2180220113</v>
      </c>
      <c r="N591" s="3" t="s">
        <v>179</v>
      </c>
      <c r="O591" s="5" t="s">
        <v>508</v>
      </c>
      <c r="P591" s="3" t="s">
        <v>66</v>
      </c>
      <c r="Q591" s="3" t="s">
        <v>180</v>
      </c>
      <c r="R591" s="2">
        <v>0</v>
      </c>
      <c r="S591" s="3" t="s">
        <v>66</v>
      </c>
      <c r="T591" s="3" t="s">
        <v>168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505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3" t="s">
        <v>66</v>
      </c>
      <c r="BC591" s="3" t="s">
        <v>66</v>
      </c>
      <c r="BD591" s="2">
        <v>731549.00000000105</v>
      </c>
      <c r="BE591" s="2">
        <v>3761452</v>
      </c>
      <c r="BF591" s="4"/>
      <c r="BG591" s="4"/>
      <c r="BH591" s="4"/>
      <c r="BI591" s="4"/>
      <c r="BJ591" s="2">
        <v>0</v>
      </c>
    </row>
    <row r="592" spans="1:62" x14ac:dyDescent="0.35">
      <c r="A592" s="2">
        <v>104241</v>
      </c>
      <c r="B592" s="2">
        <v>590</v>
      </c>
      <c r="C592" s="3" t="s">
        <v>57</v>
      </c>
      <c r="D592" s="3" t="s">
        <v>819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2180220113</v>
      </c>
      <c r="L592" s="7">
        <f t="shared" si="19"/>
        <v>2180220113</v>
      </c>
      <c r="M592" s="7">
        <f t="shared" si="18"/>
        <v>2180220113</v>
      </c>
      <c r="N592" s="3" t="s">
        <v>179</v>
      </c>
      <c r="O592" s="5" t="s">
        <v>820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84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505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13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5</v>
      </c>
      <c r="AZ592" s="2">
        <f>(($AQ592+$AS592+$AU592++$AT592+$AV592+$AW592+$AX592)/3)+IF(($AP592+$AR592)&gt;=1,ROUNDDOWN(($AP592+$AR592)/3,0),0)</f>
        <v>4</v>
      </c>
      <c r="BA592" s="2">
        <f>(($AQ592+$AS592+$AU592++$AT592+$AV592+$AW592+$AX592)/3)+(IF(($AP592+$AR592)&gt;=($AY592+$AZ592),(($AP592+$AR592)-($AY592+$AZ592)),0))</f>
        <v>4</v>
      </c>
      <c r="BB592" s="3" t="s">
        <v>66</v>
      </c>
      <c r="BC592" s="3" t="s">
        <v>66</v>
      </c>
      <c r="BD592" s="2">
        <v>731527.99999999895</v>
      </c>
      <c r="BE592" s="2">
        <v>3761402</v>
      </c>
      <c r="BF592" s="4"/>
      <c r="BG592" s="4"/>
      <c r="BH592" s="4"/>
      <c r="BI592" s="4"/>
      <c r="BJ592" s="2">
        <v>0</v>
      </c>
    </row>
    <row r="593" spans="1:62" hidden="1" x14ac:dyDescent="0.35">
      <c r="A593" s="2">
        <v>104242</v>
      </c>
      <c r="B593" s="2">
        <v>591</v>
      </c>
      <c r="C593" s="3" t="s">
        <v>57</v>
      </c>
      <c r="D593" s="3" t="s">
        <v>821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2180220113</v>
      </c>
      <c r="L593" s="7">
        <f t="shared" si="19"/>
        <v>2180220113</v>
      </c>
      <c r="M593" s="7">
        <f t="shared" si="18"/>
        <v>2170822650</v>
      </c>
      <c r="N593" s="3" t="s">
        <v>179</v>
      </c>
      <c r="O593" s="5" t="s">
        <v>820</v>
      </c>
      <c r="P593" s="3" t="s">
        <v>66</v>
      </c>
      <c r="Q593" s="3" t="s">
        <v>180</v>
      </c>
      <c r="R593" s="2">
        <v>0</v>
      </c>
      <c r="S593" s="3" t="s">
        <v>314</v>
      </c>
      <c r="T593" s="3" t="s">
        <v>254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505</v>
      </c>
      <c r="AC593" s="2">
        <v>0</v>
      </c>
      <c r="AD593" s="3" t="s">
        <v>68</v>
      </c>
      <c r="AE593" s="3" t="s">
        <v>71</v>
      </c>
      <c r="AF593" s="3" t="s">
        <v>66</v>
      </c>
      <c r="AG593" s="3" t="s">
        <v>66</v>
      </c>
      <c r="AH593" s="3" t="s">
        <v>66</v>
      </c>
      <c r="AI593" s="3" t="s">
        <v>66</v>
      </c>
      <c r="AJ593" s="3" t="s">
        <v>66</v>
      </c>
      <c r="AK593" s="3" t="s">
        <v>66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3" t="s">
        <v>66</v>
      </c>
      <c r="BC593" s="3" t="s">
        <v>66</v>
      </c>
      <c r="BD593" s="2">
        <v>731527.99999999895</v>
      </c>
      <c r="BE593" s="2">
        <v>3761402</v>
      </c>
      <c r="BF593" s="4"/>
      <c r="BG593" s="4"/>
      <c r="BH593" s="4"/>
      <c r="BI593" s="4"/>
      <c r="BJ593" s="2">
        <v>0</v>
      </c>
    </row>
    <row r="594" spans="1:62" hidden="1" x14ac:dyDescent="0.35">
      <c r="A594" s="2">
        <v>104243</v>
      </c>
      <c r="B594" s="2">
        <v>592</v>
      </c>
      <c r="C594" s="3" t="s">
        <v>57</v>
      </c>
      <c r="D594" s="3" t="s">
        <v>821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2170822650</v>
      </c>
      <c r="L594" s="7">
        <f t="shared" si="19"/>
        <v>2170822650</v>
      </c>
      <c r="M594" s="7">
        <f t="shared" si="18"/>
        <v>2170822650</v>
      </c>
      <c r="N594" s="3" t="s">
        <v>179</v>
      </c>
      <c r="O594" s="5" t="s">
        <v>822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505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/>
      <c r="AZ594" s="2"/>
      <c r="BA594" s="2"/>
      <c r="BB594" s="3" t="s">
        <v>66</v>
      </c>
      <c r="BC594" s="3" t="s">
        <v>66</v>
      </c>
      <c r="BD594" s="2">
        <v>731500.00000000198</v>
      </c>
      <c r="BE594" s="2">
        <v>3761360</v>
      </c>
      <c r="BF594" s="4"/>
      <c r="BG594" s="4"/>
      <c r="BH594" s="4"/>
      <c r="BI594" s="4"/>
      <c r="BJ594" s="2">
        <v>0</v>
      </c>
    </row>
    <row r="595" spans="1:62" ht="58" hidden="1" x14ac:dyDescent="0.35">
      <c r="A595" s="2">
        <v>104244</v>
      </c>
      <c r="B595" s="2">
        <v>593</v>
      </c>
      <c r="C595" s="3" t="s">
        <v>57</v>
      </c>
      <c r="D595" s="3" t="s">
        <v>466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17240920220</v>
      </c>
      <c r="L595" s="7">
        <f t="shared" si="19"/>
        <v>2170822650</v>
      </c>
      <c r="M595" s="7">
        <f t="shared" ref="M595:M658" si="20">IF(J595="E",K595,M596)</f>
        <v>17240920220</v>
      </c>
      <c r="N595" s="3" t="s">
        <v>179</v>
      </c>
      <c r="O595" s="5" t="s">
        <v>467</v>
      </c>
      <c r="P595" s="3" t="s">
        <v>183</v>
      </c>
      <c r="Q595" s="3" t="s">
        <v>180</v>
      </c>
      <c r="R595" s="2">
        <v>0</v>
      </c>
      <c r="S595" s="3" t="s">
        <v>66</v>
      </c>
      <c r="T595" s="3" t="s">
        <v>168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463</v>
      </c>
      <c r="AC595" s="2">
        <v>0</v>
      </c>
      <c r="AD595" s="3" t="s">
        <v>68</v>
      </c>
      <c r="AE595" s="3" t="s">
        <v>71</v>
      </c>
      <c r="AF595" s="3" t="s">
        <v>172</v>
      </c>
      <c r="AG595" s="3" t="s">
        <v>173</v>
      </c>
      <c r="AH595" s="3" t="s">
        <v>204</v>
      </c>
      <c r="AI595" s="3" t="s">
        <v>66</v>
      </c>
      <c r="AJ595" s="3" t="s">
        <v>66</v>
      </c>
      <c r="AK595" s="3" t="s">
        <v>205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3" t="s">
        <v>464</v>
      </c>
      <c r="BC595" s="3" t="s">
        <v>465</v>
      </c>
      <c r="BD595" s="2">
        <v>731845</v>
      </c>
      <c r="BE595" s="2">
        <v>3761737</v>
      </c>
      <c r="BF595" s="4"/>
      <c r="BG595" s="4"/>
      <c r="BH595" s="4"/>
      <c r="BI595" s="4"/>
      <c r="BJ595" s="2">
        <v>0</v>
      </c>
    </row>
    <row r="596" spans="1:62" hidden="1" x14ac:dyDescent="0.35">
      <c r="A596" s="2">
        <v>104245</v>
      </c>
      <c r="B596" s="2">
        <v>594</v>
      </c>
      <c r="C596" s="3" t="s">
        <v>57</v>
      </c>
      <c r="D596" s="3" t="s">
        <v>466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17240920220</v>
      </c>
      <c r="L596" s="7">
        <f t="shared" si="19"/>
        <v>17240920220</v>
      </c>
      <c r="M596" s="7">
        <f t="shared" si="20"/>
        <v>17240920220</v>
      </c>
      <c r="N596" s="3" t="s">
        <v>179</v>
      </c>
      <c r="O596" s="5" t="s">
        <v>467</v>
      </c>
      <c r="P596" s="3" t="s">
        <v>183</v>
      </c>
      <c r="Q596" s="3" t="s">
        <v>180</v>
      </c>
      <c r="R596" s="2">
        <v>0</v>
      </c>
      <c r="S596" s="3" t="s">
        <v>66</v>
      </c>
      <c r="T596" s="3" t="s">
        <v>168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463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/>
      <c r="AZ596" s="2"/>
      <c r="BA596" s="2"/>
      <c r="BB596" s="3" t="s">
        <v>66</v>
      </c>
      <c r="BC596" s="3" t="s">
        <v>66</v>
      </c>
      <c r="BD596" s="2">
        <v>731845</v>
      </c>
      <c r="BE596" s="2">
        <v>3761737</v>
      </c>
      <c r="BF596" s="4"/>
      <c r="BG596" s="4"/>
      <c r="BH596" s="4"/>
      <c r="BI596" s="4"/>
      <c r="BJ596" s="2">
        <v>0</v>
      </c>
    </row>
    <row r="597" spans="1:62" ht="58" hidden="1" x14ac:dyDescent="0.35">
      <c r="A597" s="2">
        <v>104246</v>
      </c>
      <c r="B597" s="2">
        <v>595</v>
      </c>
      <c r="C597" s="3" t="s">
        <v>57</v>
      </c>
      <c r="D597" s="3" t="s">
        <v>823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17240920220</v>
      </c>
      <c r="L597" s="7">
        <f t="shared" si="19"/>
        <v>17240920220</v>
      </c>
      <c r="M597" s="7">
        <f t="shared" si="20"/>
        <v>2180220115</v>
      </c>
      <c r="N597" s="3" t="s">
        <v>179</v>
      </c>
      <c r="O597" s="5" t="s">
        <v>467</v>
      </c>
      <c r="P597" s="3" t="s">
        <v>66</v>
      </c>
      <c r="Q597" s="3" t="s">
        <v>180</v>
      </c>
      <c r="R597" s="2">
        <v>0</v>
      </c>
      <c r="S597" s="3" t="s">
        <v>66</v>
      </c>
      <c r="T597" s="3" t="s">
        <v>168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463</v>
      </c>
      <c r="AC597" s="2">
        <v>0</v>
      </c>
      <c r="AD597" s="3" t="s">
        <v>68</v>
      </c>
      <c r="AE597" s="3" t="s">
        <v>71</v>
      </c>
      <c r="AF597" s="3" t="s">
        <v>172</v>
      </c>
      <c r="AG597" s="3" t="s">
        <v>173</v>
      </c>
      <c r="AH597" s="3" t="s">
        <v>204</v>
      </c>
      <c r="AI597" s="3" t="s">
        <v>66</v>
      </c>
      <c r="AJ597" s="3" t="s">
        <v>66</v>
      </c>
      <c r="AK597" s="3" t="s">
        <v>205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3" t="s">
        <v>464</v>
      </c>
      <c r="BC597" s="3" t="s">
        <v>465</v>
      </c>
      <c r="BD597" s="2">
        <v>731845</v>
      </c>
      <c r="BE597" s="2">
        <v>3761737</v>
      </c>
      <c r="BF597" s="4"/>
      <c r="BG597" s="4"/>
      <c r="BH597" s="4"/>
      <c r="BI597" s="4"/>
      <c r="BJ597" s="2">
        <v>0</v>
      </c>
    </row>
    <row r="598" spans="1:62" x14ac:dyDescent="0.35">
      <c r="A598" s="2">
        <v>104247</v>
      </c>
      <c r="B598" s="2">
        <v>596</v>
      </c>
      <c r="C598" s="3" t="s">
        <v>57</v>
      </c>
      <c r="D598" s="3" t="s">
        <v>823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2180220115</v>
      </c>
      <c r="L598" s="7">
        <f t="shared" si="19"/>
        <v>2180220115</v>
      </c>
      <c r="M598" s="7">
        <f t="shared" si="20"/>
        <v>2180220115</v>
      </c>
      <c r="N598" s="3" t="s">
        <v>179</v>
      </c>
      <c r="O598" s="5" t="s">
        <v>824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638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463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25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9</v>
      </c>
      <c r="AZ598" s="2">
        <f>(($AQ598+$AS598+$AU598++$AT598+$AV598+$AW598+$AX598)/3)+IF(($AP598+$AR598)&gt;=1,ROUNDDOWN(($AP598+$AR598)/3,0),0)</f>
        <v>8</v>
      </c>
      <c r="BA598" s="2">
        <f>(($AQ598+$AS598+$AU598++$AT598+$AV598+$AW598+$AX598)/3)+(IF(($AP598+$AR598)&gt;=($AY598+$AZ598),(($AP598+$AR598)-($AY598+$AZ598)),0))</f>
        <v>8</v>
      </c>
      <c r="BB598" s="3" t="s">
        <v>66</v>
      </c>
      <c r="BC598" s="3" t="s">
        <v>66</v>
      </c>
      <c r="BD598" s="2">
        <v>731864.00000000105</v>
      </c>
      <c r="BE598" s="2">
        <v>3761708</v>
      </c>
      <c r="BF598" s="4"/>
      <c r="BG598" s="4"/>
      <c r="BH598" s="4"/>
      <c r="BI598" s="2">
        <v>0</v>
      </c>
      <c r="BJ598" s="2">
        <v>0</v>
      </c>
    </row>
    <row r="599" spans="1:62" ht="58" hidden="1" x14ac:dyDescent="0.35">
      <c r="A599" s="2">
        <v>104248</v>
      </c>
      <c r="B599" s="2">
        <v>597</v>
      </c>
      <c r="C599" s="3" t="s">
        <v>57</v>
      </c>
      <c r="D599" s="3" t="s">
        <v>516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17280920310</v>
      </c>
      <c r="L599" s="7">
        <f t="shared" si="19"/>
        <v>2180220115</v>
      </c>
      <c r="M599" s="7">
        <f t="shared" si="20"/>
        <v>17280920310</v>
      </c>
      <c r="N599" s="3" t="s">
        <v>179</v>
      </c>
      <c r="O599" s="5" t="s">
        <v>517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514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217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3" t="s">
        <v>410</v>
      </c>
      <c r="BC599" s="3" t="s">
        <v>515</v>
      </c>
      <c r="BD599" s="2">
        <v>731602</v>
      </c>
      <c r="BE599" s="2">
        <v>3762629</v>
      </c>
      <c r="BF599" s="4"/>
      <c r="BG599" s="4"/>
      <c r="BH599" s="4"/>
      <c r="BI599" s="4"/>
      <c r="BJ599" s="2">
        <v>0</v>
      </c>
    </row>
    <row r="600" spans="1:62" x14ac:dyDescent="0.35">
      <c r="A600" s="2">
        <v>104249</v>
      </c>
      <c r="B600" s="2">
        <v>598</v>
      </c>
      <c r="C600" s="3" t="s">
        <v>57</v>
      </c>
      <c r="D600" s="3" t="s">
        <v>516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17280920310</v>
      </c>
      <c r="L600" s="7">
        <f t="shared" si="19"/>
        <v>17280920310</v>
      </c>
      <c r="M600" s="7">
        <f t="shared" si="20"/>
        <v>17280920310</v>
      </c>
      <c r="N600" s="3" t="s">
        <v>179</v>
      </c>
      <c r="O600" s="5" t="s">
        <v>517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514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2</v>
      </c>
      <c r="AQ600" s="2">
        <v>1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1.3333333333333333</v>
      </c>
      <c r="AZ600" s="2">
        <f>(($AQ600+$AS600+$AU600++$AT600+$AV600+$AW600+$AX600)/3)+IF(($AP600+$AR600)&gt;=1,ROUNDDOWN(($AP600+$AR600)/3,0),0)</f>
        <v>0.33333333333333331</v>
      </c>
      <c r="BA600" s="2">
        <f>(($AQ600+$AS600+$AU600++$AT600+$AV600+$AW600+$AX600)/3)+(IF(($AP600+$AR600)&gt;=($AY600+$AZ600),(($AP600+$AR600)-($AY600+$AZ600)),0))</f>
        <v>0.66666666666666674</v>
      </c>
      <c r="BB600" s="3" t="s">
        <v>66</v>
      </c>
      <c r="BC600" s="3" t="s">
        <v>66</v>
      </c>
      <c r="BD600" s="2">
        <v>731602</v>
      </c>
      <c r="BE600" s="2">
        <v>3762629</v>
      </c>
      <c r="BF600" s="4"/>
      <c r="BG600" s="4"/>
      <c r="BH600" s="4"/>
      <c r="BI600" s="4"/>
      <c r="BJ600" s="2">
        <v>0</v>
      </c>
    </row>
    <row r="601" spans="1:62" hidden="1" x14ac:dyDescent="0.35">
      <c r="A601" s="2">
        <v>104250</v>
      </c>
      <c r="B601" s="2">
        <v>599</v>
      </c>
      <c r="C601" s="3" t="s">
        <v>57</v>
      </c>
      <c r="D601" s="3" t="s">
        <v>825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17280920310</v>
      </c>
      <c r="L601" s="7">
        <f t="shared" si="19"/>
        <v>17280920310</v>
      </c>
      <c r="M601" s="7">
        <f t="shared" si="20"/>
        <v>1020720034</v>
      </c>
      <c r="N601" s="3" t="s">
        <v>179</v>
      </c>
      <c r="O601" s="5" t="s">
        <v>517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514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3" t="s">
        <v>66</v>
      </c>
      <c r="BC601" s="3" t="s">
        <v>66</v>
      </c>
      <c r="BD601" s="2">
        <v>731602</v>
      </c>
      <c r="BE601" s="2">
        <v>3762629</v>
      </c>
      <c r="BF601" s="4"/>
      <c r="BG601" s="4"/>
      <c r="BH601" s="4"/>
      <c r="BI601" s="4"/>
      <c r="BJ601" s="2">
        <v>0</v>
      </c>
    </row>
    <row r="602" spans="1:62" hidden="1" x14ac:dyDescent="0.35">
      <c r="A602" s="2">
        <v>104251</v>
      </c>
      <c r="B602" s="2">
        <v>600</v>
      </c>
      <c r="C602" s="3" t="s">
        <v>57</v>
      </c>
      <c r="D602" s="3" t="s">
        <v>825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1020720034</v>
      </c>
      <c r="L602" s="7">
        <f t="shared" si="19"/>
        <v>1020720034</v>
      </c>
      <c r="M602" s="7">
        <f t="shared" si="20"/>
        <v>1020720034</v>
      </c>
      <c r="N602" s="3" t="s">
        <v>179</v>
      </c>
      <c r="O602" s="5" t="s">
        <v>826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254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514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/>
      <c r="AZ602" s="2"/>
      <c r="BA602" s="2"/>
      <c r="BB602" s="3" t="s">
        <v>66</v>
      </c>
      <c r="BC602" s="3" t="s">
        <v>66</v>
      </c>
      <c r="BD602" s="2">
        <v>731629.00000000105</v>
      </c>
      <c r="BE602" s="2">
        <v>3762625</v>
      </c>
      <c r="BF602" s="4"/>
      <c r="BG602" s="4"/>
      <c r="BH602" s="4"/>
      <c r="BI602" s="4"/>
      <c r="BJ602" s="2">
        <v>0</v>
      </c>
    </row>
    <row r="603" spans="1:62" hidden="1" x14ac:dyDescent="0.35">
      <c r="A603" s="2">
        <v>104252</v>
      </c>
      <c r="B603" s="2">
        <v>601</v>
      </c>
      <c r="C603" s="3" t="s">
        <v>57</v>
      </c>
      <c r="D603" s="3" t="s">
        <v>827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1020720034</v>
      </c>
      <c r="L603" s="7">
        <f t="shared" si="19"/>
        <v>1020720034</v>
      </c>
      <c r="M603" s="7">
        <f t="shared" si="20"/>
        <v>2160822609</v>
      </c>
      <c r="N603" s="3" t="s">
        <v>179</v>
      </c>
      <c r="O603" s="5" t="s">
        <v>826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514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3" t="s">
        <v>66</v>
      </c>
      <c r="BC603" s="3" t="s">
        <v>66</v>
      </c>
      <c r="BD603" s="2">
        <v>731629.00000000105</v>
      </c>
      <c r="BE603" s="2">
        <v>3762625</v>
      </c>
      <c r="BF603" s="4"/>
      <c r="BG603" s="4"/>
      <c r="BH603" s="4"/>
      <c r="BI603" s="2">
        <v>0</v>
      </c>
      <c r="BJ603" s="2">
        <v>0</v>
      </c>
    </row>
    <row r="604" spans="1:62" hidden="1" x14ac:dyDescent="0.35">
      <c r="A604" s="2">
        <v>104253</v>
      </c>
      <c r="B604" s="2">
        <v>602</v>
      </c>
      <c r="C604" s="3" t="s">
        <v>57</v>
      </c>
      <c r="D604" s="3" t="s">
        <v>827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2160822609</v>
      </c>
      <c r="L604" s="7">
        <f t="shared" si="19"/>
        <v>2160822609</v>
      </c>
      <c r="M604" s="7">
        <f t="shared" si="20"/>
        <v>2160822609</v>
      </c>
      <c r="N604" s="3" t="s">
        <v>179</v>
      </c>
      <c r="O604" s="5" t="s">
        <v>828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829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514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3" t="s">
        <v>66</v>
      </c>
      <c r="BC604" s="3" t="s">
        <v>66</v>
      </c>
      <c r="BD604" s="2">
        <v>731622</v>
      </c>
      <c r="BE604" s="2">
        <v>3762610</v>
      </c>
      <c r="BF604" s="4"/>
      <c r="BG604" s="4"/>
      <c r="BH604" s="4"/>
      <c r="BI604" s="2">
        <v>0</v>
      </c>
      <c r="BJ604" s="2">
        <v>0</v>
      </c>
    </row>
    <row r="605" spans="1:62" hidden="1" x14ac:dyDescent="0.35">
      <c r="A605" s="2">
        <v>104254</v>
      </c>
      <c r="B605" s="2">
        <v>603</v>
      </c>
      <c r="C605" s="3" t="s">
        <v>57</v>
      </c>
      <c r="D605" s="3" t="s">
        <v>830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2160822609</v>
      </c>
      <c r="L605" s="7">
        <f t="shared" si="19"/>
        <v>2160822609</v>
      </c>
      <c r="M605" s="7">
        <f t="shared" si="20"/>
        <v>2160822610</v>
      </c>
      <c r="N605" s="3" t="s">
        <v>179</v>
      </c>
      <c r="O605" s="5" t="s">
        <v>828</v>
      </c>
      <c r="P605" s="3" t="s">
        <v>66</v>
      </c>
      <c r="Q605" s="3" t="s">
        <v>180</v>
      </c>
      <c r="R605" s="2">
        <v>0</v>
      </c>
      <c r="S605" s="3" t="s">
        <v>314</v>
      </c>
      <c r="T605" s="3" t="s">
        <v>829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514</v>
      </c>
      <c r="AC605" s="2">
        <v>0</v>
      </c>
      <c r="AD605" s="3" t="s">
        <v>68</v>
      </c>
      <c r="AE605" s="3" t="s">
        <v>71</v>
      </c>
      <c r="AF605" s="3" t="s">
        <v>66</v>
      </c>
      <c r="AG605" s="3" t="s">
        <v>66</v>
      </c>
      <c r="AH605" s="3" t="s">
        <v>66</v>
      </c>
      <c r="AI605" s="3" t="s">
        <v>66</v>
      </c>
      <c r="AJ605" s="3" t="s">
        <v>66</v>
      </c>
      <c r="AK605" s="3" t="s">
        <v>66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3" t="s">
        <v>66</v>
      </c>
      <c r="BC605" s="3" t="s">
        <v>66</v>
      </c>
      <c r="BD605" s="2">
        <v>731622</v>
      </c>
      <c r="BE605" s="2">
        <v>3762610</v>
      </c>
      <c r="BF605" s="4"/>
      <c r="BG605" s="4"/>
      <c r="BH605" s="4"/>
      <c r="BI605" s="2">
        <v>0</v>
      </c>
      <c r="BJ605" s="2">
        <v>0</v>
      </c>
    </row>
    <row r="606" spans="1:62" hidden="1" x14ac:dyDescent="0.35">
      <c r="A606" s="2">
        <v>104255</v>
      </c>
      <c r="B606" s="2">
        <v>604</v>
      </c>
      <c r="C606" s="3" t="s">
        <v>57</v>
      </c>
      <c r="D606" s="3" t="s">
        <v>830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2160822610</v>
      </c>
      <c r="L606" s="7">
        <f t="shared" si="19"/>
        <v>2160822610</v>
      </c>
      <c r="M606" s="7">
        <f t="shared" si="20"/>
        <v>2160822610</v>
      </c>
      <c r="N606" s="3" t="s">
        <v>179</v>
      </c>
      <c r="O606" s="5" t="s">
        <v>831</v>
      </c>
      <c r="P606" s="3" t="s">
        <v>183</v>
      </c>
      <c r="Q606" s="3" t="s">
        <v>180</v>
      </c>
      <c r="R606" s="2">
        <v>0</v>
      </c>
      <c r="S606" s="3" t="s">
        <v>314</v>
      </c>
      <c r="T606" s="3" t="s">
        <v>829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514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3" t="s">
        <v>66</v>
      </c>
      <c r="BC606" s="3" t="s">
        <v>66</v>
      </c>
      <c r="BD606" s="2">
        <v>731633.00000000198</v>
      </c>
      <c r="BE606" s="2">
        <v>3762572</v>
      </c>
      <c r="BF606" s="4"/>
      <c r="BG606" s="4"/>
      <c r="BH606" s="4"/>
      <c r="BI606" s="2">
        <v>0</v>
      </c>
      <c r="BJ606" s="2">
        <v>0</v>
      </c>
    </row>
    <row r="607" spans="1:62" hidden="1" x14ac:dyDescent="0.35">
      <c r="A607" s="2">
        <v>104256</v>
      </c>
      <c r="B607" s="2">
        <v>605</v>
      </c>
      <c r="C607" s="3" t="s">
        <v>57</v>
      </c>
      <c r="D607" s="3" t="s">
        <v>832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2160822610</v>
      </c>
      <c r="L607" s="7">
        <f t="shared" si="19"/>
        <v>2160822610</v>
      </c>
      <c r="M607" s="7">
        <f t="shared" si="20"/>
        <v>2160822611</v>
      </c>
      <c r="N607" s="3" t="s">
        <v>179</v>
      </c>
      <c r="O607" s="5" t="s">
        <v>831</v>
      </c>
      <c r="P607" s="3" t="s">
        <v>66</v>
      </c>
      <c r="Q607" s="3" t="s">
        <v>180</v>
      </c>
      <c r="R607" s="2">
        <v>0</v>
      </c>
      <c r="S607" s="3" t="s">
        <v>314</v>
      </c>
      <c r="T607" s="3" t="s">
        <v>829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514</v>
      </c>
      <c r="AC607" s="2">
        <v>0</v>
      </c>
      <c r="AD607" s="3" t="s">
        <v>68</v>
      </c>
      <c r="AE607" s="3" t="s">
        <v>71</v>
      </c>
      <c r="AF607" s="3" t="s">
        <v>66</v>
      </c>
      <c r="AG607" s="3" t="s">
        <v>66</v>
      </c>
      <c r="AH607" s="3" t="s">
        <v>66</v>
      </c>
      <c r="AI607" s="3" t="s">
        <v>66</v>
      </c>
      <c r="AJ607" s="3" t="s">
        <v>66</v>
      </c>
      <c r="AK607" s="3" t="s">
        <v>66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3" t="s">
        <v>66</v>
      </c>
      <c r="BC607" s="3" t="s">
        <v>66</v>
      </c>
      <c r="BD607" s="2">
        <v>731633.00000000198</v>
      </c>
      <c r="BE607" s="2">
        <v>3762572</v>
      </c>
      <c r="BF607" s="4"/>
      <c r="BG607" s="4"/>
      <c r="BH607" s="4"/>
      <c r="BI607" s="2">
        <v>0</v>
      </c>
      <c r="BJ607" s="2">
        <v>0</v>
      </c>
    </row>
    <row r="608" spans="1:62" hidden="1" x14ac:dyDescent="0.35">
      <c r="A608" s="2">
        <v>104257</v>
      </c>
      <c r="B608" s="2">
        <v>606</v>
      </c>
      <c r="C608" s="3" t="s">
        <v>57</v>
      </c>
      <c r="D608" s="3" t="s">
        <v>832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2160822611</v>
      </c>
      <c r="L608" s="7">
        <f t="shared" si="19"/>
        <v>2160822611</v>
      </c>
      <c r="M608" s="7">
        <f t="shared" si="20"/>
        <v>2160822611</v>
      </c>
      <c r="N608" s="3" t="s">
        <v>179</v>
      </c>
      <c r="O608" s="5" t="s">
        <v>833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829</v>
      </c>
      <c r="U608" s="3" t="s">
        <v>184</v>
      </c>
      <c r="V608" s="3" t="s">
        <v>184</v>
      </c>
      <c r="W608" s="3" t="s">
        <v>184</v>
      </c>
      <c r="X608" s="3" t="s">
        <v>184</v>
      </c>
      <c r="Y608" s="3" t="s">
        <v>66</v>
      </c>
      <c r="Z608" s="3" t="s">
        <v>66</v>
      </c>
      <c r="AA608" s="3" t="s">
        <v>181</v>
      </c>
      <c r="AB608" s="3" t="s">
        <v>514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/>
      <c r="AZ608" s="2"/>
      <c r="BA608" s="2"/>
      <c r="BB608" s="3" t="s">
        <v>66</v>
      </c>
      <c r="BC608" s="3" t="s">
        <v>66</v>
      </c>
      <c r="BD608" s="2">
        <v>731626.00000000105</v>
      </c>
      <c r="BE608" s="2">
        <v>3762569</v>
      </c>
      <c r="BF608" s="4"/>
      <c r="BG608" s="4"/>
      <c r="BH608" s="4"/>
      <c r="BI608" s="2">
        <v>0</v>
      </c>
      <c r="BJ608" s="2">
        <v>0</v>
      </c>
    </row>
    <row r="609" spans="1:62" hidden="1" x14ac:dyDescent="0.35">
      <c r="A609" s="2">
        <v>104258</v>
      </c>
      <c r="B609" s="2">
        <v>607</v>
      </c>
      <c r="C609" s="3" t="s">
        <v>57</v>
      </c>
      <c r="D609" s="3" t="s">
        <v>834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2160822611</v>
      </c>
      <c r="L609" s="7">
        <f t="shared" si="19"/>
        <v>2160822611</v>
      </c>
      <c r="M609" s="7">
        <f t="shared" si="20"/>
        <v>2160822612</v>
      </c>
      <c r="N609" s="3" t="s">
        <v>179</v>
      </c>
      <c r="O609" s="5" t="s">
        <v>833</v>
      </c>
      <c r="P609" s="3" t="s">
        <v>66</v>
      </c>
      <c r="Q609" s="3" t="s">
        <v>180</v>
      </c>
      <c r="R609" s="2">
        <v>0</v>
      </c>
      <c r="S609" s="3" t="s">
        <v>314</v>
      </c>
      <c r="T609" s="3" t="s">
        <v>829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66</v>
      </c>
      <c r="AG609" s="3" t="s">
        <v>66</v>
      </c>
      <c r="AH609" s="3" t="s">
        <v>66</v>
      </c>
      <c r="AI609" s="3" t="s">
        <v>66</v>
      </c>
      <c r="AJ609" s="3" t="s">
        <v>66</v>
      </c>
      <c r="AK609" s="3" t="s">
        <v>66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3" t="s">
        <v>66</v>
      </c>
      <c r="BC609" s="3" t="s">
        <v>66</v>
      </c>
      <c r="BD609" s="2">
        <v>731626.00000000105</v>
      </c>
      <c r="BE609" s="2">
        <v>3762569</v>
      </c>
      <c r="BF609" s="4"/>
      <c r="BG609" s="4"/>
      <c r="BH609" s="4"/>
      <c r="BI609" s="2">
        <v>0</v>
      </c>
      <c r="BJ609" s="2">
        <v>0</v>
      </c>
    </row>
    <row r="610" spans="1:62" hidden="1" x14ac:dyDescent="0.35">
      <c r="A610" s="2">
        <v>104259</v>
      </c>
      <c r="B610" s="2">
        <v>608</v>
      </c>
      <c r="C610" s="3" t="s">
        <v>57</v>
      </c>
      <c r="D610" s="3" t="s">
        <v>834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2160822612</v>
      </c>
      <c r="L610" s="7">
        <f t="shared" si="19"/>
        <v>2160822612</v>
      </c>
      <c r="M610" s="7">
        <f t="shared" si="20"/>
        <v>2160822612</v>
      </c>
      <c r="N610" s="3" t="s">
        <v>179</v>
      </c>
      <c r="O610" s="5" t="s">
        <v>835</v>
      </c>
      <c r="P610" s="3" t="s">
        <v>183</v>
      </c>
      <c r="Q610" s="3" t="s">
        <v>180</v>
      </c>
      <c r="R610" s="2">
        <v>0</v>
      </c>
      <c r="S610" s="3" t="s">
        <v>314</v>
      </c>
      <c r="T610" s="3" t="s">
        <v>254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/>
      <c r="AZ610" s="2"/>
      <c r="BA610" s="2"/>
      <c r="BB610" s="3" t="s">
        <v>66</v>
      </c>
      <c r="BC610" s="3" t="s">
        <v>66</v>
      </c>
      <c r="BD610" s="2">
        <v>731609</v>
      </c>
      <c r="BE610" s="2">
        <v>3762539</v>
      </c>
      <c r="BF610" s="4"/>
      <c r="BG610" s="4"/>
      <c r="BH610" s="4"/>
      <c r="BI610" s="2">
        <v>0</v>
      </c>
      <c r="BJ610" s="2">
        <v>0</v>
      </c>
    </row>
    <row r="611" spans="1:62" hidden="1" x14ac:dyDescent="0.35">
      <c r="A611" s="2">
        <v>104260</v>
      </c>
      <c r="B611" s="2">
        <v>609</v>
      </c>
      <c r="C611" s="3" t="s">
        <v>57</v>
      </c>
      <c r="D611" s="3" t="s">
        <v>836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2160822612</v>
      </c>
      <c r="L611" s="7">
        <f t="shared" si="19"/>
        <v>2160822612</v>
      </c>
      <c r="M611" s="7">
        <f t="shared" si="20"/>
        <v>2160822613</v>
      </c>
      <c r="N611" s="3" t="s">
        <v>179</v>
      </c>
      <c r="O611" s="5" t="s">
        <v>835</v>
      </c>
      <c r="P611" s="3" t="s">
        <v>66</v>
      </c>
      <c r="Q611" s="3" t="s">
        <v>180</v>
      </c>
      <c r="R611" s="2">
        <v>0</v>
      </c>
      <c r="S611" s="3" t="s">
        <v>314</v>
      </c>
      <c r="T611" s="3" t="s">
        <v>254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3" t="s">
        <v>66</v>
      </c>
      <c r="BC611" s="3" t="s">
        <v>66</v>
      </c>
      <c r="BD611" s="2">
        <v>731609</v>
      </c>
      <c r="BE611" s="2">
        <v>3762539</v>
      </c>
      <c r="BF611" s="4"/>
      <c r="BG611" s="4"/>
      <c r="BH611" s="4"/>
      <c r="BI611" s="2">
        <v>0</v>
      </c>
      <c r="BJ611" s="2">
        <v>0</v>
      </c>
    </row>
    <row r="612" spans="1:62" hidden="1" x14ac:dyDescent="0.35">
      <c r="A612" s="2">
        <v>104261</v>
      </c>
      <c r="B612" s="2">
        <v>610</v>
      </c>
      <c r="C612" s="3" t="s">
        <v>57</v>
      </c>
      <c r="D612" s="3" t="s">
        <v>836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2160822613</v>
      </c>
      <c r="L612" s="7">
        <f t="shared" si="19"/>
        <v>2160822613</v>
      </c>
      <c r="M612" s="7">
        <f t="shared" si="20"/>
        <v>2160822613</v>
      </c>
      <c r="N612" s="3" t="s">
        <v>179</v>
      </c>
      <c r="O612" s="5" t="s">
        <v>837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829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3" t="s">
        <v>66</v>
      </c>
      <c r="BC612" s="3" t="s">
        <v>66</v>
      </c>
      <c r="BD612" s="2">
        <v>731608.00000000105</v>
      </c>
      <c r="BE612" s="2">
        <v>3762535</v>
      </c>
      <c r="BF612" s="4"/>
      <c r="BG612" s="4"/>
      <c r="BH612" s="4"/>
      <c r="BI612" s="2">
        <v>0</v>
      </c>
      <c r="BJ612" s="2">
        <v>0</v>
      </c>
    </row>
    <row r="613" spans="1:62" ht="58" hidden="1" x14ac:dyDescent="0.35">
      <c r="A613" s="2">
        <v>104262</v>
      </c>
      <c r="B613" s="2">
        <v>611</v>
      </c>
      <c r="C613" s="3" t="s">
        <v>57</v>
      </c>
      <c r="D613" s="3" t="s">
        <v>838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17280920310</v>
      </c>
      <c r="L613" s="7">
        <f t="shared" si="19"/>
        <v>2160822613</v>
      </c>
      <c r="M613" s="7">
        <f t="shared" si="20"/>
        <v>1020720035</v>
      </c>
      <c r="N613" s="3" t="s">
        <v>179</v>
      </c>
      <c r="O613" s="5" t="s">
        <v>517</v>
      </c>
      <c r="P613" s="3" t="s">
        <v>66</v>
      </c>
      <c r="Q613" s="3" t="s">
        <v>180</v>
      </c>
      <c r="R613" s="2">
        <v>0</v>
      </c>
      <c r="S613" s="3" t="s">
        <v>66</v>
      </c>
      <c r="T613" s="3" t="s">
        <v>168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172</v>
      </c>
      <c r="AG613" s="3" t="s">
        <v>173</v>
      </c>
      <c r="AH613" s="3" t="s">
        <v>217</v>
      </c>
      <c r="AI613" s="3" t="s">
        <v>66</v>
      </c>
      <c r="AJ613" s="3" t="s">
        <v>66</v>
      </c>
      <c r="AK613" s="3" t="s">
        <v>205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3" t="s">
        <v>410</v>
      </c>
      <c r="BC613" s="3" t="s">
        <v>515</v>
      </c>
      <c r="BD613" s="2">
        <v>731602</v>
      </c>
      <c r="BE613" s="2">
        <v>3762629</v>
      </c>
      <c r="BF613" s="4"/>
      <c r="BG613" s="4"/>
      <c r="BH613" s="4"/>
      <c r="BI613" s="4"/>
      <c r="BJ613" s="2">
        <v>0</v>
      </c>
    </row>
    <row r="614" spans="1:62" x14ac:dyDescent="0.35">
      <c r="A614" s="2">
        <v>104263</v>
      </c>
      <c r="B614" s="2">
        <v>612</v>
      </c>
      <c r="C614" s="3" t="s">
        <v>57</v>
      </c>
      <c r="D614" s="3" t="s">
        <v>838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1020720035</v>
      </c>
      <c r="L614" s="7">
        <f t="shared" si="19"/>
        <v>1020720035</v>
      </c>
      <c r="M614" s="7">
        <f t="shared" si="20"/>
        <v>1020720035</v>
      </c>
      <c r="N614" s="3" t="s">
        <v>179</v>
      </c>
      <c r="O614" s="5" t="s">
        <v>839</v>
      </c>
      <c r="P614" s="3" t="s">
        <v>183</v>
      </c>
      <c r="Q614" s="3" t="s">
        <v>180</v>
      </c>
      <c r="R614" s="2">
        <v>0</v>
      </c>
      <c r="S614" s="3" t="s">
        <v>73</v>
      </c>
      <c r="T614" s="3" t="s">
        <v>840</v>
      </c>
      <c r="U614" s="3" t="s">
        <v>248</v>
      </c>
      <c r="V614" s="3" t="s">
        <v>248</v>
      </c>
      <c r="W614" s="3" t="s">
        <v>248</v>
      </c>
      <c r="X614" s="3" t="s">
        <v>248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16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>
        <f>(($AQ614+$AS614+$AU614++$AT614+$AV614+$AW614+$AX614)/3)+IF(($AP614+$AR614)&gt;=1,ROUNDUP(($AP614+$AR614)/3,0),0)</f>
        <v>6</v>
      </c>
      <c r="AZ614" s="2">
        <f>(($AQ614+$AS614+$AU614++$AT614+$AV614+$AW614+$AX614)/3)+IF(($AP614+$AR614)&gt;=1,ROUNDDOWN(($AP614+$AR614)/3,0),0)</f>
        <v>5</v>
      </c>
      <c r="BA614" s="2">
        <f>(($AQ614+$AS614+$AU614++$AT614+$AV614+$AW614+$AX614)/3)+(IF(($AP614+$AR614)&gt;=($AY614+$AZ614),(($AP614+$AR614)-($AY614+$AZ614)),0))</f>
        <v>5</v>
      </c>
      <c r="BB614" s="3" t="s">
        <v>66</v>
      </c>
      <c r="BC614" s="3" t="s">
        <v>66</v>
      </c>
      <c r="BD614" s="2">
        <v>731573.99999999895</v>
      </c>
      <c r="BE614" s="2">
        <v>3762592</v>
      </c>
      <c r="BF614" s="4"/>
      <c r="BG614" s="4"/>
      <c r="BH614" s="4"/>
      <c r="BI614" s="2">
        <v>0</v>
      </c>
      <c r="BJ614" s="2">
        <v>0</v>
      </c>
    </row>
    <row r="615" spans="1:62" ht="58" hidden="1" x14ac:dyDescent="0.35">
      <c r="A615" s="2">
        <v>104264</v>
      </c>
      <c r="B615" s="2">
        <v>613</v>
      </c>
      <c r="C615" s="3" t="s">
        <v>57</v>
      </c>
      <c r="D615" s="3" t="s">
        <v>841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17280920317</v>
      </c>
      <c r="L615" s="7">
        <f t="shared" si="19"/>
        <v>1020720035</v>
      </c>
      <c r="M615" s="7">
        <f t="shared" si="20"/>
        <v>1020720037</v>
      </c>
      <c r="N615" s="3" t="s">
        <v>179</v>
      </c>
      <c r="O615" s="5" t="s">
        <v>529</v>
      </c>
      <c r="P615" s="3" t="s">
        <v>66</v>
      </c>
      <c r="Q615" s="3" t="s">
        <v>180</v>
      </c>
      <c r="R615" s="2">
        <v>0</v>
      </c>
      <c r="S615" s="3" t="s">
        <v>66</v>
      </c>
      <c r="T615" s="3" t="s">
        <v>168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526</v>
      </c>
      <c r="AC615" s="2">
        <v>0</v>
      </c>
      <c r="AD615" s="3" t="s">
        <v>68</v>
      </c>
      <c r="AE615" s="3" t="s">
        <v>71</v>
      </c>
      <c r="AF615" s="3" t="s">
        <v>172</v>
      </c>
      <c r="AG615" s="3" t="s">
        <v>173</v>
      </c>
      <c r="AH615" s="3" t="s">
        <v>174</v>
      </c>
      <c r="AI615" s="3" t="s">
        <v>66</v>
      </c>
      <c r="AJ615" s="3" t="s">
        <v>66</v>
      </c>
      <c r="AK615" s="3" t="s">
        <v>205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3" t="s">
        <v>410</v>
      </c>
      <c r="BC615" s="3" t="s">
        <v>527</v>
      </c>
      <c r="BD615" s="2">
        <v>731520</v>
      </c>
      <c r="BE615" s="2">
        <v>3762406</v>
      </c>
      <c r="BF615" s="4"/>
      <c r="BG615" s="4"/>
      <c r="BH615" s="4"/>
      <c r="BI615" s="4"/>
      <c r="BJ615" s="2">
        <v>0</v>
      </c>
    </row>
    <row r="616" spans="1:62" x14ac:dyDescent="0.35">
      <c r="A616" s="2">
        <v>104265</v>
      </c>
      <c r="B616" s="2">
        <v>614</v>
      </c>
      <c r="C616" s="3" t="s">
        <v>57</v>
      </c>
      <c r="D616" s="3" t="s">
        <v>841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1020720037</v>
      </c>
      <c r="L616" s="7">
        <f t="shared" si="19"/>
        <v>1020720037</v>
      </c>
      <c r="M616" s="7">
        <f t="shared" si="20"/>
        <v>1020720037</v>
      </c>
      <c r="N616" s="3" t="s">
        <v>179</v>
      </c>
      <c r="O616" s="5" t="s">
        <v>842</v>
      </c>
      <c r="P616" s="3" t="s">
        <v>716</v>
      </c>
      <c r="Q616" s="3" t="s">
        <v>180</v>
      </c>
      <c r="R616" s="2">
        <v>0</v>
      </c>
      <c r="S616" s="3" t="s">
        <v>73</v>
      </c>
      <c r="T616" s="3" t="s">
        <v>254</v>
      </c>
      <c r="U616" s="3" t="s">
        <v>66</v>
      </c>
      <c r="V616" s="3" t="s">
        <v>66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526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15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>
        <f>(($AQ616+$AS616+$AU616++$AT616+$AV616+$AW616+$AX616)/3)+IF(($AP616+$AR616)&gt;=1,ROUNDUP(($AP616+$AR616)/3,0),0)</f>
        <v>5</v>
      </c>
      <c r="AZ616" s="2">
        <f>(($AQ616+$AS616+$AU616++$AT616+$AV616+$AW616+$AX616)/3)+IF(($AP616+$AR616)&gt;=1,ROUNDDOWN(($AP616+$AR616)/3,0),0)</f>
        <v>5</v>
      </c>
      <c r="BA616" s="2">
        <f>(($AQ616+$AS616+$AU616++$AT616+$AV616+$AW616+$AX616)/3)+(IF(($AP616+$AR616)&gt;=($AY616+$AZ616),(($AP616+$AR616)-($AY616+$AZ616)),0))</f>
        <v>5</v>
      </c>
      <c r="BB616" s="3" t="s">
        <v>66</v>
      </c>
      <c r="BC616" s="3" t="s">
        <v>66</v>
      </c>
      <c r="BD616" s="2">
        <v>731493.00000000105</v>
      </c>
      <c r="BE616" s="2">
        <v>3762481</v>
      </c>
      <c r="BF616" s="4"/>
      <c r="BG616" s="4"/>
      <c r="BH616" s="4"/>
      <c r="BI616" s="2">
        <v>0</v>
      </c>
      <c r="BJ616" s="2">
        <v>0</v>
      </c>
    </row>
    <row r="617" spans="1:62" hidden="1" x14ac:dyDescent="0.35">
      <c r="A617" s="2">
        <v>104266</v>
      </c>
      <c r="B617" s="2">
        <v>615</v>
      </c>
      <c r="C617" s="3" t="s">
        <v>57</v>
      </c>
      <c r="D617" s="3" t="s">
        <v>843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1020720037</v>
      </c>
      <c r="L617" s="7">
        <f t="shared" si="19"/>
        <v>1020720037</v>
      </c>
      <c r="M617" s="7">
        <f t="shared" si="20"/>
        <v>1020720038</v>
      </c>
      <c r="N617" s="3" t="s">
        <v>179</v>
      </c>
      <c r="O617" s="5" t="s">
        <v>842</v>
      </c>
      <c r="P617" s="3" t="s">
        <v>66</v>
      </c>
      <c r="Q617" s="3" t="s">
        <v>180</v>
      </c>
      <c r="R617" s="2">
        <v>0</v>
      </c>
      <c r="S617" s="3" t="s">
        <v>73</v>
      </c>
      <c r="T617" s="3" t="s">
        <v>254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526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3" t="s">
        <v>66</v>
      </c>
      <c r="BC617" s="3" t="s">
        <v>66</v>
      </c>
      <c r="BD617" s="2">
        <v>731493.00000000105</v>
      </c>
      <c r="BE617" s="2">
        <v>3762481</v>
      </c>
      <c r="BF617" s="4"/>
      <c r="BG617" s="4"/>
      <c r="BH617" s="4"/>
      <c r="BI617" s="2">
        <v>0</v>
      </c>
      <c r="BJ617" s="2">
        <v>0</v>
      </c>
    </row>
    <row r="618" spans="1:62" x14ac:dyDescent="0.35">
      <c r="A618" s="2">
        <v>104267</v>
      </c>
      <c r="B618" s="2">
        <v>616</v>
      </c>
      <c r="C618" s="3" t="s">
        <v>57</v>
      </c>
      <c r="D618" s="3" t="s">
        <v>843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1020720038</v>
      </c>
      <c r="L618" s="7">
        <f t="shared" si="19"/>
        <v>1020720038</v>
      </c>
      <c r="M618" s="7">
        <f t="shared" si="20"/>
        <v>1020720038</v>
      </c>
      <c r="N618" s="3" t="s">
        <v>179</v>
      </c>
      <c r="O618" s="5" t="s">
        <v>844</v>
      </c>
      <c r="P618" s="3" t="s">
        <v>716</v>
      </c>
      <c r="Q618" s="3" t="s">
        <v>180</v>
      </c>
      <c r="R618" s="2">
        <v>0</v>
      </c>
      <c r="S618" s="3" t="s">
        <v>314</v>
      </c>
      <c r="T618" s="3" t="s">
        <v>254</v>
      </c>
      <c r="U618" s="3" t="s">
        <v>66</v>
      </c>
      <c r="V618" s="3" t="s">
        <v>66</v>
      </c>
      <c r="W618" s="3" t="s">
        <v>195</v>
      </c>
      <c r="X618" s="3" t="s">
        <v>195</v>
      </c>
      <c r="Y618" s="3" t="s">
        <v>66</v>
      </c>
      <c r="Z618" s="3" t="s">
        <v>66</v>
      </c>
      <c r="AA618" s="3" t="s">
        <v>181</v>
      </c>
      <c r="AB618" s="3" t="s">
        <v>526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3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>
        <f>(($AQ618+$AS618+$AU618++$AT618+$AV618+$AW618+$AX618)/3)+IF(($AP618+$AR618)&gt;=1,ROUNDUP(($AP618+$AR618)/3,0),0)</f>
        <v>1</v>
      </c>
      <c r="AZ618" s="2">
        <f>(($AQ618+$AS618+$AU618++$AT618+$AV618+$AW618+$AX618)/3)+IF(($AP618+$AR618)&gt;=1,ROUNDDOWN(($AP618+$AR618)/3,0),0)</f>
        <v>1</v>
      </c>
      <c r="BA618" s="2">
        <f>(($AQ618+$AS618+$AU618++$AT618+$AV618+$AW618+$AX618)/3)+(IF(($AP618+$AR618)&gt;=($AY618+$AZ618),(($AP618+$AR618)-($AY618+$AZ618)),0))</f>
        <v>1</v>
      </c>
      <c r="BB618" s="3" t="s">
        <v>66</v>
      </c>
      <c r="BC618" s="3" t="s">
        <v>66</v>
      </c>
      <c r="BD618" s="2">
        <v>731457.00000000105</v>
      </c>
      <c r="BE618" s="2">
        <v>3762441</v>
      </c>
      <c r="BF618" s="4"/>
      <c r="BG618" s="4"/>
      <c r="BH618" s="4"/>
      <c r="BI618" s="2">
        <v>0</v>
      </c>
      <c r="BJ618" s="2">
        <v>0</v>
      </c>
    </row>
    <row r="619" spans="1:62" hidden="1" x14ac:dyDescent="0.35">
      <c r="A619" s="2">
        <v>104268</v>
      </c>
      <c r="B619" s="2">
        <v>617</v>
      </c>
      <c r="C619" s="3" t="s">
        <v>57</v>
      </c>
      <c r="D619" s="3" t="s">
        <v>845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1020720038</v>
      </c>
      <c r="L619" s="7">
        <f t="shared" si="19"/>
        <v>1020720038</v>
      </c>
      <c r="M619" s="7">
        <f t="shared" si="20"/>
        <v>1020720039</v>
      </c>
      <c r="N619" s="3" t="s">
        <v>179</v>
      </c>
      <c r="O619" s="5" t="s">
        <v>844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254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526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3" t="s">
        <v>66</v>
      </c>
      <c r="BC619" s="3" t="s">
        <v>66</v>
      </c>
      <c r="BD619" s="2">
        <v>731457.00000000105</v>
      </c>
      <c r="BE619" s="2">
        <v>3762441</v>
      </c>
      <c r="BF619" s="4"/>
      <c r="BG619" s="4"/>
      <c r="BH619" s="4"/>
      <c r="BI619" s="2">
        <v>0</v>
      </c>
      <c r="BJ619" s="2">
        <v>0</v>
      </c>
    </row>
    <row r="620" spans="1:62" x14ac:dyDescent="0.35">
      <c r="A620" s="2">
        <v>104269</v>
      </c>
      <c r="B620" s="2">
        <v>618</v>
      </c>
      <c r="C620" s="3" t="s">
        <v>57</v>
      </c>
      <c r="D620" s="3" t="s">
        <v>845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1020720039</v>
      </c>
      <c r="L620" s="7">
        <f t="shared" si="19"/>
        <v>1020720039</v>
      </c>
      <c r="M620" s="7">
        <f t="shared" si="20"/>
        <v>1020720039</v>
      </c>
      <c r="N620" s="3" t="s">
        <v>179</v>
      </c>
      <c r="O620" s="5" t="s">
        <v>846</v>
      </c>
      <c r="P620" s="3" t="s">
        <v>716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66</v>
      </c>
      <c r="V620" s="3" t="s">
        <v>66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526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3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>
        <f>(($AQ620+$AS620+$AU620++$AT620+$AV620+$AW620+$AX620)/3)+IF(($AP620+$AR620)&gt;=1,ROUNDUP(($AP620+$AR620)/3,0),0)</f>
        <v>1</v>
      </c>
      <c r="AZ620" s="2">
        <f>(($AQ620+$AS620+$AU620++$AT620+$AV620+$AW620+$AX620)/3)+IF(($AP620+$AR620)&gt;=1,ROUNDDOWN(($AP620+$AR620)/3,0),0)</f>
        <v>1</v>
      </c>
      <c r="BA620" s="2">
        <f>(($AQ620+$AS620+$AU620++$AT620+$AV620+$AW620+$AX620)/3)+(IF(($AP620+$AR620)&gt;=($AY620+$AZ620),(($AP620+$AR620)-($AY620+$AZ620)),0))</f>
        <v>1</v>
      </c>
      <c r="BB620" s="3" t="s">
        <v>66</v>
      </c>
      <c r="BC620" s="3" t="s">
        <v>66</v>
      </c>
      <c r="BD620" s="2">
        <v>731420</v>
      </c>
      <c r="BE620" s="2">
        <v>3762404</v>
      </c>
      <c r="BF620" s="4"/>
      <c r="BG620" s="4"/>
      <c r="BH620" s="4"/>
      <c r="BI620" s="2">
        <v>0</v>
      </c>
      <c r="BJ620" s="2">
        <v>0</v>
      </c>
    </row>
    <row r="621" spans="1:62" ht="58" hidden="1" x14ac:dyDescent="0.35">
      <c r="A621" s="2">
        <v>104270</v>
      </c>
      <c r="B621" s="2">
        <v>619</v>
      </c>
      <c r="C621" s="3" t="s">
        <v>57</v>
      </c>
      <c r="D621" s="3" t="s">
        <v>847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17280920317</v>
      </c>
      <c r="L621" s="7">
        <f t="shared" si="19"/>
        <v>1020720039</v>
      </c>
      <c r="M621" s="7">
        <f t="shared" si="20"/>
        <v>1020720040</v>
      </c>
      <c r="N621" s="3" t="s">
        <v>179</v>
      </c>
      <c r="O621" s="5" t="s">
        <v>529</v>
      </c>
      <c r="P621" s="3" t="s">
        <v>66</v>
      </c>
      <c r="Q621" s="3" t="s">
        <v>180</v>
      </c>
      <c r="R621" s="2">
        <v>0</v>
      </c>
      <c r="S621" s="3" t="s">
        <v>66</v>
      </c>
      <c r="T621" s="3" t="s">
        <v>168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526</v>
      </c>
      <c r="AC621" s="2">
        <v>0</v>
      </c>
      <c r="AD621" s="3" t="s">
        <v>68</v>
      </c>
      <c r="AE621" s="3" t="s">
        <v>71</v>
      </c>
      <c r="AF621" s="3" t="s">
        <v>172</v>
      </c>
      <c r="AG621" s="3" t="s">
        <v>173</v>
      </c>
      <c r="AH621" s="3" t="s">
        <v>174</v>
      </c>
      <c r="AI621" s="3" t="s">
        <v>66</v>
      </c>
      <c r="AJ621" s="3" t="s">
        <v>66</v>
      </c>
      <c r="AK621" s="3" t="s">
        <v>205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3" t="s">
        <v>410</v>
      </c>
      <c r="BC621" s="3" t="s">
        <v>527</v>
      </c>
      <c r="BD621" s="2">
        <v>731520</v>
      </c>
      <c r="BE621" s="2">
        <v>3762406</v>
      </c>
      <c r="BF621" s="4"/>
      <c r="BG621" s="4"/>
      <c r="BH621" s="4"/>
      <c r="BI621" s="4"/>
      <c r="BJ621" s="2">
        <v>0</v>
      </c>
    </row>
    <row r="622" spans="1:62" x14ac:dyDescent="0.35">
      <c r="A622" s="2">
        <v>104271</v>
      </c>
      <c r="B622" s="2">
        <v>620</v>
      </c>
      <c r="C622" s="3" t="s">
        <v>57</v>
      </c>
      <c r="D622" s="3" t="s">
        <v>847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1020720040</v>
      </c>
      <c r="L622" s="7">
        <f t="shared" si="19"/>
        <v>1020720040</v>
      </c>
      <c r="M622" s="7">
        <f t="shared" si="20"/>
        <v>1020720040</v>
      </c>
      <c r="N622" s="3" t="s">
        <v>179</v>
      </c>
      <c r="O622" s="5" t="s">
        <v>848</v>
      </c>
      <c r="P622" s="3" t="s">
        <v>733</v>
      </c>
      <c r="Q622" s="3" t="s">
        <v>180</v>
      </c>
      <c r="R622" s="2">
        <v>0</v>
      </c>
      <c r="S622" s="3" t="s">
        <v>314</v>
      </c>
      <c r="T622" s="3" t="s">
        <v>254</v>
      </c>
      <c r="U622" s="3" t="s">
        <v>195</v>
      </c>
      <c r="V622" s="3" t="s">
        <v>195</v>
      </c>
      <c r="W622" s="3" t="s">
        <v>66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526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14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>
        <f>(($AQ622+$AS622+$AU622++$AT622+$AV622+$AW622+$AX622)/3)+IF(($AP622+$AR622)&gt;=1,ROUNDUP(($AP622+$AR622)/3,0),0)</f>
        <v>5</v>
      </c>
      <c r="AZ622" s="2">
        <f>(($AQ622+$AS622+$AU622++$AT622+$AV622+$AW622+$AX622)/3)+IF(($AP622+$AR622)&gt;=1,ROUNDDOWN(($AP622+$AR622)/3,0),0)</f>
        <v>4</v>
      </c>
      <c r="BA622" s="2">
        <f>(($AQ622+$AS622+$AU622++$AT622+$AV622+$AW622+$AX622)/3)+(IF(($AP622+$AR622)&gt;=($AY622+$AZ622),(($AP622+$AR622)-($AY622+$AZ622)),0))</f>
        <v>5</v>
      </c>
      <c r="BB622" s="3" t="s">
        <v>66</v>
      </c>
      <c r="BC622" s="3" t="s">
        <v>66</v>
      </c>
      <c r="BD622" s="2">
        <v>731562.00000000105</v>
      </c>
      <c r="BE622" s="2">
        <v>3762428</v>
      </c>
      <c r="BF622" s="4"/>
      <c r="BG622" s="4"/>
      <c r="BH622" s="4"/>
      <c r="BI622" s="2">
        <v>0</v>
      </c>
      <c r="BJ622" s="2">
        <v>0</v>
      </c>
    </row>
    <row r="623" spans="1:62" hidden="1" x14ac:dyDescent="0.35">
      <c r="A623" s="2">
        <v>104272</v>
      </c>
      <c r="B623" s="2">
        <v>621</v>
      </c>
      <c r="C623" s="3" t="s">
        <v>57</v>
      </c>
      <c r="D623" s="3" t="s">
        <v>849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1020720040</v>
      </c>
      <c r="L623" s="7">
        <f t="shared" si="19"/>
        <v>1020720040</v>
      </c>
      <c r="M623" s="7">
        <f t="shared" si="20"/>
        <v>1020720041</v>
      </c>
      <c r="N623" s="3" t="s">
        <v>179</v>
      </c>
      <c r="O623" s="5" t="s">
        <v>848</v>
      </c>
      <c r="P623" s="3" t="s">
        <v>66</v>
      </c>
      <c r="Q623" s="3" t="s">
        <v>180</v>
      </c>
      <c r="R623" s="2">
        <v>0</v>
      </c>
      <c r="S623" s="3" t="s">
        <v>314</v>
      </c>
      <c r="T623" s="3" t="s">
        <v>254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526</v>
      </c>
      <c r="AC623" s="2">
        <v>0</v>
      </c>
      <c r="AD623" s="3" t="s">
        <v>68</v>
      </c>
      <c r="AE623" s="3" t="s">
        <v>71</v>
      </c>
      <c r="AF623" s="3" t="s">
        <v>66</v>
      </c>
      <c r="AG623" s="3" t="s">
        <v>66</v>
      </c>
      <c r="AH623" s="3" t="s">
        <v>66</v>
      </c>
      <c r="AI623" s="3" t="s">
        <v>66</v>
      </c>
      <c r="AJ623" s="3" t="s">
        <v>66</v>
      </c>
      <c r="AK623" s="3" t="s">
        <v>66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3" t="s">
        <v>66</v>
      </c>
      <c r="BC623" s="3" t="s">
        <v>66</v>
      </c>
      <c r="BD623" s="2">
        <v>731562.00000000105</v>
      </c>
      <c r="BE623" s="2">
        <v>3762428</v>
      </c>
      <c r="BF623" s="4"/>
      <c r="BG623" s="4"/>
      <c r="BH623" s="4"/>
      <c r="BI623" s="2">
        <v>0</v>
      </c>
      <c r="BJ623" s="2">
        <v>0</v>
      </c>
    </row>
    <row r="624" spans="1:62" x14ac:dyDescent="0.35">
      <c r="A624" s="2">
        <v>104273</v>
      </c>
      <c r="B624" s="2">
        <v>622</v>
      </c>
      <c r="C624" s="3" t="s">
        <v>57</v>
      </c>
      <c r="D624" s="3" t="s">
        <v>849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1020720041</v>
      </c>
      <c r="L624" s="7">
        <f t="shared" si="19"/>
        <v>1020720041</v>
      </c>
      <c r="M624" s="7">
        <f t="shared" si="20"/>
        <v>1020720041</v>
      </c>
      <c r="N624" s="3" t="s">
        <v>179</v>
      </c>
      <c r="O624" s="5" t="s">
        <v>850</v>
      </c>
      <c r="P624" s="3" t="s">
        <v>733</v>
      </c>
      <c r="Q624" s="3" t="s">
        <v>180</v>
      </c>
      <c r="R624" s="2">
        <v>0</v>
      </c>
      <c r="S624" s="3" t="s">
        <v>314</v>
      </c>
      <c r="T624" s="3" t="s">
        <v>254</v>
      </c>
      <c r="U624" s="3" t="s">
        <v>195</v>
      </c>
      <c r="V624" s="3" t="s">
        <v>195</v>
      </c>
      <c r="W624" s="3" t="s">
        <v>66</v>
      </c>
      <c r="X624" s="3" t="s">
        <v>195</v>
      </c>
      <c r="Y624" s="3" t="s">
        <v>66</v>
      </c>
      <c r="Z624" s="3" t="s">
        <v>66</v>
      </c>
      <c r="AA624" s="3" t="s">
        <v>181</v>
      </c>
      <c r="AB624" s="3" t="s">
        <v>526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19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7</v>
      </c>
      <c r="AZ624" s="2">
        <f>(($AQ624+$AS624+$AU624++$AT624+$AV624+$AW624+$AX624)/3)+IF(($AP624+$AR624)&gt;=1,ROUNDDOWN(($AP624+$AR624)/3,0),0)</f>
        <v>6</v>
      </c>
      <c r="BA624" s="2">
        <f>(($AQ624+$AS624+$AU624++$AT624+$AV624+$AW624+$AX624)/3)+(IF(($AP624+$AR624)&gt;=($AY624+$AZ624),(($AP624+$AR624)-($AY624+$AZ624)),0))</f>
        <v>6</v>
      </c>
      <c r="BB624" s="3" t="s">
        <v>66</v>
      </c>
      <c r="BC624" s="3" t="s">
        <v>66</v>
      </c>
      <c r="BD624" s="2">
        <v>731634.00000000105</v>
      </c>
      <c r="BE624" s="2">
        <v>3762428</v>
      </c>
      <c r="BF624" s="4"/>
      <c r="BG624" s="4"/>
      <c r="BH624" s="4"/>
      <c r="BI624" s="2">
        <v>0</v>
      </c>
      <c r="BJ624" s="2">
        <v>0</v>
      </c>
    </row>
    <row r="625" spans="1:62" ht="58" hidden="1" x14ac:dyDescent="0.35">
      <c r="A625" s="2">
        <v>104274</v>
      </c>
      <c r="B625" s="2">
        <v>623</v>
      </c>
      <c r="C625" s="3" t="s">
        <v>57</v>
      </c>
      <c r="D625" s="3" t="s">
        <v>537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17280920321</v>
      </c>
      <c r="L625" s="7">
        <f t="shared" si="19"/>
        <v>1020720041</v>
      </c>
      <c r="M625" s="7">
        <f t="shared" si="20"/>
        <v>17280920321</v>
      </c>
      <c r="N625" s="3" t="s">
        <v>179</v>
      </c>
      <c r="O625" s="5" t="s">
        <v>538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535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3" t="s">
        <v>410</v>
      </c>
      <c r="BC625" s="3" t="s">
        <v>536</v>
      </c>
      <c r="BD625" s="2">
        <v>731550</v>
      </c>
      <c r="BE625" s="2">
        <v>3762331</v>
      </c>
      <c r="BF625" s="4"/>
      <c r="BG625" s="4"/>
      <c r="BH625" s="4"/>
      <c r="BI625" s="4"/>
      <c r="BJ625" s="2">
        <v>0</v>
      </c>
    </row>
    <row r="626" spans="1:62" x14ac:dyDescent="0.35">
      <c r="A626" s="2">
        <v>104275</v>
      </c>
      <c r="B626" s="2">
        <v>624</v>
      </c>
      <c r="C626" s="3" t="s">
        <v>57</v>
      </c>
      <c r="D626" s="3" t="s">
        <v>537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17280920321</v>
      </c>
      <c r="L626" s="7">
        <f t="shared" si="19"/>
        <v>17280920321</v>
      </c>
      <c r="M626" s="7">
        <f t="shared" si="20"/>
        <v>17280920321</v>
      </c>
      <c r="N626" s="3" t="s">
        <v>179</v>
      </c>
      <c r="O626" s="5" t="s">
        <v>538</v>
      </c>
      <c r="P626" s="3" t="s">
        <v>733</v>
      </c>
      <c r="Q626" s="3" t="s">
        <v>180</v>
      </c>
      <c r="R626" s="2">
        <v>0</v>
      </c>
      <c r="S626" s="3" t="s">
        <v>66</v>
      </c>
      <c r="T626" s="3" t="s">
        <v>168</v>
      </c>
      <c r="U626" s="3" t="s">
        <v>195</v>
      </c>
      <c r="V626" s="3" t="s">
        <v>195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535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21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7</v>
      </c>
      <c r="AZ626" s="2">
        <f>(($AQ626+$AS626+$AU626++$AT626+$AV626+$AW626+$AX626)/3)+IF(($AP626+$AR626)&gt;=1,ROUNDDOWN(($AP626+$AR626)/3,0),0)</f>
        <v>7</v>
      </c>
      <c r="BA626" s="2">
        <f>(($AQ626+$AS626+$AU626++$AT626+$AV626+$AW626+$AX626)/3)+(IF(($AP626+$AR626)&gt;=($AY626+$AZ626),(($AP626+$AR626)-($AY626+$AZ626)),0))</f>
        <v>7</v>
      </c>
      <c r="BB626" s="3" t="s">
        <v>66</v>
      </c>
      <c r="BC626" s="3" t="s">
        <v>66</v>
      </c>
      <c r="BD626" s="2">
        <v>731550</v>
      </c>
      <c r="BE626" s="2">
        <v>3762331</v>
      </c>
      <c r="BF626" s="4"/>
      <c r="BG626" s="4"/>
      <c r="BH626" s="4"/>
      <c r="BI626" s="2">
        <v>0</v>
      </c>
      <c r="BJ626" s="2">
        <v>0</v>
      </c>
    </row>
    <row r="627" spans="1:62" ht="58" hidden="1" x14ac:dyDescent="0.35">
      <c r="A627" s="2">
        <v>104276</v>
      </c>
      <c r="B627" s="2">
        <v>625</v>
      </c>
      <c r="C627" s="3" t="s">
        <v>57</v>
      </c>
      <c r="D627" s="3" t="s">
        <v>851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17280920321</v>
      </c>
      <c r="L627" s="7">
        <f t="shared" si="19"/>
        <v>17280920321</v>
      </c>
      <c r="M627" s="7">
        <f t="shared" si="20"/>
        <v>1020720043</v>
      </c>
      <c r="N627" s="3" t="s">
        <v>179</v>
      </c>
      <c r="O627" s="5" t="s">
        <v>538</v>
      </c>
      <c r="P627" s="3" t="s">
        <v>66</v>
      </c>
      <c r="Q627" s="3" t="s">
        <v>180</v>
      </c>
      <c r="R627" s="2">
        <v>0</v>
      </c>
      <c r="S627" s="3" t="s">
        <v>66</v>
      </c>
      <c r="T627" s="3" t="s">
        <v>168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535</v>
      </c>
      <c r="AC627" s="2">
        <v>0</v>
      </c>
      <c r="AD627" s="3" t="s">
        <v>68</v>
      </c>
      <c r="AE627" s="3" t="s">
        <v>71</v>
      </c>
      <c r="AF627" s="3" t="s">
        <v>172</v>
      </c>
      <c r="AG627" s="3" t="s">
        <v>173</v>
      </c>
      <c r="AH627" s="3" t="s">
        <v>174</v>
      </c>
      <c r="AI627" s="3" t="s">
        <v>66</v>
      </c>
      <c r="AJ627" s="3" t="s">
        <v>66</v>
      </c>
      <c r="AK627" s="3" t="s">
        <v>205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3" t="s">
        <v>410</v>
      </c>
      <c r="BC627" s="3" t="s">
        <v>536</v>
      </c>
      <c r="BD627" s="2">
        <v>731550</v>
      </c>
      <c r="BE627" s="2">
        <v>3762331</v>
      </c>
      <c r="BF627" s="4"/>
      <c r="BG627" s="4"/>
      <c r="BH627" s="4"/>
      <c r="BI627" s="4"/>
      <c r="BJ627" s="2">
        <v>0</v>
      </c>
    </row>
    <row r="628" spans="1:62" x14ac:dyDescent="0.35">
      <c r="A628" s="2">
        <v>104277</v>
      </c>
      <c r="B628" s="2">
        <v>626</v>
      </c>
      <c r="C628" s="3" t="s">
        <v>57</v>
      </c>
      <c r="D628" s="3" t="s">
        <v>851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1020720043</v>
      </c>
      <c r="L628" s="7">
        <f t="shared" si="19"/>
        <v>1020720043</v>
      </c>
      <c r="M628" s="7">
        <f t="shared" si="20"/>
        <v>1020720043</v>
      </c>
      <c r="N628" s="3" t="s">
        <v>179</v>
      </c>
      <c r="O628" s="5" t="s">
        <v>852</v>
      </c>
      <c r="P628" s="3" t="s">
        <v>183</v>
      </c>
      <c r="Q628" s="3" t="s">
        <v>180</v>
      </c>
      <c r="R628" s="2">
        <v>0</v>
      </c>
      <c r="S628" s="3" t="s">
        <v>73</v>
      </c>
      <c r="T628" s="3" t="s">
        <v>638</v>
      </c>
      <c r="U628" s="3" t="s">
        <v>195</v>
      </c>
      <c r="V628" s="3" t="s">
        <v>195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535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20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7</v>
      </c>
      <c r="AZ628" s="2">
        <f>(($AQ628+$AS628+$AU628++$AT628+$AV628+$AW628+$AX628)/3)+IF(($AP628+$AR628)&gt;=1,ROUNDDOWN(($AP628+$AR628)/3,0),0)</f>
        <v>6</v>
      </c>
      <c r="BA628" s="2">
        <f>(($AQ628+$AS628+$AU628++$AT628+$AV628+$AW628+$AX628)/3)+(IF(($AP628+$AR628)&gt;=($AY628+$AZ628),(($AP628+$AR628)-($AY628+$AZ628)),0))</f>
        <v>7</v>
      </c>
      <c r="BB628" s="3" t="s">
        <v>66</v>
      </c>
      <c r="BC628" s="3" t="s">
        <v>66</v>
      </c>
      <c r="BD628" s="2">
        <v>731533</v>
      </c>
      <c r="BE628" s="2">
        <v>3762373</v>
      </c>
      <c r="BF628" s="4"/>
      <c r="BG628" s="4"/>
      <c r="BH628" s="4"/>
      <c r="BI628" s="2">
        <v>0</v>
      </c>
      <c r="BJ628" s="2">
        <v>0</v>
      </c>
    </row>
    <row r="629" spans="1:62" hidden="1" x14ac:dyDescent="0.35">
      <c r="A629" s="2">
        <v>104278</v>
      </c>
      <c r="B629" s="2">
        <v>627</v>
      </c>
      <c r="C629" s="3" t="s">
        <v>57</v>
      </c>
      <c r="D629" s="3" t="s">
        <v>853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1020720043</v>
      </c>
      <c r="L629" s="7">
        <f t="shared" si="19"/>
        <v>1020720043</v>
      </c>
      <c r="M629" s="7">
        <f t="shared" si="20"/>
        <v>1020720044</v>
      </c>
      <c r="N629" s="3" t="s">
        <v>179</v>
      </c>
      <c r="O629" s="5" t="s">
        <v>852</v>
      </c>
      <c r="P629" s="3" t="s">
        <v>66</v>
      </c>
      <c r="Q629" s="3" t="s">
        <v>180</v>
      </c>
      <c r="R629" s="2">
        <v>0</v>
      </c>
      <c r="S629" s="3" t="s">
        <v>73</v>
      </c>
      <c r="T629" s="3" t="s">
        <v>638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535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3" t="s">
        <v>66</v>
      </c>
      <c r="BC629" s="3" t="s">
        <v>66</v>
      </c>
      <c r="BD629" s="2">
        <v>731533</v>
      </c>
      <c r="BE629" s="2">
        <v>3762373</v>
      </c>
      <c r="BF629" s="4"/>
      <c r="BG629" s="4"/>
      <c r="BH629" s="4"/>
      <c r="BI629" s="2">
        <v>0</v>
      </c>
      <c r="BJ629" s="2">
        <v>0</v>
      </c>
    </row>
    <row r="630" spans="1:62" x14ac:dyDescent="0.35">
      <c r="A630" s="2">
        <v>104279</v>
      </c>
      <c r="B630" s="2">
        <v>628</v>
      </c>
      <c r="C630" s="3" t="s">
        <v>57</v>
      </c>
      <c r="D630" s="3" t="s">
        <v>853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1020720044</v>
      </c>
      <c r="L630" s="7">
        <f t="shared" si="19"/>
        <v>1020720044</v>
      </c>
      <c r="M630" s="7">
        <f t="shared" si="20"/>
        <v>1020720044</v>
      </c>
      <c r="N630" s="3" t="s">
        <v>179</v>
      </c>
      <c r="O630" s="5" t="s">
        <v>854</v>
      </c>
      <c r="P630" s="3" t="s">
        <v>183</v>
      </c>
      <c r="Q630" s="3" t="s">
        <v>180</v>
      </c>
      <c r="R630" s="2">
        <v>0</v>
      </c>
      <c r="S630" s="3" t="s">
        <v>73</v>
      </c>
      <c r="T630" s="3" t="s">
        <v>254</v>
      </c>
      <c r="U630" s="3" t="s">
        <v>195</v>
      </c>
      <c r="V630" s="3" t="s">
        <v>195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535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9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3</v>
      </c>
      <c r="AZ630" s="2">
        <f>(($AQ630+$AS630+$AU630++$AT630+$AV630+$AW630+$AX630)/3)+IF(($AP630+$AR630)&gt;=1,ROUNDDOWN(($AP630+$AR630)/3,0),0)</f>
        <v>3</v>
      </c>
      <c r="BA630" s="2">
        <f>(($AQ630+$AS630+$AU630++$AT630+$AV630+$AW630+$AX630)/3)+(IF(($AP630+$AR630)&gt;=($AY630+$AZ630),(($AP630+$AR630)-($AY630+$AZ630)),0))</f>
        <v>3</v>
      </c>
      <c r="BB630" s="3" t="s">
        <v>66</v>
      </c>
      <c r="BC630" s="3" t="s">
        <v>66</v>
      </c>
      <c r="BD630" s="2">
        <v>731518.00000000198</v>
      </c>
      <c r="BE630" s="2">
        <v>3762405</v>
      </c>
      <c r="BF630" s="4"/>
      <c r="BG630" s="4"/>
      <c r="BH630" s="4"/>
      <c r="BI630" s="2">
        <v>0</v>
      </c>
      <c r="BJ630" s="2">
        <v>0</v>
      </c>
    </row>
    <row r="631" spans="1:62" ht="58" hidden="1" x14ac:dyDescent="0.35">
      <c r="A631" s="2">
        <v>104280</v>
      </c>
      <c r="B631" s="2">
        <v>629</v>
      </c>
      <c r="C631" s="3" t="s">
        <v>57</v>
      </c>
      <c r="D631" s="3" t="s">
        <v>855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17280920327</v>
      </c>
      <c r="L631" s="7">
        <f t="shared" si="19"/>
        <v>1020720044</v>
      </c>
      <c r="M631" s="7">
        <f t="shared" si="20"/>
        <v>2250220163</v>
      </c>
      <c r="N631" s="3" t="s">
        <v>179</v>
      </c>
      <c r="O631" s="5" t="s">
        <v>549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546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231</v>
      </c>
      <c r="AI631" s="3" t="s">
        <v>66</v>
      </c>
      <c r="AJ631" s="3" t="s">
        <v>66</v>
      </c>
      <c r="AK631" s="3" t="s">
        <v>175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3" t="s">
        <v>410</v>
      </c>
      <c r="BC631" s="3" t="s">
        <v>547</v>
      </c>
      <c r="BD631" s="2">
        <v>731625</v>
      </c>
      <c r="BE631" s="2">
        <v>3762219</v>
      </c>
      <c r="BF631" s="4"/>
      <c r="BG631" s="4"/>
      <c r="BH631" s="4"/>
      <c r="BI631" s="4"/>
      <c r="BJ631" s="2">
        <v>0</v>
      </c>
    </row>
    <row r="632" spans="1:62" x14ac:dyDescent="0.35">
      <c r="A632" s="2">
        <v>104281</v>
      </c>
      <c r="B632" s="2">
        <v>630</v>
      </c>
      <c r="C632" s="3" t="s">
        <v>57</v>
      </c>
      <c r="D632" s="3" t="s">
        <v>855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2250220163</v>
      </c>
      <c r="L632" s="7">
        <f t="shared" si="19"/>
        <v>2250220163</v>
      </c>
      <c r="M632" s="7">
        <f t="shared" si="20"/>
        <v>2250220163</v>
      </c>
      <c r="N632" s="3" t="s">
        <v>179</v>
      </c>
      <c r="O632" s="5" t="s">
        <v>856</v>
      </c>
      <c r="P632" s="3" t="s">
        <v>183</v>
      </c>
      <c r="Q632" s="3" t="s">
        <v>180</v>
      </c>
      <c r="R632" s="2">
        <v>0</v>
      </c>
      <c r="S632" s="3" t="s">
        <v>73</v>
      </c>
      <c r="T632" s="3" t="s">
        <v>638</v>
      </c>
      <c r="U632" s="3" t="s">
        <v>195</v>
      </c>
      <c r="V632" s="3" t="s">
        <v>195</v>
      </c>
      <c r="W632" s="3" t="s">
        <v>195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546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10</v>
      </c>
      <c r="AQ632" s="2">
        <v>1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4.333333333333333</v>
      </c>
      <c r="AZ632" s="2">
        <f>(($AQ632+$AS632+$AU632++$AT632+$AV632+$AW632+$AX632)/3)+IF(($AP632+$AR632)&gt;=1,ROUNDDOWN(($AP632+$AR632)/3,0),0)</f>
        <v>3.3333333333333335</v>
      </c>
      <c r="BA632" s="2">
        <f>(($AQ632+$AS632+$AU632++$AT632+$AV632+$AW632+$AX632)/3)+(IF(($AP632+$AR632)&gt;=($AY632+$AZ632),(($AP632+$AR632)-($AY632+$AZ632)),0))</f>
        <v>2.6666666666666674</v>
      </c>
      <c r="BB632" s="3" t="s">
        <v>66</v>
      </c>
      <c r="BC632" s="3" t="s">
        <v>66</v>
      </c>
      <c r="BD632" s="2">
        <v>731665</v>
      </c>
      <c r="BE632" s="2">
        <v>3762225</v>
      </c>
      <c r="BF632" s="4"/>
      <c r="BG632" s="4"/>
      <c r="BH632" s="4"/>
      <c r="BI632" s="2">
        <v>0</v>
      </c>
      <c r="BJ632" s="2">
        <v>0</v>
      </c>
    </row>
    <row r="633" spans="1:62" hidden="1" x14ac:dyDescent="0.35">
      <c r="A633" s="2">
        <v>104282</v>
      </c>
      <c r="B633" s="2">
        <v>631</v>
      </c>
      <c r="C633" s="3" t="s">
        <v>57</v>
      </c>
      <c r="D633" s="3" t="s">
        <v>857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2250220163</v>
      </c>
      <c r="L633" s="7">
        <f t="shared" si="19"/>
        <v>2250220163</v>
      </c>
      <c r="M633" s="7">
        <f t="shared" si="20"/>
        <v>2250220164</v>
      </c>
      <c r="N633" s="3" t="s">
        <v>179</v>
      </c>
      <c r="O633" s="5" t="s">
        <v>856</v>
      </c>
      <c r="P633" s="3" t="s">
        <v>66</v>
      </c>
      <c r="Q633" s="3" t="s">
        <v>180</v>
      </c>
      <c r="R633" s="2">
        <v>0</v>
      </c>
      <c r="S633" s="3" t="s">
        <v>73</v>
      </c>
      <c r="T633" s="3" t="s">
        <v>638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546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3" t="s">
        <v>66</v>
      </c>
      <c r="BC633" s="3" t="s">
        <v>66</v>
      </c>
      <c r="BD633" s="2">
        <v>731665</v>
      </c>
      <c r="BE633" s="2">
        <v>3762225</v>
      </c>
      <c r="BF633" s="4"/>
      <c r="BG633" s="4"/>
      <c r="BH633" s="4"/>
      <c r="BI633" s="2">
        <v>0</v>
      </c>
      <c r="BJ633" s="2">
        <v>0</v>
      </c>
    </row>
    <row r="634" spans="1:62" x14ac:dyDescent="0.35">
      <c r="A634" s="2">
        <v>104283</v>
      </c>
      <c r="B634" s="2">
        <v>632</v>
      </c>
      <c r="C634" s="3" t="s">
        <v>57</v>
      </c>
      <c r="D634" s="3" t="s">
        <v>857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2250220164</v>
      </c>
      <c r="L634" s="7">
        <f t="shared" si="19"/>
        <v>2250220164</v>
      </c>
      <c r="M634" s="7">
        <f t="shared" si="20"/>
        <v>2250220164</v>
      </c>
      <c r="N634" s="3" t="s">
        <v>179</v>
      </c>
      <c r="O634" s="5" t="s">
        <v>858</v>
      </c>
      <c r="P634" s="3" t="s">
        <v>183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195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546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5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2</v>
      </c>
      <c r="AZ634" s="2">
        <f>(($AQ634+$AS634+$AU634++$AT634+$AV634+$AW634+$AX634)/3)+IF(($AP634+$AR634)&gt;=1,ROUNDDOWN(($AP634+$AR634)/3,0),0)</f>
        <v>1</v>
      </c>
      <c r="BA634" s="2">
        <f>(($AQ634+$AS634+$AU634++$AT634+$AV634+$AW634+$AX634)/3)+(IF(($AP634+$AR634)&gt;=($AY634+$AZ634),(($AP634+$AR634)-($AY634+$AZ634)),0))</f>
        <v>2</v>
      </c>
      <c r="BB634" s="3" t="s">
        <v>66</v>
      </c>
      <c r="BC634" s="3" t="s">
        <v>66</v>
      </c>
      <c r="BD634" s="2">
        <v>731668</v>
      </c>
      <c r="BE634" s="2">
        <v>3762262</v>
      </c>
      <c r="BF634" s="4"/>
      <c r="BG634" s="4"/>
      <c r="BH634" s="4"/>
      <c r="BI634" s="2">
        <v>0</v>
      </c>
      <c r="BJ634" s="2">
        <v>0</v>
      </c>
    </row>
    <row r="635" spans="1:62" hidden="1" x14ac:dyDescent="0.35">
      <c r="A635" s="2">
        <v>104284</v>
      </c>
      <c r="B635" s="2">
        <v>633</v>
      </c>
      <c r="C635" s="3" t="s">
        <v>57</v>
      </c>
      <c r="D635" s="3" t="s">
        <v>859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2250220164</v>
      </c>
      <c r="L635" s="7">
        <f t="shared" si="19"/>
        <v>2250220164</v>
      </c>
      <c r="M635" s="7">
        <f t="shared" si="20"/>
        <v>2250220165</v>
      </c>
      <c r="N635" s="3" t="s">
        <v>179</v>
      </c>
      <c r="O635" s="5" t="s">
        <v>858</v>
      </c>
      <c r="P635" s="3" t="s">
        <v>66</v>
      </c>
      <c r="Q635" s="3" t="s">
        <v>180</v>
      </c>
      <c r="R635" s="2">
        <v>0</v>
      </c>
      <c r="S635" s="3" t="s">
        <v>314</v>
      </c>
      <c r="T635" s="3" t="s">
        <v>254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546</v>
      </c>
      <c r="AC635" s="2">
        <v>0</v>
      </c>
      <c r="AD635" s="3" t="s">
        <v>68</v>
      </c>
      <c r="AE635" s="3" t="s">
        <v>71</v>
      </c>
      <c r="AF635" s="3" t="s">
        <v>66</v>
      </c>
      <c r="AG635" s="3" t="s">
        <v>66</v>
      </c>
      <c r="AH635" s="3" t="s">
        <v>66</v>
      </c>
      <c r="AI635" s="3" t="s">
        <v>66</v>
      </c>
      <c r="AJ635" s="3" t="s">
        <v>66</v>
      </c>
      <c r="AK635" s="3" t="s">
        <v>66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3" t="s">
        <v>66</v>
      </c>
      <c r="BC635" s="3" t="s">
        <v>66</v>
      </c>
      <c r="BD635" s="2">
        <v>731668</v>
      </c>
      <c r="BE635" s="2">
        <v>3762262</v>
      </c>
      <c r="BF635" s="4"/>
      <c r="BG635" s="4"/>
      <c r="BH635" s="4"/>
      <c r="BI635" s="2">
        <v>0</v>
      </c>
      <c r="BJ635" s="2">
        <v>0</v>
      </c>
    </row>
    <row r="636" spans="1:62" x14ac:dyDescent="0.35">
      <c r="A636" s="2">
        <v>104285</v>
      </c>
      <c r="B636" s="2">
        <v>634</v>
      </c>
      <c r="C636" s="3" t="s">
        <v>57</v>
      </c>
      <c r="D636" s="3" t="s">
        <v>859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2250220165</v>
      </c>
      <c r="L636" s="7">
        <f t="shared" si="19"/>
        <v>2250220165</v>
      </c>
      <c r="M636" s="7">
        <f t="shared" si="20"/>
        <v>2250220165</v>
      </c>
      <c r="N636" s="3" t="s">
        <v>179</v>
      </c>
      <c r="O636" s="5" t="s">
        <v>860</v>
      </c>
      <c r="P636" s="3" t="s">
        <v>183</v>
      </c>
      <c r="Q636" s="3" t="s">
        <v>180</v>
      </c>
      <c r="R636" s="2">
        <v>0</v>
      </c>
      <c r="S636" s="3" t="s">
        <v>314</v>
      </c>
      <c r="T636" s="3" t="s">
        <v>254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546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6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2</v>
      </c>
      <c r="AZ636" s="2">
        <f>(($AQ636+$AS636+$AU636++$AT636+$AV636+$AW636+$AX636)/3)+IF(($AP636+$AR636)&gt;=1,ROUNDDOWN(($AP636+$AR636)/3,0),0)</f>
        <v>2</v>
      </c>
      <c r="BA636" s="2">
        <f>(($AQ636+$AS636+$AU636++$AT636+$AV636+$AW636+$AX636)/3)+(IF(($AP636+$AR636)&gt;=($AY636+$AZ636),(($AP636+$AR636)-($AY636+$AZ636)),0))</f>
        <v>2</v>
      </c>
      <c r="BB636" s="3" t="s">
        <v>66</v>
      </c>
      <c r="BC636" s="3" t="s">
        <v>66</v>
      </c>
      <c r="BD636" s="2">
        <v>731670.00000000105</v>
      </c>
      <c r="BE636" s="2">
        <v>3762300</v>
      </c>
      <c r="BF636" s="4"/>
      <c r="BG636" s="4"/>
      <c r="BH636" s="4"/>
      <c r="BI636" s="2">
        <v>0</v>
      </c>
      <c r="BJ636" s="2">
        <v>0</v>
      </c>
    </row>
    <row r="637" spans="1:62" hidden="1" x14ac:dyDescent="0.35">
      <c r="A637" s="2">
        <v>104286</v>
      </c>
      <c r="B637" s="2">
        <v>635</v>
      </c>
      <c r="C637" s="3" t="s">
        <v>57</v>
      </c>
      <c r="D637" s="3" t="s">
        <v>861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2250220163</v>
      </c>
      <c r="L637" s="7">
        <f t="shared" si="19"/>
        <v>2250220165</v>
      </c>
      <c r="M637" s="7">
        <f t="shared" si="20"/>
        <v>2250220166</v>
      </c>
      <c r="N637" s="3" t="s">
        <v>179</v>
      </c>
      <c r="O637" s="5" t="s">
        <v>856</v>
      </c>
      <c r="P637" s="3" t="s">
        <v>66</v>
      </c>
      <c r="Q637" s="3" t="s">
        <v>180</v>
      </c>
      <c r="R637" s="2">
        <v>0</v>
      </c>
      <c r="S637" s="3" t="s">
        <v>73</v>
      </c>
      <c r="T637" s="3" t="s">
        <v>638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546</v>
      </c>
      <c r="AC637" s="2">
        <v>0</v>
      </c>
      <c r="AD637" s="3" t="s">
        <v>68</v>
      </c>
      <c r="AE637" s="3" t="s">
        <v>71</v>
      </c>
      <c r="AF637" s="3" t="s">
        <v>66</v>
      </c>
      <c r="AG637" s="3" t="s">
        <v>66</v>
      </c>
      <c r="AH637" s="3" t="s">
        <v>66</v>
      </c>
      <c r="AI637" s="3" t="s">
        <v>66</v>
      </c>
      <c r="AJ637" s="3" t="s">
        <v>66</v>
      </c>
      <c r="AK637" s="3" t="s">
        <v>66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3" t="s">
        <v>66</v>
      </c>
      <c r="BC637" s="3" t="s">
        <v>66</v>
      </c>
      <c r="BD637" s="2">
        <v>731665</v>
      </c>
      <c r="BE637" s="2">
        <v>3762225</v>
      </c>
      <c r="BF637" s="4"/>
      <c r="BG637" s="4"/>
      <c r="BH637" s="4"/>
      <c r="BI637" s="2">
        <v>0</v>
      </c>
      <c r="BJ637" s="2">
        <v>0</v>
      </c>
    </row>
    <row r="638" spans="1:62" x14ac:dyDescent="0.35">
      <c r="A638" s="2">
        <v>104287</v>
      </c>
      <c r="B638" s="2">
        <v>636</v>
      </c>
      <c r="C638" s="3" t="s">
        <v>57</v>
      </c>
      <c r="D638" s="3" t="s">
        <v>861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2250220166</v>
      </c>
      <c r="L638" s="7">
        <f t="shared" si="19"/>
        <v>2250220166</v>
      </c>
      <c r="M638" s="7">
        <f t="shared" si="20"/>
        <v>2250220166</v>
      </c>
      <c r="N638" s="3" t="s">
        <v>179</v>
      </c>
      <c r="O638" s="5" t="s">
        <v>862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546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6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2</v>
      </c>
      <c r="AZ638" s="2">
        <f>(($AQ638+$AS638+$AU638++$AT638+$AV638+$AW638+$AX638)/3)+IF(($AP638+$AR638)&gt;=1,ROUNDDOWN(($AP638+$AR638)/3,0),0)</f>
        <v>2</v>
      </c>
      <c r="BA638" s="2">
        <f>(($AQ638+$AS638+$AU638++$AT638+$AV638+$AW638+$AX638)/3)+(IF(($AP638+$AR638)&gt;=($AY638+$AZ638),(($AP638+$AR638)-($AY638+$AZ638)),0))</f>
        <v>2</v>
      </c>
      <c r="BB638" s="3" t="s">
        <v>66</v>
      </c>
      <c r="BC638" s="3" t="s">
        <v>66</v>
      </c>
      <c r="BD638" s="2">
        <v>731668</v>
      </c>
      <c r="BE638" s="2">
        <v>3762192</v>
      </c>
      <c r="BF638" s="4"/>
      <c r="BG638" s="4"/>
      <c r="BH638" s="4"/>
      <c r="BI638" s="2">
        <v>0</v>
      </c>
      <c r="BJ638" s="2">
        <v>0</v>
      </c>
    </row>
    <row r="639" spans="1:62" ht="58" hidden="1" x14ac:dyDescent="0.35">
      <c r="A639" s="2">
        <v>104288</v>
      </c>
      <c r="B639" s="2">
        <v>637</v>
      </c>
      <c r="C639" s="3" t="s">
        <v>57</v>
      </c>
      <c r="D639" s="3" t="s">
        <v>863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17280920327</v>
      </c>
      <c r="L639" s="7">
        <f t="shared" si="19"/>
        <v>2250220166</v>
      </c>
      <c r="M639" s="7">
        <f t="shared" si="20"/>
        <v>2250220167</v>
      </c>
      <c r="N639" s="3" t="s">
        <v>179</v>
      </c>
      <c r="O639" s="5" t="s">
        <v>549</v>
      </c>
      <c r="P639" s="3" t="s">
        <v>66</v>
      </c>
      <c r="Q639" s="3" t="s">
        <v>180</v>
      </c>
      <c r="R639" s="2">
        <v>0</v>
      </c>
      <c r="S639" s="3" t="s">
        <v>66</v>
      </c>
      <c r="T639" s="3" t="s">
        <v>168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546</v>
      </c>
      <c r="AC639" s="2">
        <v>0</v>
      </c>
      <c r="AD639" s="3" t="s">
        <v>68</v>
      </c>
      <c r="AE639" s="3" t="s">
        <v>71</v>
      </c>
      <c r="AF639" s="3" t="s">
        <v>172</v>
      </c>
      <c r="AG639" s="3" t="s">
        <v>173</v>
      </c>
      <c r="AH639" s="3" t="s">
        <v>231</v>
      </c>
      <c r="AI639" s="3" t="s">
        <v>66</v>
      </c>
      <c r="AJ639" s="3" t="s">
        <v>66</v>
      </c>
      <c r="AK639" s="3" t="s">
        <v>175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3" t="s">
        <v>410</v>
      </c>
      <c r="BC639" s="3" t="s">
        <v>547</v>
      </c>
      <c r="BD639" s="2">
        <v>731625</v>
      </c>
      <c r="BE639" s="2">
        <v>3762219</v>
      </c>
      <c r="BF639" s="4"/>
      <c r="BG639" s="4"/>
      <c r="BH639" s="4"/>
      <c r="BI639" s="4"/>
      <c r="BJ639" s="2">
        <v>0</v>
      </c>
    </row>
    <row r="640" spans="1:62" x14ac:dyDescent="0.35">
      <c r="A640" s="2">
        <v>104289</v>
      </c>
      <c r="B640" s="2">
        <v>638</v>
      </c>
      <c r="C640" s="3" t="s">
        <v>57</v>
      </c>
      <c r="D640" s="3" t="s">
        <v>863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2250220167</v>
      </c>
      <c r="L640" s="7">
        <f t="shared" si="19"/>
        <v>2250220167</v>
      </c>
      <c r="M640" s="7">
        <f t="shared" si="20"/>
        <v>2250220167</v>
      </c>
      <c r="N640" s="3" t="s">
        <v>179</v>
      </c>
      <c r="O640" s="5" t="s">
        <v>864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638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546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11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4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4</v>
      </c>
      <c r="BB640" s="3" t="s">
        <v>66</v>
      </c>
      <c r="BC640" s="3" t="s">
        <v>66</v>
      </c>
      <c r="BD640" s="2">
        <v>731594</v>
      </c>
      <c r="BE640" s="2">
        <v>3762217</v>
      </c>
      <c r="BF640" s="4"/>
      <c r="BG640" s="4"/>
      <c r="BH640" s="4"/>
      <c r="BI640" s="2">
        <v>0</v>
      </c>
      <c r="BJ640" s="2">
        <v>0</v>
      </c>
    </row>
    <row r="641" spans="1:62" hidden="1" x14ac:dyDescent="0.35">
      <c r="A641" s="2">
        <v>104290</v>
      </c>
      <c r="B641" s="2">
        <v>639</v>
      </c>
      <c r="C641" s="3" t="s">
        <v>57</v>
      </c>
      <c r="D641" s="3" t="s">
        <v>865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2250220167</v>
      </c>
      <c r="L641" s="7">
        <f t="shared" si="19"/>
        <v>2250220167</v>
      </c>
      <c r="M641" s="7">
        <f t="shared" si="20"/>
        <v>2250220168</v>
      </c>
      <c r="N641" s="3" t="s">
        <v>179</v>
      </c>
      <c r="O641" s="5" t="s">
        <v>864</v>
      </c>
      <c r="P641" s="3" t="s">
        <v>66</v>
      </c>
      <c r="Q641" s="3" t="s">
        <v>180</v>
      </c>
      <c r="R641" s="2">
        <v>0</v>
      </c>
      <c r="S641" s="3" t="s">
        <v>73</v>
      </c>
      <c r="T641" s="3" t="s">
        <v>638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66</v>
      </c>
      <c r="AG641" s="3" t="s">
        <v>66</v>
      </c>
      <c r="AH641" s="3" t="s">
        <v>66</v>
      </c>
      <c r="AI641" s="3" t="s">
        <v>66</v>
      </c>
      <c r="AJ641" s="3" t="s">
        <v>66</v>
      </c>
      <c r="AK641" s="3" t="s">
        <v>66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3" t="s">
        <v>66</v>
      </c>
      <c r="BC641" s="3" t="s">
        <v>66</v>
      </c>
      <c r="BD641" s="2">
        <v>731594</v>
      </c>
      <c r="BE641" s="2">
        <v>3762217</v>
      </c>
      <c r="BF641" s="4"/>
      <c r="BG641" s="4"/>
      <c r="BH641" s="4"/>
      <c r="BI641" s="2">
        <v>0</v>
      </c>
      <c r="BJ641" s="2">
        <v>0</v>
      </c>
    </row>
    <row r="642" spans="1:62" x14ac:dyDescent="0.35">
      <c r="A642" s="2">
        <v>104291</v>
      </c>
      <c r="B642" s="2">
        <v>640</v>
      </c>
      <c r="C642" s="3" t="s">
        <v>57</v>
      </c>
      <c r="D642" s="3" t="s">
        <v>865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2250220168</v>
      </c>
      <c r="L642" s="7">
        <f t="shared" si="19"/>
        <v>2250220168</v>
      </c>
      <c r="M642" s="7">
        <f t="shared" si="20"/>
        <v>2250220168</v>
      </c>
      <c r="N642" s="3" t="s">
        <v>179</v>
      </c>
      <c r="O642" s="5" t="s">
        <v>866</v>
      </c>
      <c r="P642" s="3" t="s">
        <v>183</v>
      </c>
      <c r="Q642" s="3" t="s">
        <v>180</v>
      </c>
      <c r="R642" s="2">
        <v>0</v>
      </c>
      <c r="S642" s="3" t="s">
        <v>314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7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3</v>
      </c>
      <c r="AZ642" s="2">
        <f>(($AQ642+$AS642+$AU642++$AT642+$AV642+$AW642+$AX642)/3)+IF(($AP642+$AR642)&gt;=1,ROUNDDOWN(($AP642+$AR642)/3,0),0)</f>
        <v>2</v>
      </c>
      <c r="BA642" s="2">
        <f>(($AQ642+$AS642+$AU642++$AT642+$AV642+$AW642+$AX642)/3)+(IF(($AP642+$AR642)&gt;=($AY642+$AZ642),(($AP642+$AR642)-($AY642+$AZ642)),0))</f>
        <v>2</v>
      </c>
      <c r="BB642" s="3" t="s">
        <v>66</v>
      </c>
      <c r="BC642" s="3" t="s">
        <v>66</v>
      </c>
      <c r="BD642" s="2">
        <v>731559.00000000198</v>
      </c>
      <c r="BE642" s="2">
        <v>3762202</v>
      </c>
      <c r="BF642" s="4"/>
      <c r="BG642" s="4"/>
      <c r="BH642" s="4"/>
      <c r="BI642" s="2">
        <v>0</v>
      </c>
      <c r="BJ642" s="2">
        <v>0</v>
      </c>
    </row>
    <row r="643" spans="1:62" hidden="1" x14ac:dyDescent="0.35">
      <c r="A643" s="2">
        <v>104292</v>
      </c>
      <c r="B643" s="2">
        <v>641</v>
      </c>
      <c r="C643" s="3" t="s">
        <v>57</v>
      </c>
      <c r="D643" s="3" t="s">
        <v>867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2250220168</v>
      </c>
      <c r="L643" s="7">
        <f t="shared" si="19"/>
        <v>2250220168</v>
      </c>
      <c r="M643" s="7">
        <f t="shared" si="20"/>
        <v>2250220169</v>
      </c>
      <c r="N643" s="3" t="s">
        <v>179</v>
      </c>
      <c r="O643" s="5" t="s">
        <v>866</v>
      </c>
      <c r="P643" s="3" t="s">
        <v>66</v>
      </c>
      <c r="Q643" s="3" t="s">
        <v>180</v>
      </c>
      <c r="R643" s="2">
        <v>0</v>
      </c>
      <c r="S643" s="3" t="s">
        <v>314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3" t="s">
        <v>66</v>
      </c>
      <c r="BC643" s="3" t="s">
        <v>66</v>
      </c>
      <c r="BD643" s="2">
        <v>731559.00000000198</v>
      </c>
      <c r="BE643" s="2">
        <v>3762202</v>
      </c>
      <c r="BF643" s="4"/>
      <c r="BG643" s="4"/>
      <c r="BH643" s="4"/>
      <c r="BI643" s="2">
        <v>0</v>
      </c>
      <c r="BJ643" s="2">
        <v>0</v>
      </c>
    </row>
    <row r="644" spans="1:62" x14ac:dyDescent="0.35">
      <c r="A644" s="2">
        <v>104293</v>
      </c>
      <c r="B644" s="2">
        <v>642</v>
      </c>
      <c r="C644" s="3" t="s">
        <v>57</v>
      </c>
      <c r="D644" s="3" t="s">
        <v>867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2250220169</v>
      </c>
      <c r="L644" s="7">
        <f t="shared" ref="L644:L692" si="21">IF(J644="E",K644,L643)</f>
        <v>2250220169</v>
      </c>
      <c r="M644" s="7">
        <f t="shared" si="20"/>
        <v>2250220169</v>
      </c>
      <c r="N644" s="3" t="s">
        <v>179</v>
      </c>
      <c r="O644" s="5" t="s">
        <v>868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638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19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7</v>
      </c>
      <c r="AZ644" s="2">
        <f>(($AQ644+$AS644+$AU644++$AT644+$AV644+$AW644+$AX644)/3)+IF(($AP644+$AR644)&gt;=1,ROUNDDOWN(($AP644+$AR644)/3,0),0)</f>
        <v>6</v>
      </c>
      <c r="BA644" s="2">
        <f>(($AQ644+$AS644+$AU644++$AT644+$AV644+$AW644+$AX644)/3)+(IF(($AP644+$AR644)&gt;=($AY644+$AZ644),(($AP644+$AR644)-($AY644+$AZ644)),0))</f>
        <v>6</v>
      </c>
      <c r="BB644" s="3" t="s">
        <v>66</v>
      </c>
      <c r="BC644" s="3" t="s">
        <v>66</v>
      </c>
      <c r="BD644" s="2">
        <v>731521.00000000105</v>
      </c>
      <c r="BE644" s="2">
        <v>3762190</v>
      </c>
      <c r="BF644" s="4"/>
      <c r="BG644" s="4"/>
      <c r="BH644" s="4"/>
      <c r="BI644" s="2">
        <v>0</v>
      </c>
      <c r="BJ644" s="2">
        <v>0</v>
      </c>
    </row>
    <row r="645" spans="1:62" hidden="1" x14ac:dyDescent="0.35">
      <c r="A645" s="2">
        <v>104294</v>
      </c>
      <c r="B645" s="2">
        <v>643</v>
      </c>
      <c r="C645" s="3" t="s">
        <v>57</v>
      </c>
      <c r="D645" s="3" t="s">
        <v>869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2250220167</v>
      </c>
      <c r="L645" s="7">
        <f t="shared" si="21"/>
        <v>2250220169</v>
      </c>
      <c r="M645" s="7">
        <f t="shared" si="20"/>
        <v>2250220170</v>
      </c>
      <c r="N645" s="3" t="s">
        <v>179</v>
      </c>
      <c r="O645" s="5" t="s">
        <v>864</v>
      </c>
      <c r="P645" s="3" t="s">
        <v>66</v>
      </c>
      <c r="Q645" s="3" t="s">
        <v>180</v>
      </c>
      <c r="R645" s="2">
        <v>0</v>
      </c>
      <c r="S645" s="3" t="s">
        <v>73</v>
      </c>
      <c r="T645" s="3" t="s">
        <v>638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3" t="s">
        <v>66</v>
      </c>
      <c r="BC645" s="3" t="s">
        <v>66</v>
      </c>
      <c r="BD645" s="2">
        <v>731594</v>
      </c>
      <c r="BE645" s="2">
        <v>3762217</v>
      </c>
      <c r="BF645" s="4"/>
      <c r="BG645" s="4"/>
      <c r="BH645" s="4"/>
      <c r="BI645" s="2">
        <v>0</v>
      </c>
      <c r="BJ645" s="2">
        <v>0</v>
      </c>
    </row>
    <row r="646" spans="1:62" x14ac:dyDescent="0.35">
      <c r="A646" s="2">
        <v>104295</v>
      </c>
      <c r="B646" s="2">
        <v>644</v>
      </c>
      <c r="C646" s="3" t="s">
        <v>57</v>
      </c>
      <c r="D646" s="3" t="s">
        <v>869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2250220170</v>
      </c>
      <c r="L646" s="7">
        <f t="shared" si="21"/>
        <v>2250220170</v>
      </c>
      <c r="M646" s="7">
        <f t="shared" si="20"/>
        <v>2250220170</v>
      </c>
      <c r="N646" s="3" t="s">
        <v>179</v>
      </c>
      <c r="O646" s="5" t="s">
        <v>870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638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2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1</v>
      </c>
      <c r="AZ646" s="2">
        <f>(($AQ646+$AS646+$AU646++$AT646+$AV646+$AW646+$AX646)/3)+IF(($AP646+$AR646)&gt;=1,ROUNDDOWN(($AP646+$AR646)/3,0),0)</f>
        <v>0</v>
      </c>
      <c r="BA646" s="2">
        <f>(($AQ646+$AS646+$AU646++$AT646+$AV646+$AW646+$AX646)/3)+(IF(($AP646+$AR646)&gt;=($AY646+$AZ646),(($AP646+$AR646)-($AY646+$AZ646)),0))</f>
        <v>1</v>
      </c>
      <c r="BB646" s="3" t="s">
        <v>66</v>
      </c>
      <c r="BC646" s="3" t="s">
        <v>66</v>
      </c>
      <c r="BD646" s="2">
        <v>731589</v>
      </c>
      <c r="BE646" s="2">
        <v>3762196</v>
      </c>
      <c r="BF646" s="4"/>
      <c r="BG646" s="4"/>
      <c r="BH646" s="4"/>
      <c r="BI646" s="2">
        <v>0</v>
      </c>
      <c r="BJ646" s="2">
        <v>0</v>
      </c>
    </row>
    <row r="647" spans="1:62" hidden="1" x14ac:dyDescent="0.35">
      <c r="A647" s="2">
        <v>104296</v>
      </c>
      <c r="B647" s="2">
        <v>645</v>
      </c>
      <c r="C647" s="3" t="s">
        <v>57</v>
      </c>
      <c r="D647" s="3" t="s">
        <v>871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2250220167</v>
      </c>
      <c r="L647" s="7">
        <f t="shared" si="21"/>
        <v>2250220170</v>
      </c>
      <c r="M647" s="7">
        <f t="shared" si="20"/>
        <v>2250220171</v>
      </c>
      <c r="N647" s="3" t="s">
        <v>179</v>
      </c>
      <c r="O647" s="5" t="s">
        <v>864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3" t="s">
        <v>66</v>
      </c>
      <c r="BC647" s="3" t="s">
        <v>66</v>
      </c>
      <c r="BD647" s="2">
        <v>731594</v>
      </c>
      <c r="BE647" s="2">
        <v>3762217</v>
      </c>
      <c r="BF647" s="4"/>
      <c r="BG647" s="4"/>
      <c r="BH647" s="4"/>
      <c r="BI647" s="2">
        <v>0</v>
      </c>
      <c r="BJ647" s="2">
        <v>0</v>
      </c>
    </row>
    <row r="648" spans="1:62" x14ac:dyDescent="0.35">
      <c r="A648" s="2">
        <v>104297</v>
      </c>
      <c r="B648" s="2">
        <v>646</v>
      </c>
      <c r="C648" s="3" t="s">
        <v>57</v>
      </c>
      <c r="D648" s="3" t="s">
        <v>871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2250220171</v>
      </c>
      <c r="L648" s="7">
        <f t="shared" si="21"/>
        <v>2250220171</v>
      </c>
      <c r="M648" s="7">
        <f t="shared" si="20"/>
        <v>2250220171</v>
      </c>
      <c r="N648" s="3" t="s">
        <v>179</v>
      </c>
      <c r="O648" s="5" t="s">
        <v>872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4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1</v>
      </c>
      <c r="BA648" s="2">
        <f>(($AQ648+$AS648+$AU648++$AT648+$AV648+$AW648+$AX648)/3)+(IF(($AP648+$AR648)&gt;=($AY648+$AZ648),(($AP648+$AR648)-($AY648+$AZ648)),0))</f>
        <v>1</v>
      </c>
      <c r="BB648" s="3" t="s">
        <v>66</v>
      </c>
      <c r="BC648" s="3" t="s">
        <v>66</v>
      </c>
      <c r="BD648" s="2">
        <v>731567.00000000105</v>
      </c>
      <c r="BE648" s="2">
        <v>3762253</v>
      </c>
      <c r="BF648" s="4"/>
      <c r="BG648" s="4"/>
      <c r="BH648" s="4"/>
      <c r="BI648" s="2">
        <v>0</v>
      </c>
      <c r="BJ648" s="2">
        <v>0</v>
      </c>
    </row>
    <row r="649" spans="1:62" hidden="1" x14ac:dyDescent="0.35">
      <c r="A649" s="2">
        <v>104298</v>
      </c>
      <c r="B649" s="2">
        <v>647</v>
      </c>
      <c r="C649" s="3" t="s">
        <v>57</v>
      </c>
      <c r="D649" s="3" t="s">
        <v>873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2250220171</v>
      </c>
      <c r="L649" s="7">
        <f t="shared" si="21"/>
        <v>2250220171</v>
      </c>
      <c r="M649" s="7">
        <f t="shared" si="20"/>
        <v>2250220172</v>
      </c>
      <c r="N649" s="3" t="s">
        <v>179</v>
      </c>
      <c r="O649" s="5" t="s">
        <v>872</v>
      </c>
      <c r="P649" s="3" t="s">
        <v>66</v>
      </c>
      <c r="Q649" s="3" t="s">
        <v>180</v>
      </c>
      <c r="R649" s="2">
        <v>0</v>
      </c>
      <c r="S649" s="3" t="s">
        <v>73</v>
      </c>
      <c r="T649" s="3" t="s">
        <v>638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66</v>
      </c>
      <c r="AG649" s="3" t="s">
        <v>66</v>
      </c>
      <c r="AH649" s="3" t="s">
        <v>66</v>
      </c>
      <c r="AI649" s="3" t="s">
        <v>66</v>
      </c>
      <c r="AJ649" s="3" t="s">
        <v>66</v>
      </c>
      <c r="AK649" s="3" t="s">
        <v>66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3" t="s">
        <v>66</v>
      </c>
      <c r="BC649" s="3" t="s">
        <v>66</v>
      </c>
      <c r="BD649" s="2">
        <v>731567.00000000105</v>
      </c>
      <c r="BE649" s="2">
        <v>3762253</v>
      </c>
      <c r="BF649" s="4"/>
      <c r="BG649" s="4"/>
      <c r="BH649" s="4"/>
      <c r="BI649" s="2">
        <v>0</v>
      </c>
      <c r="BJ649" s="2">
        <v>0</v>
      </c>
    </row>
    <row r="650" spans="1:62" x14ac:dyDescent="0.35">
      <c r="A650" s="2">
        <v>104299</v>
      </c>
      <c r="B650" s="2">
        <v>648</v>
      </c>
      <c r="C650" s="3" t="s">
        <v>57</v>
      </c>
      <c r="D650" s="3" t="s">
        <v>873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2250220172</v>
      </c>
      <c r="L650" s="7">
        <f t="shared" si="21"/>
        <v>2250220172</v>
      </c>
      <c r="M650" s="7">
        <f t="shared" si="20"/>
        <v>2250220172</v>
      </c>
      <c r="N650" s="3" t="s">
        <v>179</v>
      </c>
      <c r="O650" s="5" t="s">
        <v>874</v>
      </c>
      <c r="P650" s="3" t="s">
        <v>183</v>
      </c>
      <c r="Q650" s="3" t="s">
        <v>180</v>
      </c>
      <c r="R650" s="2">
        <v>0</v>
      </c>
      <c r="S650" s="3" t="s">
        <v>314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9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3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3</v>
      </c>
      <c r="BB650" s="3" t="s">
        <v>66</v>
      </c>
      <c r="BC650" s="3" t="s">
        <v>66</v>
      </c>
      <c r="BD650" s="2">
        <v>731542.00000000105</v>
      </c>
      <c r="BE650" s="2">
        <v>3762254</v>
      </c>
      <c r="BF650" s="4"/>
      <c r="BG650" s="4"/>
      <c r="BH650" s="4"/>
      <c r="BI650" s="2">
        <v>0</v>
      </c>
      <c r="BJ650" s="2">
        <v>0</v>
      </c>
    </row>
    <row r="651" spans="1:62" hidden="1" x14ac:dyDescent="0.35">
      <c r="A651" s="2">
        <v>104300</v>
      </c>
      <c r="B651" s="2">
        <v>649</v>
      </c>
      <c r="C651" s="3" t="s">
        <v>57</v>
      </c>
      <c r="D651" s="3" t="s">
        <v>875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2250220171</v>
      </c>
      <c r="L651" s="7">
        <f t="shared" si="21"/>
        <v>2250220172</v>
      </c>
      <c r="M651" s="7">
        <f t="shared" si="20"/>
        <v>2250220173</v>
      </c>
      <c r="N651" s="3" t="s">
        <v>179</v>
      </c>
      <c r="O651" s="5" t="s">
        <v>872</v>
      </c>
      <c r="P651" s="3" t="s">
        <v>66</v>
      </c>
      <c r="Q651" s="3" t="s">
        <v>180</v>
      </c>
      <c r="R651" s="2">
        <v>0</v>
      </c>
      <c r="S651" s="3" t="s">
        <v>314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3" t="s">
        <v>66</v>
      </c>
      <c r="BC651" s="3" t="s">
        <v>66</v>
      </c>
      <c r="BD651" s="2">
        <v>731567.00000000105</v>
      </c>
      <c r="BE651" s="2">
        <v>3762253</v>
      </c>
      <c r="BF651" s="4"/>
      <c r="BG651" s="4"/>
      <c r="BH651" s="4"/>
      <c r="BI651" s="2">
        <v>0</v>
      </c>
      <c r="BJ651" s="2">
        <v>0</v>
      </c>
    </row>
    <row r="652" spans="1:62" x14ac:dyDescent="0.35">
      <c r="A652" s="2">
        <v>104301</v>
      </c>
      <c r="B652" s="2">
        <v>650</v>
      </c>
      <c r="C652" s="3" t="s">
        <v>57</v>
      </c>
      <c r="D652" s="3" t="s">
        <v>875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2250220173</v>
      </c>
      <c r="L652" s="7">
        <f t="shared" si="21"/>
        <v>2250220173</v>
      </c>
      <c r="M652" s="7">
        <f t="shared" si="20"/>
        <v>2250220173</v>
      </c>
      <c r="N652" s="3" t="s">
        <v>179</v>
      </c>
      <c r="O652" s="5" t="s">
        <v>876</v>
      </c>
      <c r="P652" s="3" t="s">
        <v>183</v>
      </c>
      <c r="Q652" s="3" t="s">
        <v>180</v>
      </c>
      <c r="R652" s="2">
        <v>0</v>
      </c>
      <c r="S652" s="3" t="s">
        <v>73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5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2</v>
      </c>
      <c r="AZ652" s="2">
        <f>(($AQ652+$AS652+$AU652++$AT652+$AV652+$AW652+$AX652)/3)+IF(($AP652+$AR652)&gt;=1,ROUNDDOWN(($AP652+$AR652)/3,0),0)</f>
        <v>1</v>
      </c>
      <c r="BA652" s="2">
        <f>(($AQ652+$AS652+$AU652++$AT652+$AV652+$AW652+$AX652)/3)+(IF(($AP652+$AR652)&gt;=($AY652+$AZ652),(($AP652+$AR652)-($AY652+$AZ652)),0))</f>
        <v>2</v>
      </c>
      <c r="BB652" s="3" t="s">
        <v>66</v>
      </c>
      <c r="BC652" s="3" t="s">
        <v>66</v>
      </c>
      <c r="BD652" s="2">
        <v>731565.00000000105</v>
      </c>
      <c r="BE652" s="2">
        <v>3762274</v>
      </c>
      <c r="BF652" s="4"/>
      <c r="BG652" s="4"/>
      <c r="BH652" s="4"/>
      <c r="BI652" s="2">
        <v>0</v>
      </c>
      <c r="BJ652" s="2">
        <v>0</v>
      </c>
    </row>
    <row r="653" spans="1:62" ht="58" hidden="1" x14ac:dyDescent="0.35">
      <c r="A653" s="2">
        <v>104302</v>
      </c>
      <c r="B653" s="2">
        <v>651</v>
      </c>
      <c r="C653" s="3" t="s">
        <v>57</v>
      </c>
      <c r="D653" s="3" t="s">
        <v>557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17280920331</v>
      </c>
      <c r="L653" s="7">
        <f t="shared" si="21"/>
        <v>2250220173</v>
      </c>
      <c r="M653" s="7">
        <f t="shared" si="20"/>
        <v>17280920331</v>
      </c>
      <c r="N653" s="3" t="s">
        <v>179</v>
      </c>
      <c r="O653" s="5" t="s">
        <v>558</v>
      </c>
      <c r="P653" s="3" t="s">
        <v>66</v>
      </c>
      <c r="Q653" s="3" t="s">
        <v>180</v>
      </c>
      <c r="R653" s="2">
        <v>0</v>
      </c>
      <c r="S653" s="3" t="s">
        <v>66</v>
      </c>
      <c r="T653" s="3" t="s">
        <v>168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555</v>
      </c>
      <c r="AC653" s="2">
        <v>0</v>
      </c>
      <c r="AD653" s="3" t="s">
        <v>68</v>
      </c>
      <c r="AE653" s="3" t="s">
        <v>71</v>
      </c>
      <c r="AF653" s="3" t="s">
        <v>172</v>
      </c>
      <c r="AG653" s="3" t="s">
        <v>173</v>
      </c>
      <c r="AH653" s="3" t="s">
        <v>217</v>
      </c>
      <c r="AI653" s="3" t="s">
        <v>66</v>
      </c>
      <c r="AJ653" s="3" t="s">
        <v>66</v>
      </c>
      <c r="AK653" s="3" t="s">
        <v>175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3" t="s">
        <v>410</v>
      </c>
      <c r="BC653" s="3" t="s">
        <v>556</v>
      </c>
      <c r="BD653" s="2">
        <v>731668</v>
      </c>
      <c r="BE653" s="2">
        <v>3762185</v>
      </c>
      <c r="BF653" s="4"/>
      <c r="BG653" s="4"/>
      <c r="BH653" s="4"/>
      <c r="BI653" s="4"/>
      <c r="BJ653" s="2">
        <v>0</v>
      </c>
    </row>
    <row r="654" spans="1:62" x14ac:dyDescent="0.35">
      <c r="A654" s="2">
        <v>104303</v>
      </c>
      <c r="B654" s="2">
        <v>652</v>
      </c>
      <c r="C654" s="3" t="s">
        <v>57</v>
      </c>
      <c r="D654" s="3" t="s">
        <v>557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17280920331</v>
      </c>
      <c r="L654" s="7">
        <f t="shared" si="21"/>
        <v>17280920331</v>
      </c>
      <c r="M654" s="7">
        <f t="shared" si="20"/>
        <v>17280920331</v>
      </c>
      <c r="N654" s="3" t="s">
        <v>179</v>
      </c>
      <c r="O654" s="5" t="s">
        <v>558</v>
      </c>
      <c r="P654" s="3" t="s">
        <v>183</v>
      </c>
      <c r="Q654" s="3" t="s">
        <v>180</v>
      </c>
      <c r="R654" s="2">
        <v>0</v>
      </c>
      <c r="S654" s="3" t="s">
        <v>66</v>
      </c>
      <c r="T654" s="3" t="s">
        <v>168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555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2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1</v>
      </c>
      <c r="AZ654" s="2">
        <f>(($AQ654+$AS654+$AU654++$AT654+$AV654+$AW654+$AX654)/3)+IF(($AP654+$AR654)&gt;=1,ROUNDDOWN(($AP654+$AR654)/3,0),0)</f>
        <v>0</v>
      </c>
      <c r="BA654" s="2">
        <f>(($AQ654+$AS654+$AU654++$AT654+$AV654+$AW654+$AX654)/3)+(IF(($AP654+$AR654)&gt;=($AY654+$AZ654),(($AP654+$AR654)-($AY654+$AZ654)),0))</f>
        <v>1</v>
      </c>
      <c r="BB654" s="3" t="s">
        <v>66</v>
      </c>
      <c r="BC654" s="3" t="s">
        <v>66</v>
      </c>
      <c r="BD654" s="2">
        <v>731668</v>
      </c>
      <c r="BE654" s="2">
        <v>3762185</v>
      </c>
      <c r="BF654" s="4"/>
      <c r="BG654" s="4"/>
      <c r="BH654" s="4"/>
      <c r="BI654" s="2">
        <v>0</v>
      </c>
      <c r="BJ654" s="2">
        <v>0</v>
      </c>
    </row>
    <row r="655" spans="1:62" hidden="1" x14ac:dyDescent="0.35">
      <c r="A655" s="2">
        <v>104304</v>
      </c>
      <c r="B655" s="2">
        <v>653</v>
      </c>
      <c r="C655" s="3" t="s">
        <v>57</v>
      </c>
      <c r="D655" s="3" t="s">
        <v>877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17280920331</v>
      </c>
      <c r="L655" s="7">
        <f t="shared" si="21"/>
        <v>17280920331</v>
      </c>
      <c r="M655" s="7">
        <f t="shared" si="20"/>
        <v>2250220174</v>
      </c>
      <c r="N655" s="3" t="s">
        <v>179</v>
      </c>
      <c r="O655" s="5" t="s">
        <v>558</v>
      </c>
      <c r="P655" s="3" t="s">
        <v>66</v>
      </c>
      <c r="Q655" s="3" t="s">
        <v>180</v>
      </c>
      <c r="R655" s="2">
        <v>0</v>
      </c>
      <c r="S655" s="3" t="s">
        <v>66</v>
      </c>
      <c r="T655" s="3" t="s">
        <v>168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555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3" t="s">
        <v>66</v>
      </c>
      <c r="BC655" s="3" t="s">
        <v>66</v>
      </c>
      <c r="BD655" s="2">
        <v>731668</v>
      </c>
      <c r="BE655" s="2">
        <v>3762185</v>
      </c>
      <c r="BF655" s="4"/>
      <c r="BG655" s="4"/>
      <c r="BH655" s="4"/>
      <c r="BI655" s="2">
        <v>0</v>
      </c>
      <c r="BJ655" s="2">
        <v>0</v>
      </c>
    </row>
    <row r="656" spans="1:62" x14ac:dyDescent="0.35">
      <c r="A656" s="2">
        <v>104305</v>
      </c>
      <c r="B656" s="2">
        <v>654</v>
      </c>
      <c r="C656" s="3" t="s">
        <v>57</v>
      </c>
      <c r="D656" s="3" t="s">
        <v>877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2250220174</v>
      </c>
      <c r="L656" s="7">
        <f t="shared" si="21"/>
        <v>2250220174</v>
      </c>
      <c r="M656" s="7">
        <f t="shared" si="20"/>
        <v>2250220174</v>
      </c>
      <c r="N656" s="3" t="s">
        <v>179</v>
      </c>
      <c r="O656" s="5" t="s">
        <v>878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254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555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8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3</v>
      </c>
      <c r="AZ656" s="2">
        <f>(($AQ656+$AS656+$AU656++$AT656+$AV656+$AW656+$AX656)/3)+IF(($AP656+$AR656)&gt;=1,ROUNDDOWN(($AP656+$AR656)/3,0),0)</f>
        <v>2</v>
      </c>
      <c r="BA656" s="2">
        <f>(($AQ656+$AS656+$AU656++$AT656+$AV656+$AW656+$AX656)/3)+(IF(($AP656+$AR656)&gt;=($AY656+$AZ656),(($AP656+$AR656)-($AY656+$AZ656)),0))</f>
        <v>3</v>
      </c>
      <c r="BB656" s="3" t="s">
        <v>66</v>
      </c>
      <c r="BC656" s="3" t="s">
        <v>66</v>
      </c>
      <c r="BD656" s="2">
        <v>731665</v>
      </c>
      <c r="BE656" s="2">
        <v>3762148</v>
      </c>
      <c r="BF656" s="4"/>
      <c r="BG656" s="4"/>
      <c r="BH656" s="4"/>
      <c r="BI656" s="2">
        <v>0</v>
      </c>
      <c r="BJ656" s="2">
        <v>0</v>
      </c>
    </row>
    <row r="657" spans="1:62" hidden="1" x14ac:dyDescent="0.35">
      <c r="A657" s="2">
        <v>104306</v>
      </c>
      <c r="B657" s="2">
        <v>655</v>
      </c>
      <c r="C657" s="3" t="s">
        <v>57</v>
      </c>
      <c r="D657" s="3" t="s">
        <v>879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2250220174</v>
      </c>
      <c r="L657" s="7">
        <f t="shared" si="21"/>
        <v>2250220174</v>
      </c>
      <c r="M657" s="7">
        <f t="shared" si="20"/>
        <v>2250220175</v>
      </c>
      <c r="N657" s="3" t="s">
        <v>179</v>
      </c>
      <c r="O657" s="5" t="s">
        <v>878</v>
      </c>
      <c r="P657" s="3" t="s">
        <v>66</v>
      </c>
      <c r="Q657" s="3" t="s">
        <v>180</v>
      </c>
      <c r="R657" s="2">
        <v>0</v>
      </c>
      <c r="S657" s="3" t="s">
        <v>314</v>
      </c>
      <c r="T657" s="3" t="s">
        <v>254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555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3" t="s">
        <v>66</v>
      </c>
      <c r="BC657" s="3" t="s">
        <v>66</v>
      </c>
      <c r="BD657" s="2">
        <v>731665</v>
      </c>
      <c r="BE657" s="2">
        <v>3762148</v>
      </c>
      <c r="BF657" s="4"/>
      <c r="BG657" s="4"/>
      <c r="BH657" s="4"/>
      <c r="BI657" s="2">
        <v>0</v>
      </c>
      <c r="BJ657" s="2">
        <v>0</v>
      </c>
    </row>
    <row r="658" spans="1:62" x14ac:dyDescent="0.35">
      <c r="A658" s="2">
        <v>104307</v>
      </c>
      <c r="B658" s="2">
        <v>656</v>
      </c>
      <c r="C658" s="3" t="s">
        <v>57</v>
      </c>
      <c r="D658" s="3" t="s">
        <v>879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2250220175</v>
      </c>
      <c r="L658" s="7">
        <f t="shared" si="21"/>
        <v>2250220175</v>
      </c>
      <c r="M658" s="7">
        <f t="shared" si="20"/>
        <v>2250220175</v>
      </c>
      <c r="N658" s="3" t="s">
        <v>179</v>
      </c>
      <c r="O658" s="5" t="s">
        <v>880</v>
      </c>
      <c r="P658" s="3" t="s">
        <v>183</v>
      </c>
      <c r="Q658" s="3" t="s">
        <v>180</v>
      </c>
      <c r="R658" s="2">
        <v>0</v>
      </c>
      <c r="S658" s="3" t="s">
        <v>314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555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5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2</v>
      </c>
      <c r="BB658" s="3" t="s">
        <v>66</v>
      </c>
      <c r="BC658" s="3" t="s">
        <v>66</v>
      </c>
      <c r="BD658" s="2">
        <v>731663</v>
      </c>
      <c r="BE658" s="2">
        <v>3762126</v>
      </c>
      <c r="BF658" s="4"/>
      <c r="BG658" s="4"/>
      <c r="BH658" s="4"/>
      <c r="BI658" s="2">
        <v>0</v>
      </c>
      <c r="BJ658" s="2">
        <v>0</v>
      </c>
    </row>
    <row r="659" spans="1:62" hidden="1" x14ac:dyDescent="0.35">
      <c r="A659" s="2">
        <v>104308</v>
      </c>
      <c r="B659" s="2">
        <v>657</v>
      </c>
      <c r="C659" s="3" t="s">
        <v>57</v>
      </c>
      <c r="D659" s="3" t="s">
        <v>881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2250220175</v>
      </c>
      <c r="L659" s="7">
        <f t="shared" si="21"/>
        <v>2250220175</v>
      </c>
      <c r="M659" s="7">
        <f t="shared" ref="M659:M692" si="22">IF(J659="E",K659,M660)</f>
        <v>2250220176</v>
      </c>
      <c r="N659" s="3" t="s">
        <v>179</v>
      </c>
      <c r="O659" s="5" t="s">
        <v>880</v>
      </c>
      <c r="P659" s="3" t="s">
        <v>66</v>
      </c>
      <c r="Q659" s="3" t="s">
        <v>180</v>
      </c>
      <c r="R659" s="2">
        <v>0</v>
      </c>
      <c r="S659" s="3" t="s">
        <v>314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555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3" t="s">
        <v>66</v>
      </c>
      <c r="BC659" s="3" t="s">
        <v>66</v>
      </c>
      <c r="BD659" s="2">
        <v>731663</v>
      </c>
      <c r="BE659" s="2">
        <v>3762126</v>
      </c>
      <c r="BF659" s="4"/>
      <c r="BG659" s="4"/>
      <c r="BH659" s="4"/>
      <c r="BI659" s="2">
        <v>0</v>
      </c>
      <c r="BJ659" s="2">
        <v>0</v>
      </c>
    </row>
    <row r="660" spans="1:62" x14ac:dyDescent="0.35">
      <c r="A660" s="2">
        <v>104309</v>
      </c>
      <c r="B660" s="2">
        <v>658</v>
      </c>
      <c r="C660" s="3" t="s">
        <v>57</v>
      </c>
      <c r="D660" s="3" t="s">
        <v>881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2250220176</v>
      </c>
      <c r="L660" s="7">
        <f t="shared" si="21"/>
        <v>2250220176</v>
      </c>
      <c r="M660" s="7">
        <f t="shared" si="22"/>
        <v>2250220176</v>
      </c>
      <c r="N660" s="3" t="s">
        <v>179</v>
      </c>
      <c r="O660" s="5" t="s">
        <v>882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555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5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2</v>
      </c>
      <c r="AZ660" s="2">
        <f>(($AQ660+$AS660+$AU660++$AT660+$AV660+$AW660+$AX660)/3)+IF(($AP660+$AR660)&gt;=1,ROUNDDOWN(($AP660+$AR660)/3,0),0)</f>
        <v>1</v>
      </c>
      <c r="BA660" s="2">
        <f>(($AQ660+$AS660+$AU660++$AT660+$AV660+$AW660+$AX660)/3)+(IF(($AP660+$AR660)&gt;=($AY660+$AZ660),(($AP660+$AR660)-($AY660+$AZ660)),0))</f>
        <v>2</v>
      </c>
      <c r="BB660" s="3" t="s">
        <v>66</v>
      </c>
      <c r="BC660" s="3" t="s">
        <v>66</v>
      </c>
      <c r="BD660" s="2">
        <v>731660.99999999895</v>
      </c>
      <c r="BE660" s="2">
        <v>3762089</v>
      </c>
      <c r="BF660" s="4"/>
      <c r="BG660" s="4"/>
      <c r="BH660" s="4"/>
      <c r="BI660" s="2">
        <v>0</v>
      </c>
      <c r="BJ660" s="2">
        <v>0</v>
      </c>
    </row>
    <row r="661" spans="1:62" ht="58" hidden="1" x14ac:dyDescent="0.35">
      <c r="A661" s="2">
        <v>104310</v>
      </c>
      <c r="B661" s="2">
        <v>659</v>
      </c>
      <c r="C661" s="3" t="s">
        <v>57</v>
      </c>
      <c r="D661" s="3" t="s">
        <v>565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17280920334</v>
      </c>
      <c r="L661" s="7">
        <f t="shared" si="21"/>
        <v>2250220176</v>
      </c>
      <c r="M661" s="7">
        <f t="shared" si="22"/>
        <v>17280920334</v>
      </c>
      <c r="N661" s="3" t="s">
        <v>179</v>
      </c>
      <c r="O661" s="5" t="s">
        <v>566</v>
      </c>
      <c r="P661" s="3" t="s">
        <v>66</v>
      </c>
      <c r="Q661" s="3" t="s">
        <v>180</v>
      </c>
      <c r="R661" s="2">
        <v>0</v>
      </c>
      <c r="S661" s="3" t="s">
        <v>66</v>
      </c>
      <c r="T661" s="3" t="s">
        <v>168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563</v>
      </c>
      <c r="AC661" s="2">
        <v>0</v>
      </c>
      <c r="AD661" s="3" t="s">
        <v>68</v>
      </c>
      <c r="AE661" s="3" t="s">
        <v>71</v>
      </c>
      <c r="AF661" s="3" t="s">
        <v>172</v>
      </c>
      <c r="AG661" s="3" t="s">
        <v>173</v>
      </c>
      <c r="AH661" s="3" t="s">
        <v>174</v>
      </c>
      <c r="AI661" s="3" t="s">
        <v>66</v>
      </c>
      <c r="AJ661" s="3" t="s">
        <v>66</v>
      </c>
      <c r="AK661" s="3" t="s">
        <v>205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3" t="s">
        <v>410</v>
      </c>
      <c r="BC661" s="3" t="s">
        <v>564</v>
      </c>
      <c r="BD661" s="2">
        <v>731706</v>
      </c>
      <c r="BE661" s="2">
        <v>3762189</v>
      </c>
      <c r="BF661" s="4"/>
      <c r="BG661" s="4"/>
      <c r="BH661" s="4"/>
      <c r="BI661" s="4"/>
      <c r="BJ661" s="2">
        <v>0</v>
      </c>
    </row>
    <row r="662" spans="1:62" x14ac:dyDescent="0.35">
      <c r="A662" s="2">
        <v>104311</v>
      </c>
      <c r="B662" s="2">
        <v>660</v>
      </c>
      <c r="C662" s="3" t="s">
        <v>57</v>
      </c>
      <c r="D662" s="3" t="s">
        <v>565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17280920334</v>
      </c>
      <c r="L662" s="7">
        <f t="shared" si="21"/>
        <v>17280920334</v>
      </c>
      <c r="M662" s="7">
        <f t="shared" si="22"/>
        <v>17280920334</v>
      </c>
      <c r="N662" s="3" t="s">
        <v>179</v>
      </c>
      <c r="O662" s="5" t="s">
        <v>566</v>
      </c>
      <c r="P662" s="3" t="s">
        <v>183</v>
      </c>
      <c r="Q662" s="3" t="s">
        <v>180</v>
      </c>
      <c r="R662" s="2">
        <v>0</v>
      </c>
      <c r="S662" s="3" t="s">
        <v>66</v>
      </c>
      <c r="T662" s="3" t="s">
        <v>168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563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8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3</v>
      </c>
      <c r="AZ662" s="2">
        <f>(($AQ662+$AS662+$AU662++$AT662+$AV662+$AW662+$AX662)/3)+IF(($AP662+$AR662)&gt;=1,ROUNDDOWN(($AP662+$AR662)/3,0),0)</f>
        <v>2</v>
      </c>
      <c r="BA662" s="2">
        <f>(($AQ662+$AS662+$AU662++$AT662+$AV662+$AW662+$AX662)/3)+(IF(($AP662+$AR662)&gt;=($AY662+$AZ662),(($AP662+$AR662)-($AY662+$AZ662)),0))</f>
        <v>3</v>
      </c>
      <c r="BB662" s="3" t="s">
        <v>66</v>
      </c>
      <c r="BC662" s="3" t="s">
        <v>66</v>
      </c>
      <c r="BD662" s="2">
        <v>731706</v>
      </c>
      <c r="BE662" s="2">
        <v>3762189</v>
      </c>
      <c r="BF662" s="4"/>
      <c r="BG662" s="4"/>
      <c r="BH662" s="4"/>
      <c r="BI662" s="2">
        <v>0</v>
      </c>
      <c r="BJ662" s="2">
        <v>0</v>
      </c>
    </row>
    <row r="663" spans="1:62" hidden="1" x14ac:dyDescent="0.35">
      <c r="A663" s="2">
        <v>104312</v>
      </c>
      <c r="B663" s="2">
        <v>661</v>
      </c>
      <c r="C663" s="3" t="s">
        <v>57</v>
      </c>
      <c r="D663" s="3" t="s">
        <v>883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17280920334</v>
      </c>
      <c r="L663" s="7">
        <f t="shared" si="21"/>
        <v>17280920334</v>
      </c>
      <c r="M663" s="7">
        <f t="shared" si="22"/>
        <v>2250220178</v>
      </c>
      <c r="N663" s="3" t="s">
        <v>179</v>
      </c>
      <c r="O663" s="5" t="s">
        <v>566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563</v>
      </c>
      <c r="AC663" s="2">
        <v>0</v>
      </c>
      <c r="AD663" s="3" t="s">
        <v>68</v>
      </c>
      <c r="AE663" s="3" t="s">
        <v>71</v>
      </c>
      <c r="AF663" s="3" t="s">
        <v>66</v>
      </c>
      <c r="AG663" s="3" t="s">
        <v>66</v>
      </c>
      <c r="AH663" s="3" t="s">
        <v>66</v>
      </c>
      <c r="AI663" s="3" t="s">
        <v>66</v>
      </c>
      <c r="AJ663" s="3" t="s">
        <v>66</v>
      </c>
      <c r="AK663" s="3" t="s">
        <v>66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3" t="s">
        <v>66</v>
      </c>
      <c r="BC663" s="3" t="s">
        <v>66</v>
      </c>
      <c r="BD663" s="2">
        <v>731706</v>
      </c>
      <c r="BE663" s="2">
        <v>3762189</v>
      </c>
      <c r="BF663" s="4"/>
      <c r="BG663" s="4"/>
      <c r="BH663" s="4"/>
      <c r="BI663" s="2">
        <v>0</v>
      </c>
      <c r="BJ663" s="2">
        <v>0</v>
      </c>
    </row>
    <row r="664" spans="1:62" x14ac:dyDescent="0.35">
      <c r="A664" s="2">
        <v>104313</v>
      </c>
      <c r="B664" s="2">
        <v>662</v>
      </c>
      <c r="C664" s="3" t="s">
        <v>57</v>
      </c>
      <c r="D664" s="3" t="s">
        <v>883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2250220178</v>
      </c>
      <c r="L664" s="7">
        <f t="shared" si="21"/>
        <v>2250220178</v>
      </c>
      <c r="M664" s="7">
        <f t="shared" si="22"/>
        <v>2250220178</v>
      </c>
      <c r="N664" s="3" t="s">
        <v>179</v>
      </c>
      <c r="O664" s="5" t="s">
        <v>884</v>
      </c>
      <c r="P664" s="3" t="s">
        <v>183</v>
      </c>
      <c r="Q664" s="3" t="s">
        <v>180</v>
      </c>
      <c r="R664" s="2">
        <v>0</v>
      </c>
      <c r="S664" s="3" t="s">
        <v>314</v>
      </c>
      <c r="T664" s="3" t="s">
        <v>254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563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8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3</v>
      </c>
      <c r="AZ664" s="2">
        <f>(($AQ664+$AS664+$AU664++$AT664+$AV664+$AW664+$AX664)/3)+IF(($AP664+$AR664)&gt;=1,ROUNDDOWN(($AP664+$AR664)/3,0),0)</f>
        <v>2</v>
      </c>
      <c r="BA664" s="2">
        <f>(($AQ664+$AS664+$AU664++$AT664+$AV664+$AW664+$AX664)/3)+(IF(($AP664+$AR664)&gt;=($AY664+$AZ664),(($AP664+$AR664)-($AY664+$AZ664)),0))</f>
        <v>3</v>
      </c>
      <c r="BB664" s="3" t="s">
        <v>66</v>
      </c>
      <c r="BC664" s="3" t="s">
        <v>66</v>
      </c>
      <c r="BD664" s="2">
        <v>731706</v>
      </c>
      <c r="BE664" s="2">
        <v>3762230</v>
      </c>
      <c r="BF664" s="4"/>
      <c r="BG664" s="4"/>
      <c r="BH664" s="4"/>
      <c r="BI664" s="2">
        <v>0</v>
      </c>
      <c r="BJ664" s="2">
        <v>0</v>
      </c>
    </row>
    <row r="665" spans="1:62" hidden="1" x14ac:dyDescent="0.35">
      <c r="A665" s="2">
        <v>104314</v>
      </c>
      <c r="B665" s="2">
        <v>663</v>
      </c>
      <c r="C665" s="3" t="s">
        <v>57</v>
      </c>
      <c r="D665" s="3" t="s">
        <v>885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2250220178</v>
      </c>
      <c r="L665" s="7">
        <f t="shared" si="21"/>
        <v>2250220178</v>
      </c>
      <c r="M665" s="7">
        <f t="shared" si="22"/>
        <v>2250220179</v>
      </c>
      <c r="N665" s="3" t="s">
        <v>179</v>
      </c>
      <c r="O665" s="5" t="s">
        <v>884</v>
      </c>
      <c r="P665" s="3" t="s">
        <v>66</v>
      </c>
      <c r="Q665" s="3" t="s">
        <v>180</v>
      </c>
      <c r="R665" s="2">
        <v>0</v>
      </c>
      <c r="S665" s="3" t="s">
        <v>314</v>
      </c>
      <c r="T665" s="3" t="s">
        <v>254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563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3" t="s">
        <v>66</v>
      </c>
      <c r="BC665" s="3" t="s">
        <v>66</v>
      </c>
      <c r="BD665" s="2">
        <v>731706</v>
      </c>
      <c r="BE665" s="2">
        <v>3762230</v>
      </c>
      <c r="BF665" s="4"/>
      <c r="BG665" s="4"/>
      <c r="BH665" s="4"/>
      <c r="BI665" s="2">
        <v>0</v>
      </c>
      <c r="BJ665" s="2">
        <v>0</v>
      </c>
    </row>
    <row r="666" spans="1:62" x14ac:dyDescent="0.35">
      <c r="A666" s="2">
        <v>104315</v>
      </c>
      <c r="B666" s="2">
        <v>664</v>
      </c>
      <c r="C666" s="3" t="s">
        <v>57</v>
      </c>
      <c r="D666" s="3" t="s">
        <v>885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2250220179</v>
      </c>
      <c r="L666" s="7">
        <f t="shared" si="21"/>
        <v>2250220179</v>
      </c>
      <c r="M666" s="7">
        <f t="shared" si="22"/>
        <v>2250220179</v>
      </c>
      <c r="N666" s="3" t="s">
        <v>179</v>
      </c>
      <c r="O666" s="5" t="s">
        <v>886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563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10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4</v>
      </c>
      <c r="AZ666" s="2">
        <f>(($AQ666+$AS666+$AU666++$AT666+$AV666+$AW666+$AX666)/3)+IF(($AP666+$AR666)&gt;=1,ROUNDDOWN(($AP666+$AR666)/3,0),0)</f>
        <v>3</v>
      </c>
      <c r="BA666" s="2">
        <f>(($AQ666+$AS666+$AU666++$AT666+$AV666+$AW666+$AX666)/3)+(IF(($AP666+$AR666)&gt;=($AY666+$AZ666),(($AP666+$AR666)-($AY666+$AZ666)),0))</f>
        <v>3</v>
      </c>
      <c r="BB666" s="3" t="s">
        <v>66</v>
      </c>
      <c r="BC666" s="3" t="s">
        <v>66</v>
      </c>
      <c r="BD666" s="2">
        <v>731709</v>
      </c>
      <c r="BE666" s="2">
        <v>3762292</v>
      </c>
      <c r="BF666" s="4"/>
      <c r="BG666" s="4"/>
      <c r="BH666" s="4"/>
      <c r="BI666" s="2">
        <v>0</v>
      </c>
      <c r="BJ666" s="2">
        <v>0</v>
      </c>
    </row>
    <row r="667" spans="1:62" ht="58" hidden="1" x14ac:dyDescent="0.35">
      <c r="A667" s="2">
        <v>104316</v>
      </c>
      <c r="B667" s="2">
        <v>665</v>
      </c>
      <c r="C667" s="3" t="s">
        <v>57</v>
      </c>
      <c r="D667" s="3" t="s">
        <v>887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17280920337</v>
      </c>
      <c r="L667" s="7">
        <f t="shared" si="21"/>
        <v>2250220179</v>
      </c>
      <c r="M667" s="7">
        <f t="shared" si="22"/>
        <v>2250220181</v>
      </c>
      <c r="N667" s="3" t="s">
        <v>179</v>
      </c>
      <c r="O667" s="5" t="s">
        <v>574</v>
      </c>
      <c r="P667" s="3" t="s">
        <v>66</v>
      </c>
      <c r="Q667" s="3" t="s">
        <v>180</v>
      </c>
      <c r="R667" s="2">
        <v>0</v>
      </c>
      <c r="S667" s="3" t="s">
        <v>66</v>
      </c>
      <c r="T667" s="3" t="s">
        <v>168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571</v>
      </c>
      <c r="AC667" s="2">
        <v>0</v>
      </c>
      <c r="AD667" s="3" t="s">
        <v>68</v>
      </c>
      <c r="AE667" s="3" t="s">
        <v>71</v>
      </c>
      <c r="AF667" s="3" t="s">
        <v>172</v>
      </c>
      <c r="AG667" s="3" t="s">
        <v>173</v>
      </c>
      <c r="AH667" s="3" t="s">
        <v>231</v>
      </c>
      <c r="AI667" s="3" t="s">
        <v>66</v>
      </c>
      <c r="AJ667" s="3" t="s">
        <v>66</v>
      </c>
      <c r="AK667" s="3" t="s">
        <v>205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3" t="s">
        <v>410</v>
      </c>
      <c r="BC667" s="3" t="s">
        <v>572</v>
      </c>
      <c r="BD667" s="2">
        <v>731708.00000000105</v>
      </c>
      <c r="BE667" s="2">
        <v>3762152</v>
      </c>
      <c r="BF667" s="4"/>
      <c r="BG667" s="4"/>
      <c r="BH667" s="4"/>
      <c r="BI667" s="4"/>
      <c r="BJ667" s="2">
        <v>0</v>
      </c>
    </row>
    <row r="668" spans="1:62" x14ac:dyDescent="0.35">
      <c r="A668" s="2">
        <v>104317</v>
      </c>
      <c r="B668" s="2">
        <v>666</v>
      </c>
      <c r="C668" s="3" t="s">
        <v>57</v>
      </c>
      <c r="D668" s="3" t="s">
        <v>887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2250220181</v>
      </c>
      <c r="L668" s="7">
        <f t="shared" si="21"/>
        <v>2250220181</v>
      </c>
      <c r="M668" s="7">
        <f t="shared" si="22"/>
        <v>2250220181</v>
      </c>
      <c r="N668" s="3" t="s">
        <v>179</v>
      </c>
      <c r="O668" s="5" t="s">
        <v>888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254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571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14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5</v>
      </c>
      <c r="AZ668" s="2">
        <f>(($AQ668+$AS668+$AU668++$AT668+$AV668+$AW668+$AX668)/3)+IF(($AP668+$AR668)&gt;=1,ROUNDDOWN(($AP668+$AR668)/3,0),0)</f>
        <v>4</v>
      </c>
      <c r="BA668" s="2">
        <f>(($AQ668+$AS668+$AU668++$AT668+$AV668+$AW668+$AX668)/3)+(IF(($AP668+$AR668)&gt;=($AY668+$AZ668),(($AP668+$AR668)-($AY668+$AZ668)),0))</f>
        <v>5</v>
      </c>
      <c r="BB668" s="3" t="s">
        <v>66</v>
      </c>
      <c r="BC668" s="3" t="s">
        <v>66</v>
      </c>
      <c r="BD668" s="2">
        <v>731756.00000000105</v>
      </c>
      <c r="BE668" s="2">
        <v>3762155</v>
      </c>
      <c r="BF668" s="4"/>
      <c r="BG668" s="4"/>
      <c r="BH668" s="4"/>
      <c r="BI668" s="2">
        <v>0</v>
      </c>
      <c r="BJ668" s="2">
        <v>0</v>
      </c>
    </row>
    <row r="669" spans="1:62" hidden="1" x14ac:dyDescent="0.35">
      <c r="A669" s="2">
        <v>104318</v>
      </c>
      <c r="B669" s="2">
        <v>667</v>
      </c>
      <c r="C669" s="3" t="s">
        <v>57</v>
      </c>
      <c r="D669" s="3" t="s">
        <v>889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2250220181</v>
      </c>
      <c r="L669" s="7">
        <f t="shared" si="21"/>
        <v>2250220181</v>
      </c>
      <c r="M669" s="7">
        <f t="shared" si="22"/>
        <v>2250220182</v>
      </c>
      <c r="N669" s="3" t="s">
        <v>179</v>
      </c>
      <c r="O669" s="5" t="s">
        <v>888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254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571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3" t="s">
        <v>66</v>
      </c>
      <c r="BC669" s="3" t="s">
        <v>66</v>
      </c>
      <c r="BD669" s="2">
        <v>731756.00000000105</v>
      </c>
      <c r="BE669" s="2">
        <v>3762155</v>
      </c>
      <c r="BF669" s="4"/>
      <c r="BG669" s="4"/>
      <c r="BH669" s="4"/>
      <c r="BI669" s="2">
        <v>0</v>
      </c>
      <c r="BJ669" s="2">
        <v>0</v>
      </c>
    </row>
    <row r="670" spans="1:62" x14ac:dyDescent="0.35">
      <c r="A670" s="2">
        <v>104319</v>
      </c>
      <c r="B670" s="2">
        <v>668</v>
      </c>
      <c r="C670" s="3" t="s">
        <v>57</v>
      </c>
      <c r="D670" s="3" t="s">
        <v>889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2250220182</v>
      </c>
      <c r="L670" s="7">
        <f t="shared" si="21"/>
        <v>2250220182</v>
      </c>
      <c r="M670" s="7">
        <f t="shared" si="22"/>
        <v>2250220182</v>
      </c>
      <c r="N670" s="3" t="s">
        <v>179</v>
      </c>
      <c r="O670" s="5" t="s">
        <v>890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571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22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8</v>
      </c>
      <c r="AZ670" s="2">
        <f>(($AQ670+$AS670+$AU670++$AT670+$AV670+$AW670+$AX670)/3)+IF(($AP670+$AR670)&gt;=1,ROUNDDOWN(($AP670+$AR670)/3,0),0)</f>
        <v>7</v>
      </c>
      <c r="BA670" s="2">
        <f>(($AQ670+$AS670+$AU670++$AT670+$AV670+$AW670+$AX670)/3)+(IF(($AP670+$AR670)&gt;=($AY670+$AZ670),(($AP670+$AR670)-($AY670+$AZ670)),0))</f>
        <v>7</v>
      </c>
      <c r="BB670" s="3" t="s">
        <v>66</v>
      </c>
      <c r="BC670" s="3" t="s">
        <v>66</v>
      </c>
      <c r="BD670" s="2">
        <v>731760</v>
      </c>
      <c r="BE670" s="2">
        <v>3762125</v>
      </c>
      <c r="BF670" s="4"/>
      <c r="BG670" s="4"/>
      <c r="BH670" s="4"/>
      <c r="BI670" s="2">
        <v>0</v>
      </c>
      <c r="BJ670" s="2">
        <v>0</v>
      </c>
    </row>
    <row r="671" spans="1:62" ht="58" hidden="1" x14ac:dyDescent="0.35">
      <c r="A671" s="2">
        <v>104320</v>
      </c>
      <c r="B671" s="2">
        <v>669</v>
      </c>
      <c r="C671" s="3" t="s">
        <v>57</v>
      </c>
      <c r="D671" s="3" t="s">
        <v>891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17280920341</v>
      </c>
      <c r="L671" s="7">
        <f t="shared" si="21"/>
        <v>2250220182</v>
      </c>
      <c r="M671" s="7">
        <f t="shared" si="22"/>
        <v>2250220184</v>
      </c>
      <c r="N671" s="3" t="s">
        <v>179</v>
      </c>
      <c r="O671" s="5" t="s">
        <v>584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580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581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3" t="s">
        <v>410</v>
      </c>
      <c r="BC671" s="3" t="s">
        <v>582</v>
      </c>
      <c r="BD671" s="2">
        <v>731667.00000000105</v>
      </c>
      <c r="BE671" s="2">
        <v>3762626</v>
      </c>
      <c r="BF671" s="4"/>
      <c r="BG671" s="4"/>
      <c r="BH671" s="4"/>
      <c r="BI671" s="4"/>
      <c r="BJ671" s="2">
        <v>0</v>
      </c>
    </row>
    <row r="672" spans="1:62" x14ac:dyDescent="0.35">
      <c r="A672" s="2">
        <v>104321</v>
      </c>
      <c r="B672" s="2">
        <v>670</v>
      </c>
      <c r="C672" s="3" t="s">
        <v>57</v>
      </c>
      <c r="D672" s="3" t="s">
        <v>891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2250220184</v>
      </c>
      <c r="L672" s="7">
        <f t="shared" si="21"/>
        <v>2250220184</v>
      </c>
      <c r="M672" s="7">
        <f t="shared" si="22"/>
        <v>2250220184</v>
      </c>
      <c r="N672" s="3" t="s">
        <v>179</v>
      </c>
      <c r="O672" s="5" t="s">
        <v>892</v>
      </c>
      <c r="P672" s="3" t="s">
        <v>183</v>
      </c>
      <c r="Q672" s="3" t="s">
        <v>180</v>
      </c>
      <c r="R672" s="2">
        <v>0</v>
      </c>
      <c r="S672" s="3" t="s">
        <v>73</v>
      </c>
      <c r="T672" s="3" t="s">
        <v>893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580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3</v>
      </c>
      <c r="AQ672" s="2">
        <v>1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1.3333333333333333</v>
      </c>
      <c r="AZ672" s="2">
        <f>(($AQ672+$AS672+$AU672++$AT672+$AV672+$AW672+$AX672)/3)+IF(($AP672+$AR672)&gt;=1,ROUNDDOWN(($AP672+$AR672)/3,0),0)</f>
        <v>1.3333333333333333</v>
      </c>
      <c r="BA672" s="2">
        <f>(($AQ672+$AS672+$AU672++$AT672+$AV672+$AW672+$AX672)/3)+(IF(($AP672+$AR672)&gt;=($AY672+$AZ672),(($AP672+$AR672)-($AY672+$AZ672)),0))</f>
        <v>0.66666666666666674</v>
      </c>
      <c r="BB672" s="3" t="s">
        <v>66</v>
      </c>
      <c r="BC672" s="3" t="s">
        <v>66</v>
      </c>
      <c r="BD672" s="2">
        <v>731642</v>
      </c>
      <c r="BE672" s="2">
        <v>3762629</v>
      </c>
      <c r="BF672" s="4"/>
      <c r="BG672" s="4"/>
      <c r="BH672" s="4"/>
      <c r="BI672" s="2">
        <v>0</v>
      </c>
      <c r="BJ672" s="2">
        <v>0</v>
      </c>
    </row>
    <row r="673" spans="1:62" hidden="1" x14ac:dyDescent="0.35">
      <c r="A673" s="2">
        <v>104322</v>
      </c>
      <c r="B673" s="2">
        <v>671</v>
      </c>
      <c r="C673" s="3" t="s">
        <v>57</v>
      </c>
      <c r="D673" s="3" t="s">
        <v>894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2250220184</v>
      </c>
      <c r="L673" s="7">
        <f t="shared" si="21"/>
        <v>2250220184</v>
      </c>
      <c r="M673" s="7">
        <f t="shared" si="22"/>
        <v>2250220185</v>
      </c>
      <c r="N673" s="3" t="s">
        <v>179</v>
      </c>
      <c r="O673" s="5" t="s">
        <v>892</v>
      </c>
      <c r="P673" s="3" t="s">
        <v>66</v>
      </c>
      <c r="Q673" s="3" t="s">
        <v>180</v>
      </c>
      <c r="R673" s="2">
        <v>0</v>
      </c>
      <c r="S673" s="3" t="s">
        <v>73</v>
      </c>
      <c r="T673" s="3" t="s">
        <v>893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580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3" t="s">
        <v>66</v>
      </c>
      <c r="BC673" s="3" t="s">
        <v>66</v>
      </c>
      <c r="BD673" s="2">
        <v>731642</v>
      </c>
      <c r="BE673" s="2">
        <v>3762629</v>
      </c>
      <c r="BF673" s="4"/>
      <c r="BG673" s="4"/>
      <c r="BH673" s="4"/>
      <c r="BI673" s="2">
        <v>0</v>
      </c>
      <c r="BJ673" s="2">
        <v>0</v>
      </c>
    </row>
    <row r="674" spans="1:62" x14ac:dyDescent="0.35">
      <c r="A674" s="2">
        <v>104323</v>
      </c>
      <c r="B674" s="2">
        <v>672</v>
      </c>
      <c r="C674" s="3" t="s">
        <v>57</v>
      </c>
      <c r="D674" s="3" t="s">
        <v>894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2250220185</v>
      </c>
      <c r="L674" s="7">
        <f t="shared" si="21"/>
        <v>2250220185</v>
      </c>
      <c r="M674" s="7">
        <f t="shared" si="22"/>
        <v>2250220185</v>
      </c>
      <c r="N674" s="3" t="s">
        <v>179</v>
      </c>
      <c r="O674" s="5" t="s">
        <v>895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829</v>
      </c>
      <c r="U674" s="3" t="s">
        <v>614</v>
      </c>
      <c r="V674" s="3" t="s">
        <v>614</v>
      </c>
      <c r="W674" s="3" t="s">
        <v>614</v>
      </c>
      <c r="X674" s="3" t="s">
        <v>614</v>
      </c>
      <c r="Y674" s="3" t="s">
        <v>66</v>
      </c>
      <c r="Z674" s="3" t="s">
        <v>66</v>
      </c>
      <c r="AA674" s="3" t="s">
        <v>181</v>
      </c>
      <c r="AB674" s="3" t="s">
        <v>580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6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2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2</v>
      </c>
      <c r="BB674" s="3" t="s">
        <v>66</v>
      </c>
      <c r="BC674" s="3" t="s">
        <v>66</v>
      </c>
      <c r="BD674" s="2">
        <v>731668</v>
      </c>
      <c r="BE674" s="2">
        <v>3762569</v>
      </c>
      <c r="BF674" s="4"/>
      <c r="BG674" s="4"/>
      <c r="BH674" s="4"/>
      <c r="BI674" s="2">
        <v>0</v>
      </c>
      <c r="BJ674" s="2">
        <v>0</v>
      </c>
    </row>
    <row r="675" spans="1:62" hidden="1" x14ac:dyDescent="0.35">
      <c r="A675" s="2">
        <v>104324</v>
      </c>
      <c r="B675" s="2">
        <v>673</v>
      </c>
      <c r="C675" s="3" t="s">
        <v>57</v>
      </c>
      <c r="D675" s="3" t="s">
        <v>896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2250220185</v>
      </c>
      <c r="L675" s="7">
        <f t="shared" si="21"/>
        <v>2250220185</v>
      </c>
      <c r="M675" s="7">
        <f t="shared" si="22"/>
        <v>2250220186</v>
      </c>
      <c r="N675" s="3" t="s">
        <v>179</v>
      </c>
      <c r="O675" s="5" t="s">
        <v>895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829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580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3" t="s">
        <v>66</v>
      </c>
      <c r="BC675" s="3" t="s">
        <v>66</v>
      </c>
      <c r="BD675" s="2">
        <v>731668</v>
      </c>
      <c r="BE675" s="2">
        <v>3762569</v>
      </c>
      <c r="BF675" s="4"/>
      <c r="BG675" s="4"/>
      <c r="BH675" s="4"/>
      <c r="BI675" s="2">
        <v>0</v>
      </c>
      <c r="BJ675" s="2">
        <v>0</v>
      </c>
    </row>
    <row r="676" spans="1:62" x14ac:dyDescent="0.35">
      <c r="A676" s="2">
        <v>104325</v>
      </c>
      <c r="B676" s="2">
        <v>674</v>
      </c>
      <c r="C676" s="3" t="s">
        <v>57</v>
      </c>
      <c r="D676" s="3" t="s">
        <v>896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2250220186</v>
      </c>
      <c r="L676" s="7">
        <f t="shared" si="21"/>
        <v>2250220186</v>
      </c>
      <c r="M676" s="7">
        <f t="shared" si="22"/>
        <v>2250220186</v>
      </c>
      <c r="N676" s="3" t="s">
        <v>179</v>
      </c>
      <c r="O676" s="5" t="s">
        <v>897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614</v>
      </c>
      <c r="V676" s="3" t="s">
        <v>614</v>
      </c>
      <c r="W676" s="3" t="s">
        <v>614</v>
      </c>
      <c r="X676" s="3" t="s">
        <v>614</v>
      </c>
      <c r="Y676" s="3" t="s">
        <v>66</v>
      </c>
      <c r="Z676" s="3" t="s">
        <v>66</v>
      </c>
      <c r="AA676" s="3" t="s">
        <v>181</v>
      </c>
      <c r="AB676" s="3" t="s">
        <v>580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17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6</v>
      </c>
      <c r="AZ676" s="2">
        <f>(($AQ676+$AS676+$AU676++$AT676+$AV676+$AW676+$AX676)/3)+IF(($AP676+$AR676)&gt;=1,ROUNDDOWN(($AP676+$AR676)/3,0),0)</f>
        <v>5</v>
      </c>
      <c r="BA676" s="2">
        <f>(($AQ676+$AS676+$AU676++$AT676+$AV676+$AW676+$AX676)/3)+(IF(($AP676+$AR676)&gt;=($AY676+$AZ676),(($AP676+$AR676)-($AY676+$AZ676)),0))</f>
        <v>6</v>
      </c>
      <c r="BB676" s="3" t="s">
        <v>66</v>
      </c>
      <c r="BC676" s="3" t="s">
        <v>66</v>
      </c>
      <c r="BD676" s="2">
        <v>731676</v>
      </c>
      <c r="BE676" s="2">
        <v>3762530</v>
      </c>
      <c r="BF676" s="4"/>
      <c r="BG676" s="4"/>
      <c r="BH676" s="4"/>
      <c r="BI676" s="2">
        <v>0</v>
      </c>
      <c r="BJ676" s="2">
        <v>0</v>
      </c>
    </row>
    <row r="677" spans="1:62" ht="58" hidden="1" x14ac:dyDescent="0.35">
      <c r="A677" s="2">
        <v>104326</v>
      </c>
      <c r="B677" s="2">
        <v>675</v>
      </c>
      <c r="C677" s="3" t="s">
        <v>57</v>
      </c>
      <c r="D677" s="3" t="s">
        <v>898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17280920348</v>
      </c>
      <c r="L677" s="7">
        <f t="shared" si="21"/>
        <v>2250220186</v>
      </c>
      <c r="M677" s="7">
        <f t="shared" si="22"/>
        <v>2250220188</v>
      </c>
      <c r="N677" s="3" t="s">
        <v>179</v>
      </c>
      <c r="O677" s="5" t="s">
        <v>603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599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217</v>
      </c>
      <c r="AI677" s="3" t="s">
        <v>66</v>
      </c>
      <c r="AJ677" s="3" t="s">
        <v>66</v>
      </c>
      <c r="AK677" s="3" t="s">
        <v>175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3" t="s">
        <v>600</v>
      </c>
      <c r="BC677" s="3" t="s">
        <v>601</v>
      </c>
      <c r="BD677" s="2">
        <v>731751.00000000105</v>
      </c>
      <c r="BE677" s="2">
        <v>3762617</v>
      </c>
      <c r="BF677" s="4"/>
      <c r="BG677" s="4"/>
      <c r="BH677" s="4"/>
      <c r="BI677" s="4"/>
      <c r="BJ677" s="2">
        <v>0</v>
      </c>
    </row>
    <row r="678" spans="1:62" hidden="1" x14ac:dyDescent="0.35">
      <c r="A678" s="2">
        <v>104327</v>
      </c>
      <c r="B678" s="2">
        <v>676</v>
      </c>
      <c r="C678" s="3" t="s">
        <v>57</v>
      </c>
      <c r="D678" s="3" t="s">
        <v>898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2250220188</v>
      </c>
      <c r="L678" s="7">
        <f t="shared" si="21"/>
        <v>2250220188</v>
      </c>
      <c r="M678" s="7">
        <f t="shared" si="22"/>
        <v>2250220188</v>
      </c>
      <c r="N678" s="3" t="s">
        <v>179</v>
      </c>
      <c r="O678" s="5" t="s">
        <v>899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638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599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/>
      <c r="AZ678" s="2"/>
      <c r="BA678" s="2"/>
      <c r="BB678" s="3" t="s">
        <v>66</v>
      </c>
      <c r="BC678" s="3" t="s">
        <v>66</v>
      </c>
      <c r="BD678" s="2">
        <v>731749.00000000105</v>
      </c>
      <c r="BE678" s="2">
        <v>3762579</v>
      </c>
      <c r="BF678" s="4"/>
      <c r="BG678" s="4"/>
      <c r="BH678" s="4"/>
      <c r="BI678" s="2">
        <v>0</v>
      </c>
      <c r="BJ678" s="2">
        <v>0</v>
      </c>
    </row>
    <row r="679" spans="1:62" hidden="1" x14ac:dyDescent="0.35">
      <c r="A679" s="2">
        <v>104328</v>
      </c>
      <c r="B679" s="2">
        <v>677</v>
      </c>
      <c r="C679" s="3" t="s">
        <v>57</v>
      </c>
      <c r="D679" s="3" t="s">
        <v>900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2250220188</v>
      </c>
      <c r="L679" s="7">
        <f t="shared" si="21"/>
        <v>2250220188</v>
      </c>
      <c r="M679" s="7">
        <f t="shared" si="22"/>
        <v>2250220189</v>
      </c>
      <c r="N679" s="3" t="s">
        <v>179</v>
      </c>
      <c r="O679" s="5" t="s">
        <v>899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638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599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3" t="s">
        <v>66</v>
      </c>
      <c r="BC679" s="3" t="s">
        <v>66</v>
      </c>
      <c r="BD679" s="2">
        <v>731749.00000000105</v>
      </c>
      <c r="BE679" s="2">
        <v>3762579</v>
      </c>
      <c r="BF679" s="4"/>
      <c r="BG679" s="4"/>
      <c r="BH679" s="4"/>
      <c r="BI679" s="2">
        <v>0</v>
      </c>
      <c r="BJ679" s="2">
        <v>0</v>
      </c>
    </row>
    <row r="680" spans="1:62" x14ac:dyDescent="0.35">
      <c r="A680" s="2">
        <v>104329</v>
      </c>
      <c r="B680" s="2">
        <v>678</v>
      </c>
      <c r="C680" s="3" t="s">
        <v>57</v>
      </c>
      <c r="D680" s="3" t="s">
        <v>900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2250220189</v>
      </c>
      <c r="L680" s="7">
        <f t="shared" si="21"/>
        <v>2250220189</v>
      </c>
      <c r="M680" s="7">
        <f t="shared" si="22"/>
        <v>2250220189</v>
      </c>
      <c r="N680" s="3" t="s">
        <v>179</v>
      </c>
      <c r="O680" s="5" t="s">
        <v>901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254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599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8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3</v>
      </c>
      <c r="AZ680" s="2">
        <f>(($AQ680+$AS680+$AU680++$AT680+$AV680+$AW680+$AX680)/3)+IF(($AP680+$AR680)&gt;=1,ROUNDDOWN(($AP680+$AR680)/3,0),0)</f>
        <v>2</v>
      </c>
      <c r="BA680" s="2">
        <f>(($AQ680+$AS680+$AU680++$AT680+$AV680+$AW680+$AX680)/3)+(IF(($AP680+$AR680)&gt;=($AY680+$AZ680),(($AP680+$AR680)-($AY680+$AZ680)),0))</f>
        <v>3</v>
      </c>
      <c r="BB680" s="3" t="s">
        <v>66</v>
      </c>
      <c r="BC680" s="3" t="s">
        <v>66</v>
      </c>
      <c r="BD680" s="2">
        <v>731799</v>
      </c>
      <c r="BE680" s="2">
        <v>3762561</v>
      </c>
      <c r="BF680" s="4"/>
      <c r="BG680" s="4"/>
      <c r="BH680" s="4"/>
      <c r="BI680" s="2">
        <v>0</v>
      </c>
      <c r="BJ680" s="2">
        <v>0</v>
      </c>
    </row>
    <row r="681" spans="1:62" hidden="1" x14ac:dyDescent="0.35">
      <c r="A681" s="2">
        <v>104330</v>
      </c>
      <c r="B681" s="2">
        <v>679</v>
      </c>
      <c r="C681" s="3" t="s">
        <v>57</v>
      </c>
      <c r="D681" s="3" t="s">
        <v>902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2250220189</v>
      </c>
      <c r="L681" s="7">
        <f t="shared" si="21"/>
        <v>2250220189</v>
      </c>
      <c r="M681" s="7">
        <f t="shared" si="22"/>
        <v>2250220190</v>
      </c>
      <c r="N681" s="3" t="s">
        <v>179</v>
      </c>
      <c r="O681" s="5" t="s">
        <v>901</v>
      </c>
      <c r="P681" s="3" t="s">
        <v>66</v>
      </c>
      <c r="Q681" s="3" t="s">
        <v>180</v>
      </c>
      <c r="R681" s="2">
        <v>0</v>
      </c>
      <c r="S681" s="3" t="s">
        <v>314</v>
      </c>
      <c r="T681" s="3" t="s">
        <v>254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599</v>
      </c>
      <c r="AC681" s="2">
        <v>0</v>
      </c>
      <c r="AD681" s="3" t="s">
        <v>68</v>
      </c>
      <c r="AE681" s="3" t="s">
        <v>71</v>
      </c>
      <c r="AF681" s="3" t="s">
        <v>66</v>
      </c>
      <c r="AG681" s="3" t="s">
        <v>66</v>
      </c>
      <c r="AH681" s="3" t="s">
        <v>66</v>
      </c>
      <c r="AI681" s="3" t="s">
        <v>66</v>
      </c>
      <c r="AJ681" s="3" t="s">
        <v>66</v>
      </c>
      <c r="AK681" s="3" t="s">
        <v>66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3" t="s">
        <v>66</v>
      </c>
      <c r="BC681" s="3" t="s">
        <v>66</v>
      </c>
      <c r="BD681" s="2">
        <v>731799</v>
      </c>
      <c r="BE681" s="2">
        <v>3762561</v>
      </c>
      <c r="BF681" s="4"/>
      <c r="BG681" s="4"/>
      <c r="BH681" s="4"/>
      <c r="BI681" s="2">
        <v>0</v>
      </c>
      <c r="BJ681" s="2">
        <v>0</v>
      </c>
    </row>
    <row r="682" spans="1:62" x14ac:dyDescent="0.35">
      <c r="A682" s="2">
        <v>104331</v>
      </c>
      <c r="B682" s="2">
        <v>680</v>
      </c>
      <c r="C682" s="3" t="s">
        <v>57</v>
      </c>
      <c r="D682" s="3" t="s">
        <v>902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2250220190</v>
      </c>
      <c r="L682" s="7">
        <f t="shared" si="21"/>
        <v>2250220190</v>
      </c>
      <c r="M682" s="7">
        <f t="shared" si="22"/>
        <v>2250220190</v>
      </c>
      <c r="N682" s="3" t="s">
        <v>179</v>
      </c>
      <c r="O682" s="5" t="s">
        <v>903</v>
      </c>
      <c r="P682" s="3" t="s">
        <v>733</v>
      </c>
      <c r="Q682" s="3" t="s">
        <v>180</v>
      </c>
      <c r="R682" s="2">
        <v>0</v>
      </c>
      <c r="S682" s="3" t="s">
        <v>314</v>
      </c>
      <c r="T682" s="3" t="s">
        <v>254</v>
      </c>
      <c r="U682" s="3" t="s">
        <v>195</v>
      </c>
      <c r="V682" s="3" t="s">
        <v>195</v>
      </c>
      <c r="W682" s="3" t="s">
        <v>66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599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5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2</v>
      </c>
      <c r="AZ682" s="2">
        <f>(($AQ682+$AS682+$AU682++$AT682+$AV682+$AW682+$AX682)/3)+IF(($AP682+$AR682)&gt;=1,ROUNDDOWN(($AP682+$AR682)/3,0),0)</f>
        <v>1</v>
      </c>
      <c r="BA682" s="2">
        <f>(($AQ682+$AS682+$AU682++$AT682+$AV682+$AW682+$AX682)/3)+(IF(($AP682+$AR682)&gt;=($AY682+$AZ682),(($AP682+$AR682)-($AY682+$AZ682)),0))</f>
        <v>2</v>
      </c>
      <c r="BB682" s="3" t="s">
        <v>66</v>
      </c>
      <c r="BC682" s="3" t="s">
        <v>66</v>
      </c>
      <c r="BD682" s="2">
        <v>731877.00000000105</v>
      </c>
      <c r="BE682" s="2">
        <v>3762498</v>
      </c>
      <c r="BF682" s="4"/>
      <c r="BG682" s="4"/>
      <c r="BH682" s="4"/>
      <c r="BI682" s="2">
        <v>0</v>
      </c>
      <c r="BJ682" s="2">
        <v>0</v>
      </c>
    </row>
    <row r="683" spans="1:62" ht="58" hidden="1" x14ac:dyDescent="0.35">
      <c r="A683" s="2">
        <v>104332</v>
      </c>
      <c r="B683" s="2">
        <v>681</v>
      </c>
      <c r="C683" s="3" t="s">
        <v>57</v>
      </c>
      <c r="D683" s="3" t="s">
        <v>904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17280920357</v>
      </c>
      <c r="L683" s="7">
        <f t="shared" si="21"/>
        <v>2250220190</v>
      </c>
      <c r="M683" s="7">
        <f t="shared" si="22"/>
        <v>2250220192</v>
      </c>
      <c r="N683" s="3" t="s">
        <v>179</v>
      </c>
      <c r="O683" s="5" t="s">
        <v>625</v>
      </c>
      <c r="P683" s="3" t="s">
        <v>66</v>
      </c>
      <c r="Q683" s="3" t="s">
        <v>180</v>
      </c>
      <c r="R683" s="2">
        <v>0</v>
      </c>
      <c r="S683" s="3" t="s">
        <v>66</v>
      </c>
      <c r="T683" s="3" t="s">
        <v>168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622</v>
      </c>
      <c r="AC683" s="2">
        <v>0</v>
      </c>
      <c r="AD683" s="3" t="s">
        <v>68</v>
      </c>
      <c r="AE683" s="3" t="s">
        <v>71</v>
      </c>
      <c r="AF683" s="3" t="s">
        <v>172</v>
      </c>
      <c r="AG683" s="3" t="s">
        <v>173</v>
      </c>
      <c r="AH683" s="3" t="s">
        <v>338</v>
      </c>
      <c r="AI683" s="3" t="s">
        <v>66</v>
      </c>
      <c r="AJ683" s="3" t="s">
        <v>66</v>
      </c>
      <c r="AK683" s="3" t="s">
        <v>175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3" t="s">
        <v>600</v>
      </c>
      <c r="BC683" s="3" t="s">
        <v>623</v>
      </c>
      <c r="BD683" s="2">
        <v>731769.00000000105</v>
      </c>
      <c r="BE683" s="2">
        <v>3762464</v>
      </c>
      <c r="BF683" s="4"/>
      <c r="BG683" s="4"/>
      <c r="BH683" s="4"/>
      <c r="BI683" s="4"/>
      <c r="BJ683" s="2">
        <v>0</v>
      </c>
    </row>
    <row r="684" spans="1:62" x14ac:dyDescent="0.35">
      <c r="A684" s="2">
        <v>104333</v>
      </c>
      <c r="B684" s="2">
        <v>682</v>
      </c>
      <c r="C684" s="3" t="s">
        <v>57</v>
      </c>
      <c r="D684" s="3" t="s">
        <v>904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2250220192</v>
      </c>
      <c r="L684" s="7">
        <f t="shared" si="21"/>
        <v>2250220192</v>
      </c>
      <c r="M684" s="7">
        <f t="shared" si="22"/>
        <v>2250220192</v>
      </c>
      <c r="N684" s="3" t="s">
        <v>179</v>
      </c>
      <c r="O684" s="5" t="s">
        <v>905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638</v>
      </c>
      <c r="U684" s="3" t="s">
        <v>195</v>
      </c>
      <c r="V684" s="3" t="s">
        <v>195</v>
      </c>
      <c r="W684" s="3" t="s">
        <v>195</v>
      </c>
      <c r="X684" s="3" t="s">
        <v>195</v>
      </c>
      <c r="Y684" s="3" t="s">
        <v>66</v>
      </c>
      <c r="Z684" s="3" t="s">
        <v>66</v>
      </c>
      <c r="AA684" s="3" t="s">
        <v>181</v>
      </c>
      <c r="AB684" s="3" t="s">
        <v>622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25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9</v>
      </c>
      <c r="AZ684" s="2">
        <f>(($AQ684+$AS684+$AU684++$AT684+$AV684+$AW684+$AX684)/3)+IF(($AP684+$AR684)&gt;=1,ROUNDDOWN(($AP684+$AR684)/3,0),0)</f>
        <v>8</v>
      </c>
      <c r="BA684" s="2">
        <f>(($AQ684+$AS684+$AU684++$AT684+$AV684+$AW684+$AX684)/3)+(IF(($AP684+$AR684)&gt;=($AY684+$AZ684),(($AP684+$AR684)-($AY684+$AZ684)),0))</f>
        <v>8</v>
      </c>
      <c r="BB684" s="3" t="s">
        <v>66</v>
      </c>
      <c r="BC684" s="3" t="s">
        <v>66</v>
      </c>
      <c r="BD684" s="2">
        <v>731783</v>
      </c>
      <c r="BE684" s="2">
        <v>3762423</v>
      </c>
      <c r="BF684" s="4"/>
      <c r="BG684" s="4"/>
      <c r="BH684" s="4"/>
      <c r="BI684" s="2">
        <v>0</v>
      </c>
      <c r="BJ684" s="2">
        <v>0</v>
      </c>
    </row>
    <row r="685" spans="1:62" ht="58" hidden="1" x14ac:dyDescent="0.35">
      <c r="A685" s="2">
        <v>104334</v>
      </c>
      <c r="B685" s="2">
        <v>683</v>
      </c>
      <c r="C685" s="3" t="s">
        <v>57</v>
      </c>
      <c r="D685" s="3" t="s">
        <v>906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17280920357</v>
      </c>
      <c r="L685" s="7">
        <f t="shared" si="21"/>
        <v>2250220192</v>
      </c>
      <c r="M685" s="7">
        <f t="shared" si="22"/>
        <v>2250220193</v>
      </c>
      <c r="N685" s="3" t="s">
        <v>179</v>
      </c>
      <c r="O685" s="5" t="s">
        <v>625</v>
      </c>
      <c r="P685" s="3" t="s">
        <v>66</v>
      </c>
      <c r="Q685" s="3" t="s">
        <v>180</v>
      </c>
      <c r="R685" s="2">
        <v>0</v>
      </c>
      <c r="S685" s="3" t="s">
        <v>66</v>
      </c>
      <c r="T685" s="3" t="s">
        <v>168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622</v>
      </c>
      <c r="AC685" s="2">
        <v>0</v>
      </c>
      <c r="AD685" s="3" t="s">
        <v>68</v>
      </c>
      <c r="AE685" s="3" t="s">
        <v>71</v>
      </c>
      <c r="AF685" s="3" t="s">
        <v>172</v>
      </c>
      <c r="AG685" s="3" t="s">
        <v>173</v>
      </c>
      <c r="AH685" s="3" t="s">
        <v>338</v>
      </c>
      <c r="AI685" s="3" t="s">
        <v>66</v>
      </c>
      <c r="AJ685" s="3" t="s">
        <v>66</v>
      </c>
      <c r="AK685" s="3" t="s">
        <v>175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3" t="s">
        <v>600</v>
      </c>
      <c r="BC685" s="3" t="s">
        <v>623</v>
      </c>
      <c r="BD685" s="2">
        <v>731769.00000000105</v>
      </c>
      <c r="BE685" s="2">
        <v>3762464</v>
      </c>
      <c r="BF685" s="4"/>
      <c r="BG685" s="4"/>
      <c r="BH685" s="4"/>
      <c r="BI685" s="4"/>
      <c r="BJ685" s="2">
        <v>0</v>
      </c>
    </row>
    <row r="686" spans="1:62" x14ac:dyDescent="0.35">
      <c r="A686" s="2">
        <v>104335</v>
      </c>
      <c r="B686" s="2">
        <v>684</v>
      </c>
      <c r="C686" s="3" t="s">
        <v>57</v>
      </c>
      <c r="D686" s="3" t="s">
        <v>906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2250220193</v>
      </c>
      <c r="L686" s="7">
        <f t="shared" si="21"/>
        <v>2250220193</v>
      </c>
      <c r="M686" s="7">
        <f t="shared" si="22"/>
        <v>2250220193</v>
      </c>
      <c r="N686" s="3" t="s">
        <v>179</v>
      </c>
      <c r="O686" s="5" t="s">
        <v>907</v>
      </c>
      <c r="P686" s="3" t="s">
        <v>183</v>
      </c>
      <c r="Q686" s="3" t="s">
        <v>180</v>
      </c>
      <c r="R686" s="2">
        <v>0</v>
      </c>
      <c r="S686" s="3" t="s">
        <v>73</v>
      </c>
      <c r="T686" s="3" t="s">
        <v>254</v>
      </c>
      <c r="U686" s="3" t="s">
        <v>195</v>
      </c>
      <c r="V686" s="3" t="s">
        <v>195</v>
      </c>
      <c r="W686" s="3" t="s">
        <v>195</v>
      </c>
      <c r="X686" s="3" t="s">
        <v>195</v>
      </c>
      <c r="Y686" s="3" t="s">
        <v>66</v>
      </c>
      <c r="Z686" s="3" t="s">
        <v>66</v>
      </c>
      <c r="AA686" s="3" t="s">
        <v>181</v>
      </c>
      <c r="AB686" s="3" t="s">
        <v>622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14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5</v>
      </c>
      <c r="AZ686" s="2">
        <f>(($AQ686+$AS686+$AU686++$AT686+$AV686+$AW686+$AX686)/3)+IF(($AP686+$AR686)&gt;=1,ROUNDDOWN(($AP686+$AR686)/3,0),0)</f>
        <v>4</v>
      </c>
      <c r="BA686" s="2">
        <f>(($AQ686+$AS686+$AU686++$AT686+$AV686+$AW686+$AX686)/3)+(IF(($AP686+$AR686)&gt;=($AY686+$AZ686),(($AP686+$AR686)-($AY686+$AZ686)),0))</f>
        <v>5</v>
      </c>
      <c r="BB686" s="3" t="s">
        <v>66</v>
      </c>
      <c r="BC686" s="3" t="s">
        <v>66</v>
      </c>
      <c r="BD686" s="2">
        <v>731767.00000000105</v>
      </c>
      <c r="BE686" s="2">
        <v>3762500</v>
      </c>
      <c r="BF686" s="4"/>
      <c r="BG686" s="4"/>
      <c r="BH686" s="4"/>
      <c r="BI686" s="2">
        <v>0</v>
      </c>
      <c r="BJ686" s="2">
        <v>0</v>
      </c>
    </row>
    <row r="687" spans="1:62" hidden="1" x14ac:dyDescent="0.35">
      <c r="A687" s="2">
        <v>104336</v>
      </c>
      <c r="B687" s="2">
        <v>685</v>
      </c>
      <c r="C687" s="3" t="s">
        <v>57</v>
      </c>
      <c r="D687" s="3" t="s">
        <v>908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2250220193</v>
      </c>
      <c r="L687" s="7">
        <f t="shared" si="21"/>
        <v>2250220193</v>
      </c>
      <c r="M687" s="7">
        <f t="shared" si="22"/>
        <v>2250220194</v>
      </c>
      <c r="N687" s="3" t="s">
        <v>179</v>
      </c>
      <c r="O687" s="5" t="s">
        <v>907</v>
      </c>
      <c r="P687" s="3" t="s">
        <v>66</v>
      </c>
      <c r="Q687" s="3" t="s">
        <v>180</v>
      </c>
      <c r="R687" s="2">
        <v>0</v>
      </c>
      <c r="S687" s="3" t="s">
        <v>73</v>
      </c>
      <c r="T687" s="3" t="s">
        <v>254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622</v>
      </c>
      <c r="AC687" s="2">
        <v>0</v>
      </c>
      <c r="AD687" s="3" t="s">
        <v>68</v>
      </c>
      <c r="AE687" s="3" t="s">
        <v>71</v>
      </c>
      <c r="AF687" s="3" t="s">
        <v>66</v>
      </c>
      <c r="AG687" s="3" t="s">
        <v>66</v>
      </c>
      <c r="AH687" s="3" t="s">
        <v>66</v>
      </c>
      <c r="AI687" s="3" t="s">
        <v>66</v>
      </c>
      <c r="AJ687" s="3" t="s">
        <v>66</v>
      </c>
      <c r="AK687" s="3" t="s">
        <v>66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3" t="s">
        <v>66</v>
      </c>
      <c r="BC687" s="3" t="s">
        <v>66</v>
      </c>
      <c r="BD687" s="2">
        <v>731767.00000000105</v>
      </c>
      <c r="BE687" s="2">
        <v>3762500</v>
      </c>
      <c r="BF687" s="4"/>
      <c r="BG687" s="4"/>
      <c r="BH687" s="4"/>
      <c r="BI687" s="2">
        <v>0</v>
      </c>
      <c r="BJ687" s="2">
        <v>0</v>
      </c>
    </row>
    <row r="688" spans="1:62" x14ac:dyDescent="0.35">
      <c r="A688" s="2">
        <v>104337</v>
      </c>
      <c r="B688" s="2">
        <v>686</v>
      </c>
      <c r="C688" s="3" t="s">
        <v>57</v>
      </c>
      <c r="D688" s="3" t="s">
        <v>908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2250220194</v>
      </c>
      <c r="L688" s="7">
        <f t="shared" si="21"/>
        <v>2250220194</v>
      </c>
      <c r="M688" s="7">
        <f t="shared" si="22"/>
        <v>2250220194</v>
      </c>
      <c r="N688" s="3" t="s">
        <v>179</v>
      </c>
      <c r="O688" s="5" t="s">
        <v>909</v>
      </c>
      <c r="P688" s="3" t="s">
        <v>183</v>
      </c>
      <c r="Q688" s="3" t="s">
        <v>180</v>
      </c>
      <c r="R688" s="2">
        <v>0</v>
      </c>
      <c r="S688" s="3" t="s">
        <v>73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622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2</v>
      </c>
      <c r="AQ688" s="2">
        <v>1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>
        <f>(($AQ688+$AS688+$AU688++$AT688+$AV688+$AW688+$AX688)/3)+IF(($AP688+$AR688)&gt;=1,ROUNDUP(($AP688+$AR688)/3,0),0)</f>
        <v>1.3333333333333333</v>
      </c>
      <c r="AZ688" s="2">
        <f>(($AQ688+$AS688+$AU688++$AT688+$AV688+$AW688+$AX688)/3)+IF(($AP688+$AR688)&gt;=1,ROUNDDOWN(($AP688+$AR688)/3,0),0)</f>
        <v>0.33333333333333331</v>
      </c>
      <c r="BA688" s="2">
        <f>(($AQ688+$AS688+$AU688++$AT688+$AV688+$AW688+$AX688)/3)+(IF(($AP688+$AR688)&gt;=($AY688+$AZ688),(($AP688+$AR688)-($AY688+$AZ688)),0))</f>
        <v>0.66666666666666674</v>
      </c>
      <c r="BB688" s="3" t="s">
        <v>66</v>
      </c>
      <c r="BC688" s="3" t="s">
        <v>66</v>
      </c>
      <c r="BD688" s="2">
        <v>731759.00000000105</v>
      </c>
      <c r="BE688" s="2">
        <v>3762514</v>
      </c>
      <c r="BF688" s="4"/>
      <c r="BG688" s="4"/>
      <c r="BH688" s="4"/>
      <c r="BI688" s="2">
        <v>0</v>
      </c>
      <c r="BJ688" s="2">
        <v>0</v>
      </c>
    </row>
    <row r="689" spans="1:62" hidden="1" x14ac:dyDescent="0.35">
      <c r="A689" s="2">
        <v>104338</v>
      </c>
      <c r="B689" s="2">
        <v>687</v>
      </c>
      <c r="C689" s="3" t="s">
        <v>57</v>
      </c>
      <c r="D689" s="3" t="s">
        <v>910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2250220194</v>
      </c>
      <c r="L689" s="7">
        <f t="shared" si="21"/>
        <v>2250220194</v>
      </c>
      <c r="M689" s="7">
        <f t="shared" si="22"/>
        <v>2250220195</v>
      </c>
      <c r="N689" s="3" t="s">
        <v>179</v>
      </c>
      <c r="O689" s="5" t="s">
        <v>909</v>
      </c>
      <c r="P689" s="3" t="s">
        <v>66</v>
      </c>
      <c r="Q689" s="3" t="s">
        <v>180</v>
      </c>
      <c r="R689" s="2">
        <v>0</v>
      </c>
      <c r="S689" s="3" t="s">
        <v>73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622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3" t="s">
        <v>66</v>
      </c>
      <c r="BC689" s="3" t="s">
        <v>66</v>
      </c>
      <c r="BD689" s="2">
        <v>731759.00000000105</v>
      </c>
      <c r="BE689" s="2">
        <v>3762514</v>
      </c>
      <c r="BF689" s="4"/>
      <c r="BG689" s="4"/>
      <c r="BH689" s="4"/>
      <c r="BI689" s="2">
        <v>0</v>
      </c>
      <c r="BJ689" s="2">
        <v>0</v>
      </c>
    </row>
    <row r="690" spans="1:62" x14ac:dyDescent="0.35">
      <c r="A690" s="2">
        <v>104339</v>
      </c>
      <c r="B690" s="2">
        <v>688</v>
      </c>
      <c r="C690" s="3" t="s">
        <v>57</v>
      </c>
      <c r="D690" s="3" t="s">
        <v>910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2250220195</v>
      </c>
      <c r="L690" s="7">
        <f t="shared" si="21"/>
        <v>2250220195</v>
      </c>
      <c r="M690" s="7">
        <f t="shared" si="22"/>
        <v>2250220195</v>
      </c>
      <c r="N690" s="3" t="s">
        <v>179</v>
      </c>
      <c r="O690" s="5" t="s">
        <v>911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638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622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5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2</v>
      </c>
      <c r="AZ690" s="2">
        <f>(($AQ690+$AS690+$AU690++$AT690+$AV690+$AW690+$AX690)/3)+IF(($AP690+$AR690)&gt;=1,ROUNDDOWN(($AP690+$AR690)/3,0),0)</f>
        <v>1</v>
      </c>
      <c r="BA690" s="2">
        <f>(($AQ690+$AS690+$AU690++$AT690+$AV690+$AW690+$AX690)/3)+(IF(($AP690+$AR690)&gt;=($AY690+$AZ690),(($AP690+$AR690)-($AY690+$AZ690)),0))</f>
        <v>2</v>
      </c>
      <c r="BB690" s="3" t="s">
        <v>66</v>
      </c>
      <c r="BC690" s="3" t="s">
        <v>66</v>
      </c>
      <c r="BD690" s="2">
        <v>731761.00000000198</v>
      </c>
      <c r="BE690" s="2">
        <v>3762532</v>
      </c>
      <c r="BF690" s="4"/>
      <c r="BG690" s="4"/>
      <c r="BH690" s="4"/>
      <c r="BI690" s="2">
        <v>0</v>
      </c>
      <c r="BJ690" s="2">
        <v>0</v>
      </c>
    </row>
    <row r="691" spans="1:62" hidden="1" x14ac:dyDescent="0.35">
      <c r="A691" s="2">
        <v>104340</v>
      </c>
      <c r="B691" s="2">
        <v>689</v>
      </c>
      <c r="C691" s="3" t="s">
        <v>57</v>
      </c>
      <c r="D691" s="3" t="s">
        <v>912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2250220195</v>
      </c>
      <c r="L691" s="7">
        <f t="shared" si="21"/>
        <v>2250220195</v>
      </c>
      <c r="M691" s="7">
        <f t="shared" si="22"/>
        <v>2250220196</v>
      </c>
      <c r="N691" s="3" t="s">
        <v>179</v>
      </c>
      <c r="O691" s="5" t="s">
        <v>911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638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622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3" t="s">
        <v>66</v>
      </c>
      <c r="BC691" s="3" t="s">
        <v>66</v>
      </c>
      <c r="BD691" s="2">
        <v>731761.00000000198</v>
      </c>
      <c r="BE691" s="2">
        <v>3762532</v>
      </c>
      <c r="BF691" s="4"/>
      <c r="BG691" s="4"/>
      <c r="BH691" s="4"/>
      <c r="BI691" s="2">
        <v>0</v>
      </c>
      <c r="BJ691" s="2">
        <v>0</v>
      </c>
    </row>
    <row r="692" spans="1:62" x14ac:dyDescent="0.35">
      <c r="A692" s="2">
        <v>104341</v>
      </c>
      <c r="B692" s="2">
        <v>690</v>
      </c>
      <c r="C692" s="3" t="s">
        <v>57</v>
      </c>
      <c r="D692" s="3" t="s">
        <v>912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2250220196</v>
      </c>
      <c r="L692" s="7">
        <f t="shared" si="21"/>
        <v>2250220196</v>
      </c>
      <c r="M692" s="7">
        <f t="shared" si="22"/>
        <v>2250220196</v>
      </c>
      <c r="N692" s="3" t="s">
        <v>179</v>
      </c>
      <c r="O692" s="5" t="s">
        <v>913</v>
      </c>
      <c r="P692" s="3" t="s">
        <v>183</v>
      </c>
      <c r="Q692" s="3" t="s">
        <v>180</v>
      </c>
      <c r="R692" s="2">
        <v>0</v>
      </c>
      <c r="S692" s="3" t="s">
        <v>73</v>
      </c>
      <c r="T692" s="3" t="s">
        <v>638</v>
      </c>
      <c r="U692" s="3" t="s">
        <v>195</v>
      </c>
      <c r="V692" s="3" t="s">
        <v>195</v>
      </c>
      <c r="W692" s="3" t="s">
        <v>195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622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1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2.3333333333333335</v>
      </c>
      <c r="AZ692" s="2">
        <f>(($AQ692+$AS692+$AU692++$AT692+$AV692+$AW692+$AX692)/3)+IF(($AP692+$AR692)&gt;=1,ROUNDDOWN(($AP692+$AR692)/3,0),0)</f>
        <v>1.3333333333333333</v>
      </c>
      <c r="BA692" s="2">
        <f>(($AQ692+$AS692+$AU692++$AT692+$AV692+$AW692+$AX692)/3)+(IF(($AP692+$AR692)&gt;=($AY692+$AZ692),(($AP692+$AR692)-($AY692+$AZ692)),0))</f>
        <v>1.6666666666666663</v>
      </c>
      <c r="BB692" s="3" t="s">
        <v>66</v>
      </c>
      <c r="BC692" s="3" t="s">
        <v>66</v>
      </c>
      <c r="BD692" s="2">
        <v>731749.00000000105</v>
      </c>
      <c r="BE692" s="2">
        <v>3762577</v>
      </c>
      <c r="BF692" s="4"/>
      <c r="BG692" s="4"/>
      <c r="BH692" s="4"/>
      <c r="BI692" s="2">
        <v>0</v>
      </c>
      <c r="BJ692" s="2">
        <v>0</v>
      </c>
    </row>
  </sheetData>
  <autoFilter ref="A1:BJ69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E39F1-2F9C-4CA2-9541-984893C10D77}">
  <dimension ref="A1:L692"/>
  <sheetViews>
    <sheetView tabSelected="1" workbookViewId="0">
      <selection activeCell="J8" sqref="J8"/>
    </sheetView>
  </sheetViews>
  <sheetFormatPr defaultRowHeight="14.5" x14ac:dyDescent="0.35"/>
  <cols>
    <col min="4" max="4" width="18.26953125" customWidth="1"/>
    <col min="9" max="9" width="12.90625" customWidth="1"/>
    <col min="10" max="10" width="10.54296875" customWidth="1"/>
    <col min="11" max="11" width="23.08984375" customWidth="1"/>
    <col min="12" max="12" width="17.1796875" customWidth="1"/>
  </cols>
  <sheetData>
    <row r="1" spans="1:12" x14ac:dyDescent="0.35">
      <c r="A1" s="9" t="s">
        <v>920</v>
      </c>
      <c r="B1" s="9" t="s">
        <v>921</v>
      </c>
      <c r="C1" s="9" t="s">
        <v>50</v>
      </c>
      <c r="D1" s="9" t="s">
        <v>922</v>
      </c>
      <c r="G1" t="s">
        <v>920</v>
      </c>
      <c r="H1" t="s">
        <v>921</v>
      </c>
      <c r="I1" t="s">
        <v>50</v>
      </c>
      <c r="J1" t="s">
        <v>51</v>
      </c>
      <c r="K1" t="s">
        <v>923</v>
      </c>
      <c r="L1" t="s">
        <v>922</v>
      </c>
    </row>
    <row r="2" spans="1:12" x14ac:dyDescent="0.35">
      <c r="A2">
        <v>0</v>
      </c>
      <c r="B2" t="s">
        <v>63</v>
      </c>
      <c r="C2">
        <v>728504.00000000105</v>
      </c>
      <c r="D2">
        <v>728504.00000000105</v>
      </c>
      <c r="G2">
        <v>0</v>
      </c>
      <c r="H2" t="s">
        <v>63</v>
      </c>
      <c r="I2">
        <v>728504.00000000105</v>
      </c>
      <c r="J2">
        <v>3763941</v>
      </c>
      <c r="K2">
        <v>20</v>
      </c>
      <c r="L2">
        <v>728504.00000000105</v>
      </c>
    </row>
    <row r="3" spans="1:12" x14ac:dyDescent="0.35">
      <c r="A3">
        <v>1</v>
      </c>
      <c r="B3" t="s">
        <v>69</v>
      </c>
      <c r="C3">
        <v>728517.00000000105</v>
      </c>
      <c r="D3">
        <v>1457021</v>
      </c>
      <c r="G3">
        <v>1</v>
      </c>
      <c r="H3" t="s">
        <v>69</v>
      </c>
      <c r="I3">
        <v>728517.00000000105</v>
      </c>
      <c r="J3">
        <v>3763934</v>
      </c>
      <c r="K3">
        <v>0</v>
      </c>
      <c r="L3">
        <v>1457021</v>
      </c>
    </row>
    <row r="4" spans="1:12" x14ac:dyDescent="0.35">
      <c r="A4">
        <v>2</v>
      </c>
      <c r="B4" t="s">
        <v>63</v>
      </c>
      <c r="C4">
        <v>728517.00000000105</v>
      </c>
      <c r="D4">
        <v>728517.00000000105</v>
      </c>
      <c r="G4">
        <v>2</v>
      </c>
      <c r="H4" t="s">
        <v>63</v>
      </c>
      <c r="I4">
        <v>728517.00000000105</v>
      </c>
      <c r="J4">
        <v>3763934</v>
      </c>
      <c r="K4">
        <v>24</v>
      </c>
      <c r="L4">
        <v>728517.00000000105</v>
      </c>
    </row>
    <row r="5" spans="1:12" x14ac:dyDescent="0.35">
      <c r="A5">
        <v>3</v>
      </c>
      <c r="B5" t="s">
        <v>919</v>
      </c>
      <c r="C5">
        <v>728519.00000000105</v>
      </c>
      <c r="D5">
        <v>1457036</v>
      </c>
      <c r="G5">
        <v>3</v>
      </c>
      <c r="H5" t="s">
        <v>919</v>
      </c>
      <c r="I5">
        <v>728519.00000000105</v>
      </c>
      <c r="J5">
        <v>3763956</v>
      </c>
      <c r="K5">
        <v>48.000000001047702</v>
      </c>
      <c r="L5">
        <v>1457036</v>
      </c>
    </row>
    <row r="6" spans="1:12" x14ac:dyDescent="0.35">
      <c r="A6">
        <v>4</v>
      </c>
      <c r="B6" t="s">
        <v>919</v>
      </c>
      <c r="C6">
        <v>728513</v>
      </c>
      <c r="D6">
        <v>2185549</v>
      </c>
      <c r="G6">
        <v>4</v>
      </c>
      <c r="H6" t="s">
        <v>919</v>
      </c>
      <c r="I6">
        <v>728513</v>
      </c>
      <c r="J6">
        <v>3763998</v>
      </c>
      <c r="K6">
        <v>48</v>
      </c>
      <c r="L6">
        <v>2185549</v>
      </c>
    </row>
    <row r="7" spans="1:12" x14ac:dyDescent="0.35">
      <c r="A7">
        <v>5</v>
      </c>
      <c r="B7" t="s">
        <v>919</v>
      </c>
      <c r="C7">
        <v>728512</v>
      </c>
      <c r="D7">
        <v>2914061</v>
      </c>
      <c r="G7">
        <v>5</v>
      </c>
      <c r="H7" t="s">
        <v>919</v>
      </c>
      <c r="I7">
        <v>728512</v>
      </c>
      <c r="J7">
        <v>3764045</v>
      </c>
      <c r="K7">
        <v>58.999999998952298</v>
      </c>
      <c r="L7">
        <v>2914061</v>
      </c>
    </row>
    <row r="8" spans="1:12" x14ac:dyDescent="0.35">
      <c r="A8">
        <v>6</v>
      </c>
      <c r="B8" t="s">
        <v>919</v>
      </c>
      <c r="C8">
        <v>728506.00000000105</v>
      </c>
      <c r="D8">
        <v>3642567</v>
      </c>
      <c r="G8">
        <v>6</v>
      </c>
      <c r="H8" t="s">
        <v>919</v>
      </c>
      <c r="I8">
        <v>728506.00000000105</v>
      </c>
      <c r="J8">
        <v>3764098</v>
      </c>
      <c r="K8">
        <v>53.999999999068699</v>
      </c>
      <c r="L8">
        <v>3642567</v>
      </c>
    </row>
    <row r="9" spans="1:12" x14ac:dyDescent="0.35">
      <c r="A9">
        <v>7</v>
      </c>
      <c r="B9" t="s">
        <v>69</v>
      </c>
      <c r="C9">
        <v>728503.00000000198</v>
      </c>
      <c r="D9">
        <v>4371070</v>
      </c>
      <c r="G9">
        <v>7</v>
      </c>
      <c r="H9" t="s">
        <v>69</v>
      </c>
      <c r="I9">
        <v>728503.00000000198</v>
      </c>
      <c r="J9">
        <v>3764149</v>
      </c>
      <c r="K9">
        <v>0</v>
      </c>
      <c r="L9">
        <v>4371070</v>
      </c>
    </row>
    <row r="10" spans="1:12" x14ac:dyDescent="0.35">
      <c r="A10">
        <v>8</v>
      </c>
      <c r="B10" t="s">
        <v>63</v>
      </c>
      <c r="C10">
        <v>728503.00000000198</v>
      </c>
      <c r="D10">
        <v>728503.00000000198</v>
      </c>
      <c r="G10">
        <v>8</v>
      </c>
      <c r="H10" t="s">
        <v>63</v>
      </c>
      <c r="I10">
        <v>728503.00000000198</v>
      </c>
      <c r="J10">
        <v>3764149</v>
      </c>
      <c r="K10">
        <v>36.999999998020897</v>
      </c>
      <c r="L10">
        <v>728503.00000000198</v>
      </c>
    </row>
    <row r="11" spans="1:12" x14ac:dyDescent="0.35">
      <c r="A11">
        <v>9</v>
      </c>
      <c r="B11" t="s">
        <v>69</v>
      </c>
      <c r="C11">
        <v>728513</v>
      </c>
      <c r="D11">
        <v>1457016</v>
      </c>
      <c r="G11">
        <v>9</v>
      </c>
      <c r="H11" t="s">
        <v>69</v>
      </c>
      <c r="I11">
        <v>728513</v>
      </c>
      <c r="J11">
        <v>3764176</v>
      </c>
      <c r="K11">
        <v>0</v>
      </c>
      <c r="L11">
        <v>1457016</v>
      </c>
    </row>
    <row r="12" spans="1:12" x14ac:dyDescent="0.35">
      <c r="A12">
        <v>10</v>
      </c>
      <c r="B12" t="s">
        <v>63</v>
      </c>
      <c r="C12">
        <v>728513</v>
      </c>
      <c r="D12">
        <v>728513</v>
      </c>
      <c r="G12">
        <v>10</v>
      </c>
      <c r="H12" t="s">
        <v>63</v>
      </c>
      <c r="I12">
        <v>728513</v>
      </c>
      <c r="J12">
        <v>3764176</v>
      </c>
      <c r="K12">
        <v>51</v>
      </c>
      <c r="L12">
        <v>728513</v>
      </c>
    </row>
    <row r="13" spans="1:12" x14ac:dyDescent="0.35">
      <c r="A13">
        <v>11</v>
      </c>
      <c r="B13" t="s">
        <v>919</v>
      </c>
      <c r="C13">
        <v>728558</v>
      </c>
      <c r="D13">
        <v>1457071</v>
      </c>
      <c r="G13">
        <v>11</v>
      </c>
      <c r="H13" t="s">
        <v>919</v>
      </c>
      <c r="I13">
        <v>728558</v>
      </c>
      <c r="J13">
        <v>3764182</v>
      </c>
      <c r="K13">
        <v>48</v>
      </c>
      <c r="L13">
        <v>1457071</v>
      </c>
    </row>
    <row r="14" spans="1:12" x14ac:dyDescent="0.35">
      <c r="A14">
        <v>12</v>
      </c>
      <c r="B14" t="s">
        <v>919</v>
      </c>
      <c r="C14">
        <v>728605</v>
      </c>
      <c r="D14">
        <v>2185676</v>
      </c>
      <c r="G14">
        <v>12</v>
      </c>
      <c r="H14" t="s">
        <v>919</v>
      </c>
      <c r="I14">
        <v>728605</v>
      </c>
      <c r="J14">
        <v>3764183</v>
      </c>
      <c r="K14">
        <v>54.000000001047702</v>
      </c>
      <c r="L14">
        <v>2185676</v>
      </c>
    </row>
    <row r="15" spans="1:12" x14ac:dyDescent="0.35">
      <c r="A15">
        <v>13</v>
      </c>
      <c r="B15" t="s">
        <v>919</v>
      </c>
      <c r="C15">
        <v>728655.00000000105</v>
      </c>
      <c r="D15">
        <v>2914331</v>
      </c>
      <c r="G15">
        <v>13</v>
      </c>
      <c r="H15" t="s">
        <v>919</v>
      </c>
      <c r="I15">
        <v>728655.00000000105</v>
      </c>
      <c r="J15">
        <v>3764187</v>
      </c>
      <c r="K15">
        <v>54</v>
      </c>
      <c r="L15">
        <v>2914331</v>
      </c>
    </row>
    <row r="16" spans="1:12" x14ac:dyDescent="0.35">
      <c r="A16">
        <v>14</v>
      </c>
      <c r="B16" t="s">
        <v>919</v>
      </c>
      <c r="C16">
        <v>728708.00000000105</v>
      </c>
      <c r="D16">
        <v>3643039</v>
      </c>
      <c r="G16">
        <v>14</v>
      </c>
      <c r="H16" t="s">
        <v>919</v>
      </c>
      <c r="I16">
        <v>728708.00000000105</v>
      </c>
      <c r="J16">
        <v>3764188</v>
      </c>
      <c r="K16">
        <v>52.999999997904503</v>
      </c>
      <c r="L16">
        <v>3643039</v>
      </c>
    </row>
    <row r="17" spans="1:12" x14ac:dyDescent="0.35">
      <c r="A17">
        <v>15</v>
      </c>
      <c r="B17" t="s">
        <v>919</v>
      </c>
      <c r="C17">
        <v>728755.99999999895</v>
      </c>
      <c r="D17">
        <v>4371795</v>
      </c>
      <c r="G17">
        <v>15</v>
      </c>
      <c r="H17" t="s">
        <v>919</v>
      </c>
      <c r="I17">
        <v>728755.99999999895</v>
      </c>
      <c r="J17">
        <v>3764193</v>
      </c>
      <c r="K17">
        <v>58.000000001047702</v>
      </c>
      <c r="L17">
        <v>4371795</v>
      </c>
    </row>
    <row r="18" spans="1:12" x14ac:dyDescent="0.35">
      <c r="A18">
        <v>16</v>
      </c>
      <c r="B18" t="s">
        <v>69</v>
      </c>
      <c r="C18">
        <v>728812</v>
      </c>
      <c r="D18">
        <v>5100607</v>
      </c>
      <c r="G18">
        <v>16</v>
      </c>
      <c r="H18" t="s">
        <v>69</v>
      </c>
      <c r="I18">
        <v>728812</v>
      </c>
      <c r="J18">
        <v>3764195</v>
      </c>
      <c r="K18">
        <v>0</v>
      </c>
      <c r="L18">
        <v>5100607</v>
      </c>
    </row>
    <row r="19" spans="1:12" x14ac:dyDescent="0.35">
      <c r="A19">
        <v>17</v>
      </c>
      <c r="B19" t="s">
        <v>63</v>
      </c>
      <c r="C19">
        <v>728812</v>
      </c>
      <c r="D19">
        <v>728812</v>
      </c>
      <c r="G19">
        <v>17</v>
      </c>
      <c r="H19" t="s">
        <v>63</v>
      </c>
      <c r="I19">
        <v>728812</v>
      </c>
      <c r="J19">
        <v>3764195</v>
      </c>
      <c r="K19">
        <v>59</v>
      </c>
      <c r="L19">
        <v>728812</v>
      </c>
    </row>
    <row r="20" spans="1:12" x14ac:dyDescent="0.35">
      <c r="A20">
        <v>18</v>
      </c>
      <c r="B20" t="s">
        <v>919</v>
      </c>
      <c r="C20">
        <v>728868</v>
      </c>
      <c r="D20">
        <v>1457680</v>
      </c>
      <c r="G20">
        <v>18</v>
      </c>
      <c r="H20" t="s">
        <v>919</v>
      </c>
      <c r="I20">
        <v>728868</v>
      </c>
      <c r="J20">
        <v>3764198</v>
      </c>
      <c r="K20">
        <v>52</v>
      </c>
      <c r="L20">
        <v>1457680</v>
      </c>
    </row>
    <row r="21" spans="1:12" x14ac:dyDescent="0.35">
      <c r="A21">
        <v>19</v>
      </c>
      <c r="B21" t="s">
        <v>919</v>
      </c>
      <c r="C21">
        <v>728917</v>
      </c>
      <c r="D21">
        <v>2186597</v>
      </c>
      <c r="G21">
        <v>19</v>
      </c>
      <c r="H21" t="s">
        <v>919</v>
      </c>
      <c r="I21">
        <v>728917</v>
      </c>
      <c r="J21">
        <v>3764201</v>
      </c>
      <c r="K21">
        <v>54.000000001979103</v>
      </c>
      <c r="L21">
        <v>2186597</v>
      </c>
    </row>
    <row r="22" spans="1:12" x14ac:dyDescent="0.35">
      <c r="A22">
        <v>20</v>
      </c>
      <c r="B22" t="s">
        <v>919</v>
      </c>
      <c r="C22">
        <v>728966.00000000198</v>
      </c>
      <c r="D22">
        <v>2915563</v>
      </c>
      <c r="G22">
        <v>20</v>
      </c>
      <c r="H22" t="s">
        <v>919</v>
      </c>
      <c r="I22">
        <v>728966.00000000198</v>
      </c>
      <c r="J22">
        <v>3764206</v>
      </c>
      <c r="K22">
        <v>49.999999999068699</v>
      </c>
      <c r="L22">
        <v>2915563</v>
      </c>
    </row>
    <row r="23" spans="1:12" x14ac:dyDescent="0.35">
      <c r="A23">
        <v>21</v>
      </c>
      <c r="B23" t="s">
        <v>919</v>
      </c>
      <c r="C23">
        <v>729013.00000000105</v>
      </c>
      <c r="D23">
        <v>3644576</v>
      </c>
      <c r="G23">
        <v>21</v>
      </c>
      <c r="H23" t="s">
        <v>919</v>
      </c>
      <c r="I23">
        <v>729013.00000000105</v>
      </c>
      <c r="J23">
        <v>3764209</v>
      </c>
      <c r="K23">
        <v>41.999999998952298</v>
      </c>
      <c r="L23">
        <v>3644576</v>
      </c>
    </row>
    <row r="24" spans="1:12" x14ac:dyDescent="0.35">
      <c r="A24">
        <v>22</v>
      </c>
      <c r="B24" t="s">
        <v>69</v>
      </c>
      <c r="C24">
        <v>729055</v>
      </c>
      <c r="D24">
        <v>4373631</v>
      </c>
      <c r="G24">
        <v>22</v>
      </c>
      <c r="H24" t="s">
        <v>69</v>
      </c>
      <c r="I24">
        <v>729055</v>
      </c>
      <c r="J24">
        <v>3764209</v>
      </c>
      <c r="K24">
        <v>0</v>
      </c>
      <c r="L24">
        <v>4373631</v>
      </c>
    </row>
    <row r="25" spans="1:12" x14ac:dyDescent="0.35">
      <c r="A25">
        <v>23</v>
      </c>
      <c r="B25" t="s">
        <v>63</v>
      </c>
      <c r="C25">
        <v>729055</v>
      </c>
      <c r="D25">
        <v>729055</v>
      </c>
      <c r="G25">
        <v>23</v>
      </c>
      <c r="H25" t="s">
        <v>63</v>
      </c>
      <c r="I25">
        <v>729055</v>
      </c>
      <c r="J25">
        <v>3764209</v>
      </c>
      <c r="K25">
        <v>44</v>
      </c>
      <c r="L25">
        <v>729055</v>
      </c>
    </row>
    <row r="26" spans="1:12" x14ac:dyDescent="0.35">
      <c r="A26">
        <v>24</v>
      </c>
      <c r="B26" t="s">
        <v>919</v>
      </c>
      <c r="C26">
        <v>729098</v>
      </c>
      <c r="D26">
        <v>1458153</v>
      </c>
      <c r="G26">
        <v>24</v>
      </c>
      <c r="H26" t="s">
        <v>919</v>
      </c>
      <c r="I26">
        <v>729098</v>
      </c>
      <c r="J26">
        <v>3764208</v>
      </c>
      <c r="K26">
        <v>46.000000001047702</v>
      </c>
      <c r="L26">
        <v>1458153</v>
      </c>
    </row>
    <row r="27" spans="1:12" x14ac:dyDescent="0.35">
      <c r="A27">
        <v>25</v>
      </c>
      <c r="B27" t="s">
        <v>919</v>
      </c>
      <c r="C27">
        <v>729141.00000000105</v>
      </c>
      <c r="D27">
        <v>2187294</v>
      </c>
      <c r="G27">
        <v>25</v>
      </c>
      <c r="H27" t="s">
        <v>919</v>
      </c>
      <c r="I27">
        <v>729141.00000000105</v>
      </c>
      <c r="J27">
        <v>3764205</v>
      </c>
      <c r="K27">
        <v>11.000000000931299</v>
      </c>
      <c r="L27">
        <v>2187294</v>
      </c>
    </row>
    <row r="28" spans="1:12" x14ac:dyDescent="0.35">
      <c r="A28">
        <v>26</v>
      </c>
      <c r="B28" t="s">
        <v>69</v>
      </c>
      <c r="C28">
        <v>729150.00000000198</v>
      </c>
      <c r="D28">
        <v>2916444</v>
      </c>
      <c r="G28">
        <v>26</v>
      </c>
      <c r="H28" t="s">
        <v>69</v>
      </c>
      <c r="I28">
        <v>729150.00000000198</v>
      </c>
      <c r="J28">
        <v>3764203</v>
      </c>
      <c r="K28">
        <v>0</v>
      </c>
      <c r="L28">
        <v>2916444</v>
      </c>
    </row>
    <row r="29" spans="1:12" x14ac:dyDescent="0.35">
      <c r="A29">
        <v>27</v>
      </c>
      <c r="B29" t="s">
        <v>63</v>
      </c>
      <c r="C29">
        <v>729150.00000000198</v>
      </c>
      <c r="D29">
        <v>729150.00000000198</v>
      </c>
      <c r="G29">
        <v>27</v>
      </c>
      <c r="H29" t="s">
        <v>63</v>
      </c>
      <c r="I29">
        <v>729150.00000000198</v>
      </c>
      <c r="J29">
        <v>3764203</v>
      </c>
      <c r="K29">
        <v>59.999999998020897</v>
      </c>
      <c r="L29">
        <v>729150.00000000198</v>
      </c>
    </row>
    <row r="30" spans="1:12" x14ac:dyDescent="0.35">
      <c r="A30">
        <v>28</v>
      </c>
      <c r="B30" t="s">
        <v>919</v>
      </c>
      <c r="C30">
        <v>729200</v>
      </c>
      <c r="D30">
        <v>1458350</v>
      </c>
      <c r="G30">
        <v>28</v>
      </c>
      <c r="H30" t="s">
        <v>919</v>
      </c>
      <c r="I30">
        <v>729200</v>
      </c>
      <c r="J30">
        <v>3764193</v>
      </c>
      <c r="K30">
        <v>68</v>
      </c>
      <c r="L30">
        <v>1458350</v>
      </c>
    </row>
    <row r="31" spans="1:12" x14ac:dyDescent="0.35">
      <c r="A31">
        <v>29</v>
      </c>
      <c r="B31" t="s">
        <v>919</v>
      </c>
      <c r="C31">
        <v>729252</v>
      </c>
      <c r="D31">
        <v>2187602</v>
      </c>
      <c r="G31">
        <v>29</v>
      </c>
      <c r="H31" t="s">
        <v>919</v>
      </c>
      <c r="I31">
        <v>729252</v>
      </c>
      <c r="J31">
        <v>3764177</v>
      </c>
      <c r="K31">
        <v>73.000000001047695</v>
      </c>
      <c r="L31">
        <v>2187602</v>
      </c>
    </row>
    <row r="32" spans="1:12" x14ac:dyDescent="0.35">
      <c r="A32">
        <v>30</v>
      </c>
      <c r="B32" t="s">
        <v>919</v>
      </c>
      <c r="C32">
        <v>729304.00000000105</v>
      </c>
      <c r="D32">
        <v>2916906</v>
      </c>
      <c r="G32">
        <v>30</v>
      </c>
      <c r="H32" t="s">
        <v>919</v>
      </c>
      <c r="I32">
        <v>729304.00000000105</v>
      </c>
      <c r="J32">
        <v>3764156</v>
      </c>
      <c r="K32">
        <v>47.999999998952298</v>
      </c>
      <c r="L32">
        <v>2916906</v>
      </c>
    </row>
    <row r="33" spans="1:12" x14ac:dyDescent="0.35">
      <c r="A33">
        <v>31</v>
      </c>
      <c r="B33" t="s">
        <v>919</v>
      </c>
      <c r="C33">
        <v>729336</v>
      </c>
      <c r="D33">
        <v>3646242</v>
      </c>
      <c r="G33">
        <v>31</v>
      </c>
      <c r="H33" t="s">
        <v>919</v>
      </c>
      <c r="I33">
        <v>729336</v>
      </c>
      <c r="J33">
        <v>3764140</v>
      </c>
      <c r="K33">
        <v>67.000000001047695</v>
      </c>
      <c r="L33">
        <v>3646242</v>
      </c>
    </row>
    <row r="34" spans="1:12" x14ac:dyDescent="0.35">
      <c r="A34">
        <v>32</v>
      </c>
      <c r="B34" t="s">
        <v>919</v>
      </c>
      <c r="C34">
        <v>729378.00000000105</v>
      </c>
      <c r="D34">
        <v>4375620</v>
      </c>
      <c r="G34">
        <v>32</v>
      </c>
      <c r="H34" t="s">
        <v>919</v>
      </c>
      <c r="I34">
        <v>729378.00000000105</v>
      </c>
      <c r="J34">
        <v>3764115</v>
      </c>
      <c r="K34">
        <v>74</v>
      </c>
      <c r="L34">
        <v>4375620</v>
      </c>
    </row>
    <row r="35" spans="1:12" x14ac:dyDescent="0.35">
      <c r="A35">
        <v>33</v>
      </c>
      <c r="B35" t="s">
        <v>919</v>
      </c>
      <c r="C35">
        <v>729422.00000000105</v>
      </c>
      <c r="D35">
        <v>5105042</v>
      </c>
      <c r="G35">
        <v>33</v>
      </c>
      <c r="H35" t="s">
        <v>919</v>
      </c>
      <c r="I35">
        <v>729422.00000000105</v>
      </c>
      <c r="J35">
        <v>3764085</v>
      </c>
      <c r="K35">
        <v>64.999999998952305</v>
      </c>
      <c r="L35">
        <v>5105042</v>
      </c>
    </row>
    <row r="36" spans="1:12" x14ac:dyDescent="0.35">
      <c r="A36">
        <v>34</v>
      </c>
      <c r="B36" t="s">
        <v>69</v>
      </c>
      <c r="C36">
        <v>729459</v>
      </c>
      <c r="D36">
        <v>5834501</v>
      </c>
      <c r="G36">
        <v>34</v>
      </c>
      <c r="H36" t="s">
        <v>69</v>
      </c>
      <c r="I36">
        <v>729459</v>
      </c>
      <c r="J36">
        <v>3764057</v>
      </c>
      <c r="K36">
        <v>0</v>
      </c>
      <c r="L36">
        <v>5834501</v>
      </c>
    </row>
    <row r="37" spans="1:12" x14ac:dyDescent="0.35">
      <c r="A37">
        <v>35</v>
      </c>
      <c r="B37" t="s">
        <v>63</v>
      </c>
      <c r="C37">
        <v>729459</v>
      </c>
      <c r="D37">
        <v>729459</v>
      </c>
      <c r="G37">
        <v>35</v>
      </c>
      <c r="H37" t="s">
        <v>63</v>
      </c>
      <c r="I37">
        <v>729459</v>
      </c>
      <c r="J37">
        <v>3764057</v>
      </c>
      <c r="K37">
        <v>77</v>
      </c>
      <c r="L37">
        <v>729459</v>
      </c>
    </row>
    <row r="38" spans="1:12" x14ac:dyDescent="0.35">
      <c r="A38">
        <v>36</v>
      </c>
      <c r="B38" t="s">
        <v>919</v>
      </c>
      <c r="C38">
        <v>729502</v>
      </c>
      <c r="D38">
        <v>1458961</v>
      </c>
      <c r="G38">
        <v>36</v>
      </c>
      <c r="H38" t="s">
        <v>919</v>
      </c>
      <c r="I38">
        <v>729502</v>
      </c>
      <c r="J38">
        <v>3764023</v>
      </c>
      <c r="K38">
        <v>95.000000001979103</v>
      </c>
      <c r="L38">
        <v>1458961</v>
      </c>
    </row>
    <row r="39" spans="1:12" x14ac:dyDescent="0.35">
      <c r="A39">
        <v>37</v>
      </c>
      <c r="B39" t="s">
        <v>919</v>
      </c>
      <c r="C39">
        <v>729554.00000000198</v>
      </c>
      <c r="D39">
        <v>2188515</v>
      </c>
      <c r="G39">
        <v>37</v>
      </c>
      <c r="H39" t="s">
        <v>919</v>
      </c>
      <c r="I39">
        <v>729554.00000000198</v>
      </c>
      <c r="J39">
        <v>3763980</v>
      </c>
      <c r="K39">
        <v>90.999999996973202</v>
      </c>
      <c r="L39">
        <v>2188515</v>
      </c>
    </row>
    <row r="40" spans="1:12" x14ac:dyDescent="0.35">
      <c r="A40">
        <v>38</v>
      </c>
      <c r="B40" t="s">
        <v>919</v>
      </c>
      <c r="C40">
        <v>729604.99999999895</v>
      </c>
      <c r="D40">
        <v>2918120</v>
      </c>
      <c r="G40">
        <v>38</v>
      </c>
      <c r="H40" t="s">
        <v>919</v>
      </c>
      <c r="I40">
        <v>729604.99999999895</v>
      </c>
      <c r="J40">
        <v>3763940</v>
      </c>
      <c r="K40">
        <v>62.000000001047702</v>
      </c>
      <c r="L40">
        <v>2918120</v>
      </c>
    </row>
    <row r="41" spans="1:12" x14ac:dyDescent="0.35">
      <c r="A41">
        <v>39</v>
      </c>
      <c r="B41" t="s">
        <v>919</v>
      </c>
      <c r="C41">
        <v>729640</v>
      </c>
      <c r="D41">
        <v>3647760</v>
      </c>
      <c r="G41">
        <v>39</v>
      </c>
      <c r="H41" t="s">
        <v>919</v>
      </c>
      <c r="I41">
        <v>729640</v>
      </c>
      <c r="J41">
        <v>3763913</v>
      </c>
      <c r="K41">
        <v>76.000000001047695</v>
      </c>
      <c r="L41">
        <v>3647760</v>
      </c>
    </row>
    <row r="42" spans="1:12" x14ac:dyDescent="0.35">
      <c r="A42">
        <v>40</v>
      </c>
      <c r="B42" t="s">
        <v>919</v>
      </c>
      <c r="C42">
        <v>729683.00000000105</v>
      </c>
      <c r="D42">
        <v>4377443</v>
      </c>
      <c r="G42">
        <v>40</v>
      </c>
      <c r="H42" t="s">
        <v>919</v>
      </c>
      <c r="I42">
        <v>729683.00000000105</v>
      </c>
      <c r="J42">
        <v>3763880</v>
      </c>
      <c r="K42">
        <v>64.999999998952305</v>
      </c>
      <c r="L42">
        <v>4377443</v>
      </c>
    </row>
    <row r="43" spans="1:12" x14ac:dyDescent="0.35">
      <c r="A43">
        <v>41</v>
      </c>
      <c r="B43" t="s">
        <v>69</v>
      </c>
      <c r="C43">
        <v>729720</v>
      </c>
      <c r="D43">
        <v>5107163</v>
      </c>
      <c r="G43">
        <v>41</v>
      </c>
      <c r="H43" t="s">
        <v>69</v>
      </c>
      <c r="I43">
        <v>729720</v>
      </c>
      <c r="J43">
        <v>3763852</v>
      </c>
      <c r="K43">
        <v>0</v>
      </c>
      <c r="L43">
        <v>5107163</v>
      </c>
    </row>
    <row r="44" spans="1:12" x14ac:dyDescent="0.35">
      <c r="A44">
        <v>42</v>
      </c>
      <c r="B44" t="s">
        <v>63</v>
      </c>
      <c r="C44">
        <v>729720</v>
      </c>
      <c r="D44">
        <v>729720</v>
      </c>
      <c r="G44">
        <v>42</v>
      </c>
      <c r="H44" t="s">
        <v>63</v>
      </c>
      <c r="I44">
        <v>729720</v>
      </c>
      <c r="J44">
        <v>3763852</v>
      </c>
      <c r="K44">
        <v>71.000000001047695</v>
      </c>
      <c r="L44">
        <v>729720</v>
      </c>
    </row>
    <row r="45" spans="1:12" x14ac:dyDescent="0.35">
      <c r="A45">
        <v>43</v>
      </c>
      <c r="B45" t="s">
        <v>919</v>
      </c>
      <c r="C45">
        <v>729762.00000000105</v>
      </c>
      <c r="D45">
        <v>1459482</v>
      </c>
      <c r="G45">
        <v>43</v>
      </c>
      <c r="H45" t="s">
        <v>919</v>
      </c>
      <c r="I45">
        <v>729762.00000000105</v>
      </c>
      <c r="J45">
        <v>3763823</v>
      </c>
      <c r="K45">
        <v>52.999999998952298</v>
      </c>
      <c r="L45">
        <v>1459482</v>
      </c>
    </row>
    <row r="46" spans="1:12" x14ac:dyDescent="0.35">
      <c r="A46">
        <v>44</v>
      </c>
      <c r="B46" t="s">
        <v>919</v>
      </c>
      <c r="C46">
        <v>729794</v>
      </c>
      <c r="D46">
        <v>2189276</v>
      </c>
      <c r="G46">
        <v>44</v>
      </c>
      <c r="H46" t="s">
        <v>919</v>
      </c>
      <c r="I46">
        <v>729794</v>
      </c>
      <c r="J46">
        <v>3763802</v>
      </c>
      <c r="K46">
        <v>22.999999998952301</v>
      </c>
      <c r="L46">
        <v>2189276</v>
      </c>
    </row>
    <row r="47" spans="1:12" x14ac:dyDescent="0.35">
      <c r="A47">
        <v>45</v>
      </c>
      <c r="B47" t="s">
        <v>919</v>
      </c>
      <c r="C47">
        <v>729806.99999999895</v>
      </c>
      <c r="D47">
        <v>2919083</v>
      </c>
      <c r="G47">
        <v>45</v>
      </c>
      <c r="H47" t="s">
        <v>919</v>
      </c>
      <c r="I47">
        <v>729806.99999999895</v>
      </c>
      <c r="J47">
        <v>3763792</v>
      </c>
      <c r="K47">
        <v>59.000000001047702</v>
      </c>
      <c r="L47">
        <v>2919083</v>
      </c>
    </row>
    <row r="48" spans="1:12" x14ac:dyDescent="0.35">
      <c r="A48">
        <v>46</v>
      </c>
      <c r="B48" t="s">
        <v>919</v>
      </c>
      <c r="C48">
        <v>729845</v>
      </c>
      <c r="D48">
        <v>3648928</v>
      </c>
      <c r="G48">
        <v>46</v>
      </c>
      <c r="H48" t="s">
        <v>919</v>
      </c>
      <c r="I48">
        <v>729845</v>
      </c>
      <c r="J48">
        <v>3763771</v>
      </c>
      <c r="K48">
        <v>57.000000001047702</v>
      </c>
      <c r="L48">
        <v>3648928</v>
      </c>
    </row>
    <row r="49" spans="1:12" x14ac:dyDescent="0.35">
      <c r="A49">
        <v>47</v>
      </c>
      <c r="B49" t="s">
        <v>69</v>
      </c>
      <c r="C49">
        <v>729882.00000000105</v>
      </c>
      <c r="D49">
        <v>4378810</v>
      </c>
      <c r="G49">
        <v>47</v>
      </c>
      <c r="H49" t="s">
        <v>69</v>
      </c>
      <c r="I49">
        <v>729882.00000000105</v>
      </c>
      <c r="J49">
        <v>3763751</v>
      </c>
      <c r="K49">
        <v>0</v>
      </c>
      <c r="L49">
        <v>4378810</v>
      </c>
    </row>
    <row r="50" spans="1:12" x14ac:dyDescent="0.35">
      <c r="A50">
        <v>48</v>
      </c>
      <c r="B50" t="s">
        <v>63</v>
      </c>
      <c r="C50">
        <v>729882.00000000105</v>
      </c>
      <c r="D50">
        <v>729882.00000000105</v>
      </c>
      <c r="G50">
        <v>48</v>
      </c>
      <c r="H50" t="s">
        <v>63</v>
      </c>
      <c r="I50">
        <v>729882.00000000105</v>
      </c>
      <c r="J50">
        <v>3763751</v>
      </c>
      <c r="K50">
        <v>41.999999997904503</v>
      </c>
      <c r="L50">
        <v>729882.00000000105</v>
      </c>
    </row>
    <row r="51" spans="1:12" x14ac:dyDescent="0.35">
      <c r="A51">
        <v>49</v>
      </c>
      <c r="B51" t="s">
        <v>919</v>
      </c>
      <c r="C51">
        <v>729916.99999999895</v>
      </c>
      <c r="D51">
        <v>1459799</v>
      </c>
      <c r="G51">
        <v>49</v>
      </c>
      <c r="H51" t="s">
        <v>919</v>
      </c>
      <c r="I51">
        <v>729916.99999999895</v>
      </c>
      <c r="J51">
        <v>3763744</v>
      </c>
      <c r="K51">
        <v>51.000000001047702</v>
      </c>
      <c r="L51">
        <v>1459799</v>
      </c>
    </row>
    <row r="52" spans="1:12" x14ac:dyDescent="0.35">
      <c r="A52">
        <v>50</v>
      </c>
      <c r="B52" t="s">
        <v>919</v>
      </c>
      <c r="C52">
        <v>729960</v>
      </c>
      <c r="D52">
        <v>2189759</v>
      </c>
      <c r="G52">
        <v>50</v>
      </c>
      <c r="H52" t="s">
        <v>919</v>
      </c>
      <c r="I52">
        <v>729960</v>
      </c>
      <c r="J52">
        <v>3763736</v>
      </c>
      <c r="K52">
        <v>48.000000001047702</v>
      </c>
      <c r="L52">
        <v>2189759</v>
      </c>
    </row>
    <row r="53" spans="1:12" x14ac:dyDescent="0.35">
      <c r="A53">
        <v>51</v>
      </c>
      <c r="B53" t="s">
        <v>919</v>
      </c>
      <c r="C53">
        <v>730002.00000000105</v>
      </c>
      <c r="D53">
        <v>2919761</v>
      </c>
      <c r="G53">
        <v>51</v>
      </c>
      <c r="H53" t="s">
        <v>919</v>
      </c>
      <c r="I53">
        <v>730002.00000000105</v>
      </c>
      <c r="J53">
        <v>3763730</v>
      </c>
      <c r="K53">
        <v>64.999999998952305</v>
      </c>
      <c r="L53">
        <v>2919761</v>
      </c>
    </row>
    <row r="54" spans="1:12" x14ac:dyDescent="0.35">
      <c r="A54">
        <v>52</v>
      </c>
      <c r="B54" t="s">
        <v>919</v>
      </c>
      <c r="C54">
        <v>730057</v>
      </c>
      <c r="D54">
        <v>3649818</v>
      </c>
      <c r="G54">
        <v>52</v>
      </c>
      <c r="H54" t="s">
        <v>919</v>
      </c>
      <c r="I54">
        <v>730057</v>
      </c>
      <c r="J54">
        <v>3763720</v>
      </c>
      <c r="K54">
        <v>45.000000001047702</v>
      </c>
      <c r="L54">
        <v>3649818</v>
      </c>
    </row>
    <row r="55" spans="1:12" x14ac:dyDescent="0.35">
      <c r="A55">
        <v>53</v>
      </c>
      <c r="B55" t="s">
        <v>919</v>
      </c>
      <c r="C55">
        <v>730097.00000000105</v>
      </c>
      <c r="D55">
        <v>4379915</v>
      </c>
      <c r="G55">
        <v>53</v>
      </c>
      <c r="H55" t="s">
        <v>919</v>
      </c>
      <c r="I55">
        <v>730097.00000000105</v>
      </c>
      <c r="J55">
        <v>3763715</v>
      </c>
      <c r="K55">
        <v>24</v>
      </c>
      <c r="L55">
        <v>4379915</v>
      </c>
    </row>
    <row r="56" spans="1:12" x14ac:dyDescent="0.35">
      <c r="A56">
        <v>54</v>
      </c>
      <c r="B56" t="s">
        <v>69</v>
      </c>
      <c r="C56">
        <v>730117.00000000105</v>
      </c>
      <c r="D56">
        <v>5110032</v>
      </c>
      <c r="G56">
        <v>54</v>
      </c>
      <c r="H56" t="s">
        <v>69</v>
      </c>
      <c r="I56">
        <v>730117.00000000105</v>
      </c>
      <c r="J56">
        <v>3763711</v>
      </c>
      <c r="K56">
        <v>0</v>
      </c>
      <c r="L56">
        <v>5110032</v>
      </c>
    </row>
    <row r="57" spans="1:12" x14ac:dyDescent="0.35">
      <c r="A57">
        <v>55</v>
      </c>
      <c r="B57" t="s">
        <v>63</v>
      </c>
      <c r="C57">
        <v>730117.00000000105</v>
      </c>
      <c r="D57">
        <v>730117.00000000105</v>
      </c>
      <c r="G57">
        <v>55</v>
      </c>
      <c r="H57" t="s">
        <v>63</v>
      </c>
      <c r="I57">
        <v>730117.00000000105</v>
      </c>
      <c r="J57">
        <v>3763711</v>
      </c>
      <c r="K57">
        <v>55.999999998952298</v>
      </c>
      <c r="L57">
        <v>730117.00000000105</v>
      </c>
    </row>
    <row r="58" spans="1:12" x14ac:dyDescent="0.35">
      <c r="A58">
        <v>56</v>
      </c>
      <c r="B58" t="s">
        <v>919</v>
      </c>
      <c r="C58">
        <v>730167</v>
      </c>
      <c r="D58">
        <v>1460284</v>
      </c>
      <c r="G58">
        <v>56</v>
      </c>
      <c r="H58" t="s">
        <v>919</v>
      </c>
      <c r="I58">
        <v>730167</v>
      </c>
      <c r="J58">
        <v>3763705</v>
      </c>
      <c r="K58">
        <v>50.000000001047702</v>
      </c>
      <c r="L58">
        <v>1460284</v>
      </c>
    </row>
    <row r="59" spans="1:12" x14ac:dyDescent="0.35">
      <c r="A59">
        <v>57</v>
      </c>
      <c r="B59" t="s">
        <v>919</v>
      </c>
      <c r="C59">
        <v>730209.00000000105</v>
      </c>
      <c r="D59">
        <v>2190493</v>
      </c>
      <c r="G59">
        <v>57</v>
      </c>
      <c r="H59" t="s">
        <v>919</v>
      </c>
      <c r="I59">
        <v>730209.00000000105</v>
      </c>
      <c r="J59">
        <v>3763697</v>
      </c>
      <c r="K59">
        <v>49.999999998952298</v>
      </c>
      <c r="L59">
        <v>2190493</v>
      </c>
    </row>
    <row r="60" spans="1:12" x14ac:dyDescent="0.35">
      <c r="A60">
        <v>58</v>
      </c>
      <c r="B60" t="s">
        <v>919</v>
      </c>
      <c r="C60">
        <v>730251</v>
      </c>
      <c r="D60">
        <v>2920744</v>
      </c>
      <c r="G60">
        <v>58</v>
      </c>
      <c r="H60" t="s">
        <v>919</v>
      </c>
      <c r="I60">
        <v>730251</v>
      </c>
      <c r="J60">
        <v>3763689</v>
      </c>
      <c r="K60">
        <v>45.000000001047702</v>
      </c>
      <c r="L60">
        <v>2920744</v>
      </c>
    </row>
    <row r="61" spans="1:12" x14ac:dyDescent="0.35">
      <c r="A61">
        <v>59</v>
      </c>
      <c r="B61" t="s">
        <v>919</v>
      </c>
      <c r="C61">
        <v>730291.00000000105</v>
      </c>
      <c r="D61">
        <v>3651035</v>
      </c>
      <c r="G61">
        <v>59</v>
      </c>
      <c r="H61" t="s">
        <v>919</v>
      </c>
      <c r="I61">
        <v>730291.00000000105</v>
      </c>
      <c r="J61">
        <v>3763684</v>
      </c>
      <c r="K61">
        <v>64</v>
      </c>
      <c r="L61">
        <v>3651035</v>
      </c>
    </row>
    <row r="62" spans="1:12" x14ac:dyDescent="0.35">
      <c r="A62">
        <v>60</v>
      </c>
      <c r="B62" t="s">
        <v>919</v>
      </c>
      <c r="C62">
        <v>730345.00000000105</v>
      </c>
      <c r="D62">
        <v>4381380</v>
      </c>
      <c r="G62">
        <v>60</v>
      </c>
      <c r="H62" t="s">
        <v>919</v>
      </c>
      <c r="I62">
        <v>730345.00000000105</v>
      </c>
      <c r="J62">
        <v>3763674</v>
      </c>
      <c r="K62">
        <v>49.999999998952298</v>
      </c>
      <c r="L62">
        <v>4381380</v>
      </c>
    </row>
    <row r="63" spans="1:12" x14ac:dyDescent="0.35">
      <c r="A63">
        <v>61</v>
      </c>
      <c r="B63" t="s">
        <v>919</v>
      </c>
      <c r="C63">
        <v>730389</v>
      </c>
      <c r="D63">
        <v>5111769</v>
      </c>
      <c r="G63">
        <v>61</v>
      </c>
      <c r="H63" t="s">
        <v>919</v>
      </c>
      <c r="I63">
        <v>730389</v>
      </c>
      <c r="J63">
        <v>3763668</v>
      </c>
      <c r="K63">
        <v>33</v>
      </c>
      <c r="L63">
        <v>5111769</v>
      </c>
    </row>
    <row r="64" spans="1:12" x14ac:dyDescent="0.35">
      <c r="A64">
        <v>62</v>
      </c>
      <c r="B64" t="s">
        <v>919</v>
      </c>
      <c r="C64">
        <v>730418</v>
      </c>
      <c r="D64">
        <v>5842187</v>
      </c>
      <c r="G64">
        <v>62</v>
      </c>
      <c r="H64" t="s">
        <v>919</v>
      </c>
      <c r="I64">
        <v>730418</v>
      </c>
      <c r="J64">
        <v>3763664</v>
      </c>
      <c r="K64">
        <v>23.000000001047699</v>
      </c>
      <c r="L64">
        <v>5842187</v>
      </c>
    </row>
    <row r="65" spans="1:12" x14ac:dyDescent="0.35">
      <c r="A65">
        <v>63</v>
      </c>
      <c r="B65" t="s">
        <v>919</v>
      </c>
      <c r="C65">
        <v>730437.00000000105</v>
      </c>
      <c r="D65">
        <v>6572624</v>
      </c>
      <c r="G65">
        <v>63</v>
      </c>
      <c r="H65" t="s">
        <v>919</v>
      </c>
      <c r="I65">
        <v>730437.00000000105</v>
      </c>
      <c r="J65">
        <v>3763660</v>
      </c>
      <c r="K65">
        <v>60.000000000931301</v>
      </c>
      <c r="L65">
        <v>6572624</v>
      </c>
    </row>
    <row r="66" spans="1:12" x14ac:dyDescent="0.35">
      <c r="A66">
        <v>64</v>
      </c>
      <c r="B66" t="s">
        <v>919</v>
      </c>
      <c r="C66">
        <v>730490.00000000198</v>
      </c>
      <c r="D66">
        <v>7303114.0000000102</v>
      </c>
      <c r="G66">
        <v>64</v>
      </c>
      <c r="H66" t="s">
        <v>919</v>
      </c>
      <c r="I66">
        <v>730490.00000000198</v>
      </c>
      <c r="J66">
        <v>3763653</v>
      </c>
      <c r="K66">
        <v>49</v>
      </c>
      <c r="L66">
        <v>7303114.0000000102</v>
      </c>
    </row>
    <row r="67" spans="1:12" x14ac:dyDescent="0.35">
      <c r="A67">
        <v>65</v>
      </c>
      <c r="B67" t="s">
        <v>919</v>
      </c>
      <c r="C67">
        <v>730531.00000000198</v>
      </c>
      <c r="D67">
        <v>8033645.0000000102</v>
      </c>
      <c r="G67">
        <v>65</v>
      </c>
      <c r="H67" t="s">
        <v>919</v>
      </c>
      <c r="I67">
        <v>730531.00000000198</v>
      </c>
      <c r="J67">
        <v>3763645</v>
      </c>
      <c r="K67">
        <v>46.999999998020897</v>
      </c>
      <c r="L67">
        <v>8033645.0000000102</v>
      </c>
    </row>
    <row r="68" spans="1:12" x14ac:dyDescent="0.35">
      <c r="A68">
        <v>66</v>
      </c>
      <c r="B68" t="s">
        <v>69</v>
      </c>
      <c r="C68">
        <v>730574</v>
      </c>
      <c r="D68">
        <v>8764219.0000000093</v>
      </c>
      <c r="G68">
        <v>66</v>
      </c>
      <c r="H68" t="s">
        <v>69</v>
      </c>
      <c r="I68">
        <v>730574</v>
      </c>
      <c r="J68">
        <v>3763641</v>
      </c>
      <c r="K68">
        <v>0</v>
      </c>
      <c r="L68">
        <v>8764219.0000000093</v>
      </c>
    </row>
    <row r="69" spans="1:12" x14ac:dyDescent="0.35">
      <c r="A69">
        <v>67</v>
      </c>
      <c r="B69" t="s">
        <v>63</v>
      </c>
      <c r="C69">
        <v>730574</v>
      </c>
      <c r="D69">
        <v>730574</v>
      </c>
      <c r="G69">
        <v>67</v>
      </c>
      <c r="H69" t="s">
        <v>63</v>
      </c>
      <c r="I69">
        <v>730574</v>
      </c>
      <c r="J69">
        <v>3763641</v>
      </c>
      <c r="K69">
        <v>60</v>
      </c>
      <c r="L69">
        <v>730574</v>
      </c>
    </row>
    <row r="70" spans="1:12" x14ac:dyDescent="0.35">
      <c r="A70">
        <v>68</v>
      </c>
      <c r="B70" t="s">
        <v>919</v>
      </c>
      <c r="C70">
        <v>730617</v>
      </c>
      <c r="D70">
        <v>1461191</v>
      </c>
      <c r="G70">
        <v>68</v>
      </c>
      <c r="H70" t="s">
        <v>919</v>
      </c>
      <c r="I70">
        <v>730617</v>
      </c>
      <c r="J70">
        <v>3763624</v>
      </c>
      <c r="K70">
        <v>61</v>
      </c>
      <c r="L70">
        <v>1461191</v>
      </c>
    </row>
    <row r="71" spans="1:12" x14ac:dyDescent="0.35">
      <c r="A71">
        <v>69</v>
      </c>
      <c r="B71" t="s">
        <v>69</v>
      </c>
      <c r="C71">
        <v>730655</v>
      </c>
      <c r="D71">
        <v>2191846</v>
      </c>
      <c r="G71">
        <v>69</v>
      </c>
      <c r="H71" t="s">
        <v>69</v>
      </c>
      <c r="I71">
        <v>730655</v>
      </c>
      <c r="J71">
        <v>3763601</v>
      </c>
      <c r="K71">
        <v>0</v>
      </c>
      <c r="L71">
        <v>2191846</v>
      </c>
    </row>
    <row r="72" spans="1:12" x14ac:dyDescent="0.35">
      <c r="A72">
        <v>70</v>
      </c>
      <c r="B72" t="s">
        <v>63</v>
      </c>
      <c r="C72">
        <v>730655</v>
      </c>
      <c r="D72">
        <v>730655</v>
      </c>
      <c r="G72">
        <v>70</v>
      </c>
      <c r="H72" t="s">
        <v>63</v>
      </c>
      <c r="I72">
        <v>730655</v>
      </c>
      <c r="J72">
        <v>3763601</v>
      </c>
      <c r="K72">
        <v>65.000000001979103</v>
      </c>
      <c r="L72">
        <v>730655</v>
      </c>
    </row>
    <row r="73" spans="1:12" x14ac:dyDescent="0.35">
      <c r="A73">
        <v>71</v>
      </c>
      <c r="B73" t="s">
        <v>919</v>
      </c>
      <c r="C73">
        <v>730687.00000000198</v>
      </c>
      <c r="D73">
        <v>1461342</v>
      </c>
      <c r="G73">
        <v>71</v>
      </c>
      <c r="H73" t="s">
        <v>919</v>
      </c>
      <c r="I73">
        <v>730687.00000000198</v>
      </c>
      <c r="J73">
        <v>3763568</v>
      </c>
      <c r="K73">
        <v>63.999999999068699</v>
      </c>
      <c r="L73">
        <v>1461342</v>
      </c>
    </row>
    <row r="74" spans="1:12" x14ac:dyDescent="0.35">
      <c r="A74">
        <v>72</v>
      </c>
      <c r="B74" t="s">
        <v>919</v>
      </c>
      <c r="C74">
        <v>730713.00000000105</v>
      </c>
      <c r="D74">
        <v>2192055</v>
      </c>
      <c r="G74">
        <v>72</v>
      </c>
      <c r="H74" t="s">
        <v>919</v>
      </c>
      <c r="I74">
        <v>730713.00000000105</v>
      </c>
      <c r="J74">
        <v>3763530</v>
      </c>
      <c r="K74">
        <v>63</v>
      </c>
      <c r="L74">
        <v>2192055</v>
      </c>
    </row>
    <row r="75" spans="1:12" x14ac:dyDescent="0.35">
      <c r="A75">
        <v>73</v>
      </c>
      <c r="B75" t="s">
        <v>919</v>
      </c>
      <c r="C75">
        <v>730734.00000000105</v>
      </c>
      <c r="D75">
        <v>2922789</v>
      </c>
      <c r="G75">
        <v>73</v>
      </c>
      <c r="H75" t="s">
        <v>919</v>
      </c>
      <c r="I75">
        <v>730734.00000000105</v>
      </c>
      <c r="J75">
        <v>3763488</v>
      </c>
      <c r="K75">
        <v>54.999999998952298</v>
      </c>
      <c r="L75">
        <v>2922789</v>
      </c>
    </row>
    <row r="76" spans="1:12" x14ac:dyDescent="0.35">
      <c r="A76">
        <v>74</v>
      </c>
      <c r="B76" t="s">
        <v>919</v>
      </c>
      <c r="C76">
        <v>730758</v>
      </c>
      <c r="D76">
        <v>3653547</v>
      </c>
      <c r="G76">
        <v>74</v>
      </c>
      <c r="H76" t="s">
        <v>919</v>
      </c>
      <c r="I76">
        <v>730758</v>
      </c>
      <c r="J76">
        <v>3763457</v>
      </c>
      <c r="K76">
        <v>63.000000001047702</v>
      </c>
      <c r="L76">
        <v>3653547</v>
      </c>
    </row>
    <row r="77" spans="1:12" x14ac:dyDescent="0.35">
      <c r="A77">
        <v>75</v>
      </c>
      <c r="B77" t="s">
        <v>919</v>
      </c>
      <c r="C77">
        <v>730780.00000000105</v>
      </c>
      <c r="D77">
        <v>4384327</v>
      </c>
      <c r="G77">
        <v>75</v>
      </c>
      <c r="H77" t="s">
        <v>919</v>
      </c>
      <c r="I77">
        <v>730780.00000000105</v>
      </c>
      <c r="J77">
        <v>3763416</v>
      </c>
      <c r="K77">
        <v>78.000000000931294</v>
      </c>
      <c r="L77">
        <v>4384327</v>
      </c>
    </row>
    <row r="78" spans="1:12" x14ac:dyDescent="0.35">
      <c r="A78">
        <v>76</v>
      </c>
      <c r="B78" t="s">
        <v>919</v>
      </c>
      <c r="C78">
        <v>730807.00000000198</v>
      </c>
      <c r="D78">
        <v>5115134.0000000102</v>
      </c>
      <c r="G78">
        <v>76</v>
      </c>
      <c r="H78" t="s">
        <v>919</v>
      </c>
      <c r="I78">
        <v>730807.00000000198</v>
      </c>
      <c r="J78">
        <v>3763365</v>
      </c>
      <c r="K78">
        <v>59.999999999068699</v>
      </c>
      <c r="L78">
        <v>5115134.0000000102</v>
      </c>
    </row>
    <row r="79" spans="1:12" x14ac:dyDescent="0.35">
      <c r="A79">
        <v>77</v>
      </c>
      <c r="B79" t="s">
        <v>69</v>
      </c>
      <c r="C79">
        <v>730826.00000000105</v>
      </c>
      <c r="D79">
        <v>5845960.0000000102</v>
      </c>
      <c r="G79">
        <v>77</v>
      </c>
      <c r="H79" t="s">
        <v>69</v>
      </c>
      <c r="I79">
        <v>730826.00000000105</v>
      </c>
      <c r="J79">
        <v>3763324</v>
      </c>
      <c r="K79">
        <v>0</v>
      </c>
      <c r="L79">
        <v>5845960.0000000102</v>
      </c>
    </row>
    <row r="80" spans="1:12" x14ac:dyDescent="0.35">
      <c r="A80">
        <v>78</v>
      </c>
      <c r="B80" t="s">
        <v>63</v>
      </c>
      <c r="C80">
        <v>730826.00000000105</v>
      </c>
      <c r="D80">
        <v>730826.00000000105</v>
      </c>
      <c r="G80">
        <v>78</v>
      </c>
      <c r="H80" t="s">
        <v>63</v>
      </c>
      <c r="I80">
        <v>730826.00000000105</v>
      </c>
      <c r="J80">
        <v>3763324</v>
      </c>
      <c r="K80">
        <v>62.999999998952298</v>
      </c>
      <c r="L80">
        <v>730826.00000000105</v>
      </c>
    </row>
    <row r="81" spans="1:12" x14ac:dyDescent="0.35">
      <c r="A81">
        <v>79</v>
      </c>
      <c r="B81" t="s">
        <v>919</v>
      </c>
      <c r="C81">
        <v>730850</v>
      </c>
      <c r="D81">
        <v>1461676</v>
      </c>
      <c r="G81">
        <v>79</v>
      </c>
      <c r="H81" t="s">
        <v>919</v>
      </c>
      <c r="I81">
        <v>730850</v>
      </c>
      <c r="J81">
        <v>3763285</v>
      </c>
      <c r="K81">
        <v>59.000000001047702</v>
      </c>
      <c r="L81">
        <v>1461676</v>
      </c>
    </row>
    <row r="82" spans="1:12" x14ac:dyDescent="0.35">
      <c r="A82">
        <v>80</v>
      </c>
      <c r="B82" t="s">
        <v>919</v>
      </c>
      <c r="C82">
        <v>730867.00000000105</v>
      </c>
      <c r="D82">
        <v>2192543</v>
      </c>
      <c r="G82">
        <v>80</v>
      </c>
      <c r="H82" t="s">
        <v>919</v>
      </c>
      <c r="I82">
        <v>730867.00000000105</v>
      </c>
      <c r="J82">
        <v>3763243</v>
      </c>
      <c r="K82">
        <v>86</v>
      </c>
      <c r="L82">
        <v>2192543</v>
      </c>
    </row>
    <row r="83" spans="1:12" x14ac:dyDescent="0.35">
      <c r="A83">
        <v>81</v>
      </c>
      <c r="B83" t="s">
        <v>919</v>
      </c>
      <c r="C83">
        <v>730897.00000000105</v>
      </c>
      <c r="D83">
        <v>2923440</v>
      </c>
      <c r="G83">
        <v>81</v>
      </c>
      <c r="H83" t="s">
        <v>919</v>
      </c>
      <c r="I83">
        <v>730897.00000000105</v>
      </c>
      <c r="J83">
        <v>3763187</v>
      </c>
      <c r="K83">
        <v>79.999999998952305</v>
      </c>
      <c r="L83">
        <v>2923440</v>
      </c>
    </row>
    <row r="84" spans="1:12" x14ac:dyDescent="0.35">
      <c r="A84">
        <v>82</v>
      </c>
      <c r="B84" t="s">
        <v>69</v>
      </c>
      <c r="C84">
        <v>730903</v>
      </c>
      <c r="D84">
        <v>3654343</v>
      </c>
      <c r="G84">
        <v>82</v>
      </c>
      <c r="H84" t="s">
        <v>69</v>
      </c>
      <c r="I84">
        <v>730903</v>
      </c>
      <c r="J84">
        <v>3763113</v>
      </c>
      <c r="K84">
        <v>0</v>
      </c>
      <c r="L84">
        <v>3654343</v>
      </c>
    </row>
    <row r="85" spans="1:12" x14ac:dyDescent="0.35">
      <c r="A85">
        <v>83</v>
      </c>
      <c r="B85" t="s">
        <v>63</v>
      </c>
      <c r="C85">
        <v>730903</v>
      </c>
      <c r="D85">
        <v>730903</v>
      </c>
      <c r="G85">
        <v>83</v>
      </c>
      <c r="H85" t="s">
        <v>63</v>
      </c>
      <c r="I85">
        <v>730903</v>
      </c>
      <c r="J85">
        <v>3763113</v>
      </c>
      <c r="K85">
        <v>1.9999999989522601</v>
      </c>
      <c r="L85">
        <v>730903</v>
      </c>
    </row>
    <row r="86" spans="1:12" x14ac:dyDescent="0.35">
      <c r="A86">
        <v>84</v>
      </c>
      <c r="B86" t="s">
        <v>69</v>
      </c>
      <c r="C86">
        <v>730902.00000000105</v>
      </c>
      <c r="D86">
        <v>1461805</v>
      </c>
      <c r="G86">
        <v>84</v>
      </c>
      <c r="H86" t="s">
        <v>69</v>
      </c>
      <c r="I86">
        <v>730902.00000000105</v>
      </c>
      <c r="J86">
        <v>3763112</v>
      </c>
      <c r="K86">
        <v>0</v>
      </c>
      <c r="L86">
        <v>1461805</v>
      </c>
    </row>
    <row r="87" spans="1:12" x14ac:dyDescent="0.35">
      <c r="A87">
        <v>85</v>
      </c>
      <c r="B87" t="s">
        <v>63</v>
      </c>
      <c r="C87">
        <v>730902.00000000105</v>
      </c>
      <c r="D87">
        <v>730902.00000000105</v>
      </c>
      <c r="G87">
        <v>85</v>
      </c>
      <c r="H87" t="s">
        <v>63</v>
      </c>
      <c r="I87">
        <v>730902.00000000105</v>
      </c>
      <c r="J87">
        <v>3763112</v>
      </c>
      <c r="K87">
        <v>1.0000000010477399</v>
      </c>
      <c r="L87">
        <v>730902.00000000105</v>
      </c>
    </row>
    <row r="88" spans="1:12" x14ac:dyDescent="0.35">
      <c r="A88">
        <v>86</v>
      </c>
      <c r="B88" t="s">
        <v>69</v>
      </c>
      <c r="C88">
        <v>730901</v>
      </c>
      <c r="D88">
        <v>1461803</v>
      </c>
      <c r="G88">
        <v>86</v>
      </c>
      <c r="H88" t="s">
        <v>69</v>
      </c>
      <c r="I88">
        <v>730901</v>
      </c>
      <c r="J88">
        <v>3763112</v>
      </c>
      <c r="K88">
        <v>3</v>
      </c>
      <c r="L88">
        <v>1461803</v>
      </c>
    </row>
    <row r="89" spans="1:12" x14ac:dyDescent="0.35">
      <c r="A89">
        <v>87</v>
      </c>
      <c r="B89" t="s">
        <v>63</v>
      </c>
      <c r="C89">
        <v>730903</v>
      </c>
      <c r="D89">
        <v>730903</v>
      </c>
      <c r="G89">
        <v>87</v>
      </c>
      <c r="H89" t="s">
        <v>63</v>
      </c>
      <c r="I89">
        <v>730903</v>
      </c>
      <c r="J89">
        <v>3763113</v>
      </c>
      <c r="K89">
        <v>74.999999998952305</v>
      </c>
      <c r="L89">
        <v>730903</v>
      </c>
    </row>
    <row r="90" spans="1:12" x14ac:dyDescent="0.35">
      <c r="A90">
        <v>88</v>
      </c>
      <c r="B90" t="s">
        <v>69</v>
      </c>
      <c r="C90">
        <v>730877.00000000105</v>
      </c>
      <c r="D90">
        <v>1461780</v>
      </c>
      <c r="G90">
        <v>88</v>
      </c>
      <c r="H90" t="s">
        <v>69</v>
      </c>
      <c r="I90">
        <v>730877.00000000105</v>
      </c>
      <c r="J90">
        <v>3763162</v>
      </c>
      <c r="K90">
        <v>0</v>
      </c>
      <c r="L90">
        <v>1461780</v>
      </c>
    </row>
    <row r="91" spans="1:12" x14ac:dyDescent="0.35">
      <c r="A91">
        <v>89</v>
      </c>
      <c r="B91" t="s">
        <v>63</v>
      </c>
      <c r="C91">
        <v>730877.00000000105</v>
      </c>
      <c r="D91">
        <v>730877.00000000105</v>
      </c>
      <c r="G91">
        <v>89</v>
      </c>
      <c r="H91" t="s">
        <v>63</v>
      </c>
      <c r="I91">
        <v>730877.00000000105</v>
      </c>
      <c r="J91">
        <v>3763162</v>
      </c>
      <c r="K91">
        <v>1.9999999990686801</v>
      </c>
      <c r="L91">
        <v>730877.00000000105</v>
      </c>
    </row>
    <row r="92" spans="1:12" x14ac:dyDescent="0.35">
      <c r="A92">
        <v>90</v>
      </c>
      <c r="B92" t="s">
        <v>69</v>
      </c>
      <c r="C92">
        <v>730876.00000000198</v>
      </c>
      <c r="D92">
        <v>1461753</v>
      </c>
      <c r="G92">
        <v>90</v>
      </c>
      <c r="H92" t="s">
        <v>69</v>
      </c>
      <c r="I92">
        <v>730876.00000000198</v>
      </c>
      <c r="J92">
        <v>3763163</v>
      </c>
      <c r="K92">
        <v>0</v>
      </c>
      <c r="L92">
        <v>1461753</v>
      </c>
    </row>
    <row r="93" spans="1:12" x14ac:dyDescent="0.35">
      <c r="A93">
        <v>91</v>
      </c>
      <c r="B93" t="s">
        <v>63</v>
      </c>
      <c r="C93">
        <v>730876.00000000198</v>
      </c>
      <c r="D93">
        <v>730876.00000000198</v>
      </c>
      <c r="G93">
        <v>91</v>
      </c>
      <c r="H93" t="s">
        <v>63</v>
      </c>
      <c r="I93">
        <v>730876.00000000198</v>
      </c>
      <c r="J93">
        <v>3763163</v>
      </c>
      <c r="K93">
        <v>3.00000000197906</v>
      </c>
      <c r="L93">
        <v>730876.00000000198</v>
      </c>
    </row>
    <row r="94" spans="1:12" x14ac:dyDescent="0.35">
      <c r="A94">
        <v>92</v>
      </c>
      <c r="B94" t="s">
        <v>69</v>
      </c>
      <c r="C94">
        <v>730875</v>
      </c>
      <c r="D94">
        <v>1461751</v>
      </c>
      <c r="G94">
        <v>92</v>
      </c>
      <c r="H94" t="s">
        <v>69</v>
      </c>
      <c r="I94">
        <v>730875</v>
      </c>
      <c r="J94">
        <v>3763165</v>
      </c>
      <c r="K94">
        <v>80</v>
      </c>
      <c r="L94">
        <v>1461751</v>
      </c>
    </row>
    <row r="95" spans="1:12" x14ac:dyDescent="0.35">
      <c r="A95">
        <v>93</v>
      </c>
      <c r="B95" t="s">
        <v>63</v>
      </c>
      <c r="C95">
        <v>730903</v>
      </c>
      <c r="D95">
        <v>730903</v>
      </c>
      <c r="G95">
        <v>93</v>
      </c>
      <c r="H95" t="s">
        <v>63</v>
      </c>
      <c r="I95">
        <v>730903</v>
      </c>
      <c r="J95">
        <v>3763113</v>
      </c>
      <c r="K95">
        <v>21.9999999980209</v>
      </c>
      <c r="L95">
        <v>730903</v>
      </c>
    </row>
    <row r="96" spans="1:12" x14ac:dyDescent="0.35">
      <c r="A96">
        <v>94</v>
      </c>
      <c r="B96" t="s">
        <v>69</v>
      </c>
      <c r="C96">
        <v>730889.00000000198</v>
      </c>
      <c r="D96">
        <v>1461792</v>
      </c>
      <c r="G96">
        <v>94</v>
      </c>
      <c r="H96" t="s">
        <v>69</v>
      </c>
      <c r="I96">
        <v>730889.00000000198</v>
      </c>
      <c r="J96">
        <v>3763105</v>
      </c>
      <c r="K96">
        <v>0</v>
      </c>
      <c r="L96">
        <v>1461792</v>
      </c>
    </row>
    <row r="97" spans="1:12" x14ac:dyDescent="0.35">
      <c r="A97">
        <v>95</v>
      </c>
      <c r="B97" t="s">
        <v>63</v>
      </c>
      <c r="C97">
        <v>730889.00000000198</v>
      </c>
      <c r="D97">
        <v>730889.00000000198</v>
      </c>
      <c r="G97">
        <v>95</v>
      </c>
      <c r="H97" t="s">
        <v>63</v>
      </c>
      <c r="I97">
        <v>730889.00000000198</v>
      </c>
      <c r="J97">
        <v>3763105</v>
      </c>
      <c r="K97">
        <v>52.000000001979103</v>
      </c>
      <c r="L97">
        <v>730889.00000000198</v>
      </c>
    </row>
    <row r="98" spans="1:12" x14ac:dyDescent="0.35">
      <c r="A98">
        <v>96</v>
      </c>
      <c r="B98" t="s">
        <v>919</v>
      </c>
      <c r="C98">
        <v>730860</v>
      </c>
      <c r="D98">
        <v>1461749</v>
      </c>
      <c r="G98">
        <v>96</v>
      </c>
      <c r="H98" t="s">
        <v>919</v>
      </c>
      <c r="I98">
        <v>730860</v>
      </c>
      <c r="J98">
        <v>3763128</v>
      </c>
      <c r="K98">
        <v>66.999999998020897</v>
      </c>
      <c r="L98">
        <v>1461749</v>
      </c>
    </row>
    <row r="99" spans="1:12" x14ac:dyDescent="0.35">
      <c r="A99">
        <v>97</v>
      </c>
      <c r="B99" t="s">
        <v>69</v>
      </c>
      <c r="C99">
        <v>730825.00000000198</v>
      </c>
      <c r="D99">
        <v>2192574</v>
      </c>
      <c r="G99">
        <v>97</v>
      </c>
      <c r="H99" t="s">
        <v>69</v>
      </c>
      <c r="I99">
        <v>730825.00000000198</v>
      </c>
      <c r="J99">
        <v>3763160</v>
      </c>
      <c r="K99">
        <v>0</v>
      </c>
      <c r="L99">
        <v>2192574</v>
      </c>
    </row>
    <row r="100" spans="1:12" x14ac:dyDescent="0.35">
      <c r="A100">
        <v>98</v>
      </c>
      <c r="B100" t="s">
        <v>63</v>
      </c>
      <c r="C100">
        <v>730825.00000000198</v>
      </c>
      <c r="D100">
        <v>730825.00000000198</v>
      </c>
      <c r="G100">
        <v>98</v>
      </c>
      <c r="H100" t="s">
        <v>63</v>
      </c>
      <c r="I100">
        <v>730825.00000000198</v>
      </c>
      <c r="J100">
        <v>3763160</v>
      </c>
      <c r="K100">
        <v>2</v>
      </c>
      <c r="L100">
        <v>730825.00000000198</v>
      </c>
    </row>
    <row r="101" spans="1:12" x14ac:dyDescent="0.35">
      <c r="A101">
        <v>99</v>
      </c>
      <c r="B101" t="s">
        <v>69</v>
      </c>
      <c r="C101">
        <v>730825.00000000198</v>
      </c>
      <c r="D101">
        <v>1461650</v>
      </c>
      <c r="G101">
        <v>99</v>
      </c>
      <c r="H101" t="s">
        <v>69</v>
      </c>
      <c r="I101">
        <v>730825.00000000198</v>
      </c>
      <c r="J101">
        <v>3763158</v>
      </c>
      <c r="K101">
        <v>0</v>
      </c>
      <c r="L101">
        <v>1461650</v>
      </c>
    </row>
    <row r="102" spans="1:12" x14ac:dyDescent="0.35">
      <c r="A102">
        <v>100</v>
      </c>
      <c r="B102" t="s">
        <v>63</v>
      </c>
      <c r="C102">
        <v>730825.00000000198</v>
      </c>
      <c r="D102">
        <v>730825.00000000198</v>
      </c>
      <c r="G102">
        <v>100</v>
      </c>
      <c r="H102" t="s">
        <v>63</v>
      </c>
      <c r="I102">
        <v>730825.00000000198</v>
      </c>
      <c r="J102">
        <v>3763158</v>
      </c>
      <c r="K102">
        <v>1.9999999990686801</v>
      </c>
      <c r="L102">
        <v>730825.00000000198</v>
      </c>
    </row>
    <row r="103" spans="1:12" x14ac:dyDescent="0.35">
      <c r="A103">
        <v>101</v>
      </c>
      <c r="B103" t="s">
        <v>69</v>
      </c>
      <c r="C103">
        <v>730826.00000000105</v>
      </c>
      <c r="D103">
        <v>1461651</v>
      </c>
      <c r="G103">
        <v>101</v>
      </c>
      <c r="H103" t="s">
        <v>69</v>
      </c>
      <c r="I103">
        <v>730826.00000000105</v>
      </c>
      <c r="J103">
        <v>3763157</v>
      </c>
      <c r="K103">
        <v>115.000000000931</v>
      </c>
      <c r="L103">
        <v>1461651</v>
      </c>
    </row>
    <row r="104" spans="1:12" x14ac:dyDescent="0.35">
      <c r="A104">
        <v>102</v>
      </c>
      <c r="B104" t="s">
        <v>63</v>
      </c>
      <c r="C104">
        <v>730889.00000000198</v>
      </c>
      <c r="D104">
        <v>730889.00000000198</v>
      </c>
      <c r="G104">
        <v>102</v>
      </c>
      <c r="H104" t="s">
        <v>63</v>
      </c>
      <c r="I104">
        <v>730889.00000000198</v>
      </c>
      <c r="J104">
        <v>3763105</v>
      </c>
      <c r="K104">
        <v>50.000000000931301</v>
      </c>
      <c r="L104">
        <v>730889.00000000198</v>
      </c>
    </row>
    <row r="105" spans="1:12" x14ac:dyDescent="0.35">
      <c r="A105">
        <v>103</v>
      </c>
      <c r="B105" t="s">
        <v>919</v>
      </c>
      <c r="C105">
        <v>730872.00000000105</v>
      </c>
      <c r="D105">
        <v>1461761</v>
      </c>
      <c r="G105">
        <v>103</v>
      </c>
      <c r="H105" t="s">
        <v>919</v>
      </c>
      <c r="I105">
        <v>730872.00000000105</v>
      </c>
      <c r="J105">
        <v>3763072</v>
      </c>
      <c r="K105">
        <v>12</v>
      </c>
      <c r="L105">
        <v>1461761</v>
      </c>
    </row>
    <row r="106" spans="1:12" x14ac:dyDescent="0.35">
      <c r="A106">
        <v>104</v>
      </c>
      <c r="B106" t="s">
        <v>69</v>
      </c>
      <c r="C106">
        <v>730867.00000000105</v>
      </c>
      <c r="D106">
        <v>2192628</v>
      </c>
      <c r="G106">
        <v>104</v>
      </c>
      <c r="H106" t="s">
        <v>69</v>
      </c>
      <c r="I106">
        <v>730867.00000000105</v>
      </c>
      <c r="J106">
        <v>3763065</v>
      </c>
      <c r="K106">
        <v>0</v>
      </c>
      <c r="L106">
        <v>2192628</v>
      </c>
    </row>
    <row r="107" spans="1:12" x14ac:dyDescent="0.35">
      <c r="A107">
        <v>105</v>
      </c>
      <c r="B107" t="s">
        <v>63</v>
      </c>
      <c r="C107">
        <v>730867.00000000105</v>
      </c>
      <c r="D107">
        <v>730867.00000000105</v>
      </c>
      <c r="G107">
        <v>105</v>
      </c>
      <c r="H107" t="s">
        <v>63</v>
      </c>
      <c r="I107">
        <v>730867.00000000105</v>
      </c>
      <c r="J107">
        <v>3763065</v>
      </c>
      <c r="K107">
        <v>0.99999999895226199</v>
      </c>
      <c r="L107">
        <v>730867.00000000105</v>
      </c>
    </row>
    <row r="108" spans="1:12" x14ac:dyDescent="0.35">
      <c r="A108">
        <v>106</v>
      </c>
      <c r="B108" t="s">
        <v>69</v>
      </c>
      <c r="C108">
        <v>730868</v>
      </c>
      <c r="D108">
        <v>1461735</v>
      </c>
      <c r="G108">
        <v>106</v>
      </c>
      <c r="H108" t="s">
        <v>69</v>
      </c>
      <c r="I108">
        <v>730868</v>
      </c>
      <c r="J108">
        <v>3763065</v>
      </c>
      <c r="K108">
        <v>0</v>
      </c>
      <c r="L108">
        <v>1461735</v>
      </c>
    </row>
    <row r="109" spans="1:12" x14ac:dyDescent="0.35">
      <c r="A109">
        <v>107</v>
      </c>
      <c r="B109" t="s">
        <v>63</v>
      </c>
      <c r="C109">
        <v>730868</v>
      </c>
      <c r="D109">
        <v>730868</v>
      </c>
      <c r="G109">
        <v>107</v>
      </c>
      <c r="H109" t="s">
        <v>63</v>
      </c>
      <c r="I109">
        <v>730868</v>
      </c>
      <c r="J109">
        <v>3763065</v>
      </c>
      <c r="K109">
        <v>2</v>
      </c>
      <c r="L109">
        <v>730868</v>
      </c>
    </row>
    <row r="110" spans="1:12" x14ac:dyDescent="0.35">
      <c r="A110">
        <v>108</v>
      </c>
      <c r="B110" t="s">
        <v>69</v>
      </c>
      <c r="C110">
        <v>730870</v>
      </c>
      <c r="D110">
        <v>1461738</v>
      </c>
      <c r="G110">
        <v>108</v>
      </c>
      <c r="H110" t="s">
        <v>69</v>
      </c>
      <c r="I110">
        <v>730870</v>
      </c>
      <c r="J110">
        <v>3763065</v>
      </c>
      <c r="K110">
        <v>2.9999999989522599</v>
      </c>
      <c r="L110">
        <v>1461738</v>
      </c>
    </row>
    <row r="111" spans="1:12" x14ac:dyDescent="0.35">
      <c r="A111">
        <v>109</v>
      </c>
      <c r="B111" t="s">
        <v>63</v>
      </c>
      <c r="C111">
        <v>730867.00000000105</v>
      </c>
      <c r="D111">
        <v>730867.00000000105</v>
      </c>
      <c r="G111">
        <v>109</v>
      </c>
      <c r="H111" t="s">
        <v>63</v>
      </c>
      <c r="I111">
        <v>730867.00000000105</v>
      </c>
      <c r="J111">
        <v>3763065</v>
      </c>
      <c r="K111">
        <v>58</v>
      </c>
      <c r="L111">
        <v>730867.00000000105</v>
      </c>
    </row>
    <row r="112" spans="1:12" x14ac:dyDescent="0.35">
      <c r="A112">
        <v>110</v>
      </c>
      <c r="B112" t="s">
        <v>69</v>
      </c>
      <c r="C112">
        <v>730861.00000000105</v>
      </c>
      <c r="D112">
        <v>1461728</v>
      </c>
      <c r="G112">
        <v>110</v>
      </c>
      <c r="H112" t="s">
        <v>69</v>
      </c>
      <c r="I112">
        <v>730861.00000000105</v>
      </c>
      <c r="J112">
        <v>3763013</v>
      </c>
      <c r="K112">
        <v>0</v>
      </c>
      <c r="L112">
        <v>1461728</v>
      </c>
    </row>
    <row r="113" spans="1:12" x14ac:dyDescent="0.35">
      <c r="A113">
        <v>111</v>
      </c>
      <c r="B113" t="s">
        <v>63</v>
      </c>
      <c r="C113">
        <v>730861.00000000105</v>
      </c>
      <c r="D113">
        <v>730861.00000000105</v>
      </c>
      <c r="G113">
        <v>111</v>
      </c>
      <c r="H113" t="s">
        <v>63</v>
      </c>
      <c r="I113">
        <v>730861.00000000105</v>
      </c>
      <c r="J113">
        <v>3763013</v>
      </c>
      <c r="K113">
        <v>13.999999999068701</v>
      </c>
      <c r="L113">
        <v>730861.00000000105</v>
      </c>
    </row>
    <row r="114" spans="1:12" x14ac:dyDescent="0.35">
      <c r="A114">
        <v>112</v>
      </c>
      <c r="B114" t="s">
        <v>69</v>
      </c>
      <c r="C114">
        <v>730853.00000000198</v>
      </c>
      <c r="D114">
        <v>1461714</v>
      </c>
      <c r="G114">
        <v>112</v>
      </c>
      <c r="H114" t="s">
        <v>69</v>
      </c>
      <c r="I114">
        <v>730853.00000000198</v>
      </c>
      <c r="J114">
        <v>3763007</v>
      </c>
      <c r="K114">
        <v>0</v>
      </c>
      <c r="L114">
        <v>1461714</v>
      </c>
    </row>
    <row r="115" spans="1:12" x14ac:dyDescent="0.35">
      <c r="A115">
        <v>113</v>
      </c>
      <c r="B115" t="s">
        <v>63</v>
      </c>
      <c r="C115">
        <v>730853.00000000198</v>
      </c>
      <c r="D115">
        <v>730853.00000000198</v>
      </c>
      <c r="G115">
        <v>113</v>
      </c>
      <c r="H115" t="s">
        <v>63</v>
      </c>
      <c r="I115">
        <v>730853.00000000198</v>
      </c>
      <c r="J115">
        <v>3763007</v>
      </c>
      <c r="K115">
        <v>1</v>
      </c>
      <c r="L115">
        <v>730853.00000000198</v>
      </c>
    </row>
    <row r="116" spans="1:12" x14ac:dyDescent="0.35">
      <c r="A116">
        <v>114</v>
      </c>
      <c r="B116" t="s">
        <v>69</v>
      </c>
      <c r="C116">
        <v>730853.00000000198</v>
      </c>
      <c r="D116">
        <v>1461706</v>
      </c>
      <c r="G116">
        <v>114</v>
      </c>
      <c r="H116" t="s">
        <v>69</v>
      </c>
      <c r="I116">
        <v>730853.00000000198</v>
      </c>
      <c r="J116">
        <v>3763008</v>
      </c>
      <c r="K116">
        <v>0</v>
      </c>
      <c r="L116">
        <v>1461706</v>
      </c>
    </row>
    <row r="117" spans="1:12" x14ac:dyDescent="0.35">
      <c r="A117">
        <v>115</v>
      </c>
      <c r="B117" t="s">
        <v>63</v>
      </c>
      <c r="C117">
        <v>730853.00000000198</v>
      </c>
      <c r="D117">
        <v>730853.00000000198</v>
      </c>
      <c r="G117">
        <v>115</v>
      </c>
      <c r="H117" t="s">
        <v>63</v>
      </c>
      <c r="I117">
        <v>730853.00000000198</v>
      </c>
      <c r="J117">
        <v>3763008</v>
      </c>
      <c r="K117">
        <v>1</v>
      </c>
      <c r="L117">
        <v>730853.00000000198</v>
      </c>
    </row>
    <row r="118" spans="1:12" x14ac:dyDescent="0.35">
      <c r="A118">
        <v>116</v>
      </c>
      <c r="B118" t="s">
        <v>69</v>
      </c>
      <c r="C118">
        <v>730853.00000000198</v>
      </c>
      <c r="D118">
        <v>1461706</v>
      </c>
      <c r="G118">
        <v>116</v>
      </c>
      <c r="H118" t="s">
        <v>69</v>
      </c>
      <c r="I118">
        <v>730853.00000000198</v>
      </c>
      <c r="J118">
        <v>3763007</v>
      </c>
      <c r="K118">
        <v>0</v>
      </c>
      <c r="L118">
        <v>1461706</v>
      </c>
    </row>
    <row r="119" spans="1:12" x14ac:dyDescent="0.35">
      <c r="A119">
        <v>117</v>
      </c>
      <c r="B119" t="s">
        <v>63</v>
      </c>
      <c r="C119">
        <v>730853.00000000198</v>
      </c>
      <c r="D119">
        <v>730853.00000000198</v>
      </c>
      <c r="G119">
        <v>117</v>
      </c>
      <c r="H119" t="s">
        <v>63</v>
      </c>
      <c r="I119">
        <v>730853.00000000198</v>
      </c>
      <c r="J119">
        <v>3763007</v>
      </c>
      <c r="K119">
        <v>47.000000001979103</v>
      </c>
      <c r="L119">
        <v>730853.00000000198</v>
      </c>
    </row>
    <row r="120" spans="1:12" x14ac:dyDescent="0.35">
      <c r="A120">
        <v>118</v>
      </c>
      <c r="B120" t="s">
        <v>919</v>
      </c>
      <c r="C120">
        <v>730840</v>
      </c>
      <c r="D120">
        <v>1461693</v>
      </c>
      <c r="G120">
        <v>118</v>
      </c>
      <c r="H120" t="s">
        <v>919</v>
      </c>
      <c r="I120">
        <v>730840</v>
      </c>
      <c r="J120">
        <v>3762973</v>
      </c>
      <c r="K120">
        <v>26</v>
      </c>
      <c r="L120">
        <v>1461693</v>
      </c>
    </row>
    <row r="121" spans="1:12" x14ac:dyDescent="0.35">
      <c r="A121">
        <v>119</v>
      </c>
      <c r="B121" t="s">
        <v>919</v>
      </c>
      <c r="C121">
        <v>730840</v>
      </c>
      <c r="D121">
        <v>2192533</v>
      </c>
      <c r="G121">
        <v>119</v>
      </c>
      <c r="H121" t="s">
        <v>919</v>
      </c>
      <c r="I121">
        <v>730840</v>
      </c>
      <c r="J121">
        <v>3762947</v>
      </c>
      <c r="K121">
        <v>46.999999998952298</v>
      </c>
      <c r="L121">
        <v>2192533</v>
      </c>
    </row>
    <row r="122" spans="1:12" x14ac:dyDescent="0.35">
      <c r="A122">
        <v>120</v>
      </c>
      <c r="B122" t="s">
        <v>919</v>
      </c>
      <c r="C122">
        <v>730831.00000000105</v>
      </c>
      <c r="D122">
        <v>2923364</v>
      </c>
      <c r="G122">
        <v>120</v>
      </c>
      <c r="H122" t="s">
        <v>919</v>
      </c>
      <c r="I122">
        <v>730831.00000000105</v>
      </c>
      <c r="J122">
        <v>3762909</v>
      </c>
      <c r="K122">
        <v>32.000000001047702</v>
      </c>
      <c r="L122">
        <v>2923364</v>
      </c>
    </row>
    <row r="123" spans="1:12" x14ac:dyDescent="0.35">
      <c r="A123">
        <v>121</v>
      </c>
      <c r="B123" t="s">
        <v>69</v>
      </c>
      <c r="C123">
        <v>730827</v>
      </c>
      <c r="D123">
        <v>3654191</v>
      </c>
      <c r="G123">
        <v>121</v>
      </c>
      <c r="H123" t="s">
        <v>69</v>
      </c>
      <c r="I123">
        <v>730827</v>
      </c>
      <c r="J123">
        <v>3762881</v>
      </c>
      <c r="K123">
        <v>0</v>
      </c>
      <c r="L123">
        <v>3654191</v>
      </c>
    </row>
    <row r="124" spans="1:12" x14ac:dyDescent="0.35">
      <c r="A124">
        <v>122</v>
      </c>
      <c r="B124" t="s">
        <v>63</v>
      </c>
      <c r="C124">
        <v>730827</v>
      </c>
      <c r="D124">
        <v>730827</v>
      </c>
      <c r="G124">
        <v>122</v>
      </c>
      <c r="H124" t="s">
        <v>63</v>
      </c>
      <c r="I124">
        <v>730827</v>
      </c>
      <c r="J124">
        <v>3762881</v>
      </c>
      <c r="K124">
        <v>1.9999999989522601</v>
      </c>
      <c r="L124">
        <v>730827</v>
      </c>
    </row>
    <row r="125" spans="1:12" x14ac:dyDescent="0.35">
      <c r="A125">
        <v>123</v>
      </c>
      <c r="B125" t="s">
        <v>69</v>
      </c>
      <c r="C125">
        <v>730826.00000000105</v>
      </c>
      <c r="D125">
        <v>1461653</v>
      </c>
      <c r="G125">
        <v>123</v>
      </c>
      <c r="H125" t="s">
        <v>69</v>
      </c>
      <c r="I125">
        <v>730826.00000000105</v>
      </c>
      <c r="J125">
        <v>3762882</v>
      </c>
      <c r="K125">
        <v>0</v>
      </c>
      <c r="L125">
        <v>1461653</v>
      </c>
    </row>
    <row r="126" spans="1:12" x14ac:dyDescent="0.35">
      <c r="A126">
        <v>124</v>
      </c>
      <c r="B126" t="s">
        <v>63</v>
      </c>
      <c r="C126">
        <v>730826.00000000105</v>
      </c>
      <c r="D126">
        <v>730826.00000000105</v>
      </c>
      <c r="G126">
        <v>124</v>
      </c>
      <c r="H126" t="s">
        <v>63</v>
      </c>
      <c r="I126">
        <v>730826.00000000105</v>
      </c>
      <c r="J126">
        <v>3762882</v>
      </c>
      <c r="K126">
        <v>2</v>
      </c>
      <c r="L126">
        <v>730826.00000000105</v>
      </c>
    </row>
    <row r="127" spans="1:12" x14ac:dyDescent="0.35">
      <c r="A127">
        <v>125</v>
      </c>
      <c r="B127" t="s">
        <v>69</v>
      </c>
      <c r="C127">
        <v>730828.00000000105</v>
      </c>
      <c r="D127">
        <v>1461654</v>
      </c>
      <c r="G127">
        <v>125</v>
      </c>
      <c r="H127" t="s">
        <v>69</v>
      </c>
      <c r="I127">
        <v>730828.00000000105</v>
      </c>
      <c r="J127">
        <v>3762882</v>
      </c>
      <c r="K127">
        <v>2.0000000010477401</v>
      </c>
      <c r="L127">
        <v>1461654</v>
      </c>
    </row>
    <row r="128" spans="1:12" x14ac:dyDescent="0.35">
      <c r="A128">
        <v>126</v>
      </c>
      <c r="B128" t="s">
        <v>63</v>
      </c>
      <c r="C128">
        <v>730827</v>
      </c>
      <c r="D128">
        <v>730827</v>
      </c>
      <c r="G128">
        <v>126</v>
      </c>
      <c r="H128" t="s">
        <v>63</v>
      </c>
      <c r="I128">
        <v>730827</v>
      </c>
      <c r="J128">
        <v>3762881</v>
      </c>
      <c r="K128">
        <v>37</v>
      </c>
      <c r="L128">
        <v>730827</v>
      </c>
    </row>
    <row r="129" spans="1:12" x14ac:dyDescent="0.35">
      <c r="A129">
        <v>127</v>
      </c>
      <c r="B129" t="s">
        <v>919</v>
      </c>
      <c r="C129">
        <v>730801</v>
      </c>
      <c r="D129">
        <v>1461628</v>
      </c>
      <c r="G129">
        <v>127</v>
      </c>
      <c r="H129" t="s">
        <v>919</v>
      </c>
      <c r="I129">
        <v>730801</v>
      </c>
      <c r="J129">
        <v>3762870</v>
      </c>
      <c r="K129">
        <v>103.999999998021</v>
      </c>
      <c r="L129">
        <v>1461628</v>
      </c>
    </row>
    <row r="130" spans="1:12" x14ac:dyDescent="0.35">
      <c r="A130">
        <v>128</v>
      </c>
      <c r="B130" t="s">
        <v>69</v>
      </c>
      <c r="C130">
        <v>730784.00000000198</v>
      </c>
      <c r="D130">
        <v>2192412</v>
      </c>
      <c r="G130">
        <v>128</v>
      </c>
      <c r="H130" t="s">
        <v>69</v>
      </c>
      <c r="I130">
        <v>730784.00000000198</v>
      </c>
      <c r="J130">
        <v>3762783</v>
      </c>
      <c r="K130">
        <v>0</v>
      </c>
      <c r="L130">
        <v>2192412</v>
      </c>
    </row>
    <row r="131" spans="1:12" x14ac:dyDescent="0.35">
      <c r="A131">
        <v>129</v>
      </c>
      <c r="B131" t="s">
        <v>63</v>
      </c>
      <c r="C131">
        <v>730784.00000000198</v>
      </c>
      <c r="D131">
        <v>730784.00000000198</v>
      </c>
      <c r="G131">
        <v>129</v>
      </c>
      <c r="H131" t="s">
        <v>63</v>
      </c>
      <c r="I131">
        <v>730784.00000000198</v>
      </c>
      <c r="J131">
        <v>3762783</v>
      </c>
      <c r="K131">
        <v>1</v>
      </c>
      <c r="L131">
        <v>730784.00000000198</v>
      </c>
    </row>
    <row r="132" spans="1:12" x14ac:dyDescent="0.35">
      <c r="A132">
        <v>130</v>
      </c>
      <c r="B132" t="s">
        <v>69</v>
      </c>
      <c r="C132">
        <v>730784.00000000198</v>
      </c>
      <c r="D132">
        <v>1461568</v>
      </c>
      <c r="G132">
        <v>130</v>
      </c>
      <c r="H132" t="s">
        <v>69</v>
      </c>
      <c r="I132">
        <v>730784.00000000198</v>
      </c>
      <c r="J132">
        <v>3762784</v>
      </c>
      <c r="K132">
        <v>1</v>
      </c>
      <c r="L132">
        <v>1461568</v>
      </c>
    </row>
    <row r="133" spans="1:12" x14ac:dyDescent="0.35">
      <c r="A133">
        <v>131</v>
      </c>
      <c r="B133" t="s">
        <v>63</v>
      </c>
      <c r="C133">
        <v>730784.00000000198</v>
      </c>
      <c r="D133">
        <v>730784.00000000198</v>
      </c>
      <c r="G133">
        <v>131</v>
      </c>
      <c r="H133" t="s">
        <v>63</v>
      </c>
      <c r="I133">
        <v>730784.00000000198</v>
      </c>
      <c r="J133">
        <v>3762783</v>
      </c>
      <c r="K133">
        <v>70</v>
      </c>
      <c r="L133">
        <v>730784.00000000198</v>
      </c>
    </row>
    <row r="134" spans="1:12" x14ac:dyDescent="0.35">
      <c r="A134">
        <v>132</v>
      </c>
      <c r="B134" t="s">
        <v>919</v>
      </c>
      <c r="C134">
        <v>730733.00000000198</v>
      </c>
      <c r="D134">
        <v>1461517</v>
      </c>
      <c r="G134">
        <v>132</v>
      </c>
      <c r="H134" t="s">
        <v>919</v>
      </c>
      <c r="I134">
        <v>730733.00000000198</v>
      </c>
      <c r="J134">
        <v>3762764</v>
      </c>
      <c r="K134">
        <v>100.000000001979</v>
      </c>
      <c r="L134">
        <v>1461517</v>
      </c>
    </row>
    <row r="135" spans="1:12" x14ac:dyDescent="0.35">
      <c r="A135">
        <v>133</v>
      </c>
      <c r="B135" t="s">
        <v>919</v>
      </c>
      <c r="C135">
        <v>730660</v>
      </c>
      <c r="D135">
        <v>2192177</v>
      </c>
      <c r="G135">
        <v>133</v>
      </c>
      <c r="H135" t="s">
        <v>919</v>
      </c>
      <c r="I135">
        <v>730660</v>
      </c>
      <c r="J135">
        <v>3762737</v>
      </c>
      <c r="K135">
        <v>107</v>
      </c>
      <c r="L135">
        <v>2192177</v>
      </c>
    </row>
    <row r="136" spans="1:12" x14ac:dyDescent="0.35">
      <c r="A136">
        <v>134</v>
      </c>
      <c r="B136" t="s">
        <v>69</v>
      </c>
      <c r="C136">
        <v>730622</v>
      </c>
      <c r="D136">
        <v>2922799</v>
      </c>
      <c r="G136">
        <v>134</v>
      </c>
      <c r="H136" t="s">
        <v>69</v>
      </c>
      <c r="I136">
        <v>730622</v>
      </c>
      <c r="J136">
        <v>3762668</v>
      </c>
      <c r="K136">
        <v>0</v>
      </c>
      <c r="L136">
        <v>2922799</v>
      </c>
    </row>
    <row r="137" spans="1:12" x14ac:dyDescent="0.35">
      <c r="A137">
        <v>135</v>
      </c>
      <c r="B137" t="s">
        <v>63</v>
      </c>
      <c r="C137">
        <v>730622</v>
      </c>
      <c r="D137">
        <v>730622</v>
      </c>
      <c r="G137">
        <v>135</v>
      </c>
      <c r="H137" t="s">
        <v>63</v>
      </c>
      <c r="I137">
        <v>730622</v>
      </c>
      <c r="J137">
        <v>3762668</v>
      </c>
      <c r="K137">
        <v>3.0000000010477401</v>
      </c>
      <c r="L137">
        <v>730622</v>
      </c>
    </row>
    <row r="138" spans="1:12" x14ac:dyDescent="0.35">
      <c r="A138">
        <v>136</v>
      </c>
      <c r="B138" t="s">
        <v>69</v>
      </c>
      <c r="C138">
        <v>730624.00000000105</v>
      </c>
      <c r="D138">
        <v>1461246</v>
      </c>
      <c r="G138">
        <v>136</v>
      </c>
      <c r="H138" t="s">
        <v>69</v>
      </c>
      <c r="I138">
        <v>730624.00000000105</v>
      </c>
      <c r="J138">
        <v>3762667</v>
      </c>
      <c r="K138">
        <v>0</v>
      </c>
      <c r="L138">
        <v>1461246</v>
      </c>
    </row>
    <row r="139" spans="1:12" x14ac:dyDescent="0.35">
      <c r="A139">
        <v>137</v>
      </c>
      <c r="B139" t="s">
        <v>63</v>
      </c>
      <c r="C139">
        <v>730624.00000000105</v>
      </c>
      <c r="D139">
        <v>730624.00000000105</v>
      </c>
      <c r="G139">
        <v>137</v>
      </c>
      <c r="H139" t="s">
        <v>63</v>
      </c>
      <c r="I139">
        <v>730624.00000000105</v>
      </c>
      <c r="J139">
        <v>3762667</v>
      </c>
      <c r="K139">
        <v>1.9999999990686801</v>
      </c>
      <c r="L139">
        <v>730624.00000000105</v>
      </c>
    </row>
    <row r="140" spans="1:12" x14ac:dyDescent="0.35">
      <c r="A140">
        <v>138</v>
      </c>
      <c r="B140" t="s">
        <v>69</v>
      </c>
      <c r="C140">
        <v>730623.00000000198</v>
      </c>
      <c r="D140">
        <v>1461247</v>
      </c>
      <c r="G140">
        <v>138</v>
      </c>
      <c r="H140" t="s">
        <v>69</v>
      </c>
      <c r="I140">
        <v>730623.00000000198</v>
      </c>
      <c r="J140">
        <v>3762668</v>
      </c>
      <c r="K140">
        <v>1.00000000197906</v>
      </c>
      <c r="L140">
        <v>1461247</v>
      </c>
    </row>
    <row r="141" spans="1:12" x14ac:dyDescent="0.35">
      <c r="A141">
        <v>139</v>
      </c>
      <c r="B141" t="s">
        <v>63</v>
      </c>
      <c r="C141">
        <v>730622</v>
      </c>
      <c r="D141">
        <v>730622</v>
      </c>
      <c r="G141">
        <v>139</v>
      </c>
      <c r="H141" t="s">
        <v>63</v>
      </c>
      <c r="I141">
        <v>730622</v>
      </c>
      <c r="J141">
        <v>3762668</v>
      </c>
      <c r="K141">
        <v>80.000000001047695</v>
      </c>
      <c r="L141">
        <v>730622</v>
      </c>
    </row>
    <row r="142" spans="1:12" x14ac:dyDescent="0.35">
      <c r="A142">
        <v>140</v>
      </c>
      <c r="B142" t="s">
        <v>69</v>
      </c>
      <c r="C142">
        <v>730670.00000000105</v>
      </c>
      <c r="D142">
        <v>1461292</v>
      </c>
      <c r="G142">
        <v>140</v>
      </c>
      <c r="H142" t="s">
        <v>69</v>
      </c>
      <c r="I142">
        <v>730670.00000000105</v>
      </c>
      <c r="J142">
        <v>3762636</v>
      </c>
      <c r="K142">
        <v>0</v>
      </c>
      <c r="L142">
        <v>1461292</v>
      </c>
    </row>
    <row r="143" spans="1:12" x14ac:dyDescent="0.35">
      <c r="A143">
        <v>141</v>
      </c>
      <c r="B143" t="s">
        <v>63</v>
      </c>
      <c r="C143">
        <v>730670.00000000105</v>
      </c>
      <c r="D143">
        <v>730670.00000000105</v>
      </c>
      <c r="G143">
        <v>141</v>
      </c>
      <c r="H143" t="s">
        <v>63</v>
      </c>
      <c r="I143">
        <v>730670.00000000105</v>
      </c>
      <c r="J143">
        <v>3762636</v>
      </c>
      <c r="K143">
        <v>0.99999999906867698</v>
      </c>
      <c r="L143">
        <v>730670.00000000105</v>
      </c>
    </row>
    <row r="144" spans="1:12" x14ac:dyDescent="0.35">
      <c r="A144">
        <v>142</v>
      </c>
      <c r="B144" t="s">
        <v>69</v>
      </c>
      <c r="C144">
        <v>730669.00000000198</v>
      </c>
      <c r="D144">
        <v>1461339</v>
      </c>
      <c r="G144">
        <v>142</v>
      </c>
      <c r="H144" t="s">
        <v>69</v>
      </c>
      <c r="I144">
        <v>730669.00000000198</v>
      </c>
      <c r="J144">
        <v>3762636</v>
      </c>
      <c r="K144">
        <v>0</v>
      </c>
      <c r="L144">
        <v>1461339</v>
      </c>
    </row>
    <row r="145" spans="1:12" x14ac:dyDescent="0.35">
      <c r="A145">
        <v>143</v>
      </c>
      <c r="B145" t="s">
        <v>63</v>
      </c>
      <c r="C145">
        <v>730669.00000000198</v>
      </c>
      <c r="D145">
        <v>730669.00000000198</v>
      </c>
      <c r="G145">
        <v>143</v>
      </c>
      <c r="H145" t="s">
        <v>63</v>
      </c>
      <c r="I145">
        <v>730669.00000000198</v>
      </c>
      <c r="J145">
        <v>3762636</v>
      </c>
      <c r="K145">
        <v>1.9999999990686801</v>
      </c>
      <c r="L145">
        <v>730669.00000000198</v>
      </c>
    </row>
    <row r="146" spans="1:12" x14ac:dyDescent="0.35">
      <c r="A146">
        <v>144</v>
      </c>
      <c r="B146" t="s">
        <v>69</v>
      </c>
      <c r="C146">
        <v>730670.00000000105</v>
      </c>
      <c r="D146">
        <v>1461339</v>
      </c>
      <c r="G146">
        <v>144</v>
      </c>
      <c r="H146" t="s">
        <v>69</v>
      </c>
      <c r="I146">
        <v>730670.00000000105</v>
      </c>
      <c r="J146">
        <v>3762635</v>
      </c>
      <c r="K146">
        <v>1</v>
      </c>
      <c r="L146">
        <v>1461339</v>
      </c>
    </row>
    <row r="147" spans="1:12" x14ac:dyDescent="0.35">
      <c r="A147">
        <v>145</v>
      </c>
      <c r="B147" t="s">
        <v>63</v>
      </c>
      <c r="C147">
        <v>730670.00000000105</v>
      </c>
      <c r="D147">
        <v>730670.00000000105</v>
      </c>
      <c r="G147">
        <v>145</v>
      </c>
      <c r="H147" t="s">
        <v>63</v>
      </c>
      <c r="I147">
        <v>730670.00000000105</v>
      </c>
      <c r="J147">
        <v>3762636</v>
      </c>
      <c r="K147">
        <v>94.999999998952305</v>
      </c>
      <c r="L147">
        <v>730670.00000000105</v>
      </c>
    </row>
    <row r="148" spans="1:12" x14ac:dyDescent="0.35">
      <c r="A148">
        <v>146</v>
      </c>
      <c r="B148" t="s">
        <v>919</v>
      </c>
      <c r="C148">
        <v>730719</v>
      </c>
      <c r="D148">
        <v>1461389</v>
      </c>
      <c r="G148">
        <v>146</v>
      </c>
      <c r="H148" t="s">
        <v>919</v>
      </c>
      <c r="I148">
        <v>730719</v>
      </c>
      <c r="J148">
        <v>3762590</v>
      </c>
      <c r="K148">
        <v>138.00000000104799</v>
      </c>
      <c r="L148">
        <v>1461389</v>
      </c>
    </row>
    <row r="149" spans="1:12" x14ac:dyDescent="0.35">
      <c r="A149">
        <v>147</v>
      </c>
      <c r="B149" t="s">
        <v>919</v>
      </c>
      <c r="C149">
        <v>730798.00000000105</v>
      </c>
      <c r="D149">
        <v>2192187</v>
      </c>
      <c r="G149">
        <v>147</v>
      </c>
      <c r="H149" t="s">
        <v>919</v>
      </c>
      <c r="I149">
        <v>730798.00000000105</v>
      </c>
      <c r="J149">
        <v>3762531</v>
      </c>
      <c r="K149">
        <v>42.999999998952298</v>
      </c>
      <c r="L149">
        <v>2192187</v>
      </c>
    </row>
    <row r="150" spans="1:12" x14ac:dyDescent="0.35">
      <c r="A150">
        <v>148</v>
      </c>
      <c r="B150" t="s">
        <v>69</v>
      </c>
      <c r="C150">
        <v>730840</v>
      </c>
      <c r="D150">
        <v>2923027</v>
      </c>
      <c r="G150">
        <v>148</v>
      </c>
      <c r="H150" t="s">
        <v>69</v>
      </c>
      <c r="I150">
        <v>730840</v>
      </c>
      <c r="J150">
        <v>3762530</v>
      </c>
      <c r="K150">
        <v>0</v>
      </c>
      <c r="L150">
        <v>2923027</v>
      </c>
    </row>
    <row r="151" spans="1:12" x14ac:dyDescent="0.35">
      <c r="A151">
        <v>149</v>
      </c>
      <c r="B151" t="s">
        <v>63</v>
      </c>
      <c r="C151">
        <v>730840</v>
      </c>
      <c r="D151">
        <v>730840</v>
      </c>
      <c r="G151">
        <v>149</v>
      </c>
      <c r="H151" t="s">
        <v>63</v>
      </c>
      <c r="I151">
        <v>730840</v>
      </c>
      <c r="J151">
        <v>3762530</v>
      </c>
      <c r="K151">
        <v>93</v>
      </c>
      <c r="L151">
        <v>730840</v>
      </c>
    </row>
    <row r="152" spans="1:12" x14ac:dyDescent="0.35">
      <c r="A152">
        <v>150</v>
      </c>
      <c r="B152" t="s">
        <v>919</v>
      </c>
      <c r="C152">
        <v>730804</v>
      </c>
      <c r="D152">
        <v>1461644</v>
      </c>
      <c r="G152">
        <v>150</v>
      </c>
      <c r="H152" t="s">
        <v>919</v>
      </c>
      <c r="I152">
        <v>730804</v>
      </c>
      <c r="J152">
        <v>3762473</v>
      </c>
      <c r="K152">
        <v>74.999999998952305</v>
      </c>
      <c r="L152">
        <v>1461644</v>
      </c>
    </row>
    <row r="153" spans="1:12" x14ac:dyDescent="0.35">
      <c r="A153">
        <v>151</v>
      </c>
      <c r="B153" t="s">
        <v>919</v>
      </c>
      <c r="C153">
        <v>730782.00000000105</v>
      </c>
      <c r="D153">
        <v>2192426</v>
      </c>
      <c r="G153">
        <v>151</v>
      </c>
      <c r="H153" t="s">
        <v>919</v>
      </c>
      <c r="I153">
        <v>730782.00000000105</v>
      </c>
      <c r="J153">
        <v>3762420</v>
      </c>
      <c r="K153">
        <v>73</v>
      </c>
      <c r="L153">
        <v>2192426</v>
      </c>
    </row>
    <row r="154" spans="1:12" x14ac:dyDescent="0.35">
      <c r="A154">
        <v>152</v>
      </c>
      <c r="B154" t="s">
        <v>69</v>
      </c>
      <c r="C154">
        <v>730762.00000000105</v>
      </c>
      <c r="D154">
        <v>2923188</v>
      </c>
      <c r="G154">
        <v>152</v>
      </c>
      <c r="H154" t="s">
        <v>69</v>
      </c>
      <c r="I154">
        <v>730762.00000000105</v>
      </c>
      <c r="J154">
        <v>3762367</v>
      </c>
      <c r="K154">
        <v>0</v>
      </c>
      <c r="L154">
        <v>2923188</v>
      </c>
    </row>
    <row r="155" spans="1:12" x14ac:dyDescent="0.35">
      <c r="A155">
        <v>153</v>
      </c>
      <c r="B155" t="s">
        <v>63</v>
      </c>
      <c r="C155">
        <v>730762.00000000105</v>
      </c>
      <c r="D155">
        <v>730762.00000000105</v>
      </c>
      <c r="G155">
        <v>153</v>
      </c>
      <c r="H155" t="s">
        <v>63</v>
      </c>
      <c r="I155">
        <v>730762.00000000105</v>
      </c>
      <c r="J155">
        <v>3762367</v>
      </c>
      <c r="K155">
        <v>2</v>
      </c>
      <c r="L155">
        <v>730762.00000000105</v>
      </c>
    </row>
    <row r="156" spans="1:12" x14ac:dyDescent="0.35">
      <c r="A156">
        <v>154</v>
      </c>
      <c r="B156" t="s">
        <v>69</v>
      </c>
      <c r="C156">
        <v>730762.00000000105</v>
      </c>
      <c r="D156">
        <v>1461524</v>
      </c>
      <c r="G156">
        <v>154</v>
      </c>
      <c r="H156" t="s">
        <v>69</v>
      </c>
      <c r="I156">
        <v>730762.00000000105</v>
      </c>
      <c r="J156">
        <v>3762369</v>
      </c>
      <c r="K156">
        <v>0</v>
      </c>
      <c r="L156">
        <v>1461524</v>
      </c>
    </row>
    <row r="157" spans="1:12" x14ac:dyDescent="0.35">
      <c r="A157">
        <v>155</v>
      </c>
      <c r="B157" t="s">
        <v>63</v>
      </c>
      <c r="C157">
        <v>730762.00000000105</v>
      </c>
      <c r="D157">
        <v>730762.00000000105</v>
      </c>
      <c r="G157">
        <v>155</v>
      </c>
      <c r="H157" t="s">
        <v>63</v>
      </c>
      <c r="I157">
        <v>730762.00000000105</v>
      </c>
      <c r="J157">
        <v>3762369</v>
      </c>
      <c r="K157">
        <v>1</v>
      </c>
      <c r="L157">
        <v>730762.00000000105</v>
      </c>
    </row>
    <row r="158" spans="1:12" x14ac:dyDescent="0.35">
      <c r="A158">
        <v>156</v>
      </c>
      <c r="B158" t="s">
        <v>69</v>
      </c>
      <c r="C158">
        <v>730762.00000000105</v>
      </c>
      <c r="D158">
        <v>1461524</v>
      </c>
      <c r="G158">
        <v>156</v>
      </c>
      <c r="H158" t="s">
        <v>69</v>
      </c>
      <c r="I158">
        <v>730762.00000000105</v>
      </c>
      <c r="J158">
        <v>3762370</v>
      </c>
      <c r="K158">
        <v>3</v>
      </c>
      <c r="L158">
        <v>1461524</v>
      </c>
    </row>
    <row r="159" spans="1:12" x14ac:dyDescent="0.35">
      <c r="A159">
        <v>157</v>
      </c>
      <c r="B159" t="s">
        <v>63</v>
      </c>
      <c r="C159">
        <v>730762.00000000105</v>
      </c>
      <c r="D159">
        <v>730762.00000000105</v>
      </c>
      <c r="G159">
        <v>157</v>
      </c>
      <c r="H159" t="s">
        <v>63</v>
      </c>
      <c r="I159">
        <v>730762.00000000105</v>
      </c>
      <c r="J159">
        <v>3762367</v>
      </c>
      <c r="K159">
        <v>40</v>
      </c>
      <c r="L159">
        <v>730762.00000000105</v>
      </c>
    </row>
    <row r="160" spans="1:12" x14ac:dyDescent="0.35">
      <c r="A160">
        <v>158</v>
      </c>
      <c r="B160" t="s">
        <v>919</v>
      </c>
      <c r="C160">
        <v>730752.00000000105</v>
      </c>
      <c r="D160">
        <v>1461514</v>
      </c>
      <c r="G160">
        <v>158</v>
      </c>
      <c r="H160" t="s">
        <v>919</v>
      </c>
      <c r="I160">
        <v>730752.00000000105</v>
      </c>
      <c r="J160">
        <v>3762337</v>
      </c>
      <c r="K160">
        <v>98</v>
      </c>
      <c r="L160">
        <v>1461514</v>
      </c>
    </row>
    <row r="161" spans="1:12" x14ac:dyDescent="0.35">
      <c r="A161">
        <v>159</v>
      </c>
      <c r="B161" t="s">
        <v>919</v>
      </c>
      <c r="C161">
        <v>730708.00000000105</v>
      </c>
      <c r="D161">
        <v>2192222</v>
      </c>
      <c r="G161">
        <v>159</v>
      </c>
      <c r="H161" t="s">
        <v>919</v>
      </c>
      <c r="I161">
        <v>730708.00000000105</v>
      </c>
      <c r="J161">
        <v>3762283</v>
      </c>
      <c r="K161">
        <v>66</v>
      </c>
      <c r="L161">
        <v>2192222</v>
      </c>
    </row>
    <row r="162" spans="1:12" x14ac:dyDescent="0.35">
      <c r="A162">
        <v>160</v>
      </c>
      <c r="B162" t="s">
        <v>919</v>
      </c>
      <c r="C162">
        <v>730695.00000000105</v>
      </c>
      <c r="D162">
        <v>2922917</v>
      </c>
      <c r="G162">
        <v>160</v>
      </c>
      <c r="H162" t="s">
        <v>919</v>
      </c>
      <c r="I162">
        <v>730695.00000000105</v>
      </c>
      <c r="J162">
        <v>3762230</v>
      </c>
      <c r="K162">
        <v>67</v>
      </c>
      <c r="L162">
        <v>2922917</v>
      </c>
    </row>
    <row r="163" spans="1:12" x14ac:dyDescent="0.35">
      <c r="A163">
        <v>161</v>
      </c>
      <c r="B163" t="s">
        <v>919</v>
      </c>
      <c r="C163">
        <v>730685.00000000105</v>
      </c>
      <c r="D163">
        <v>3653602.0000000098</v>
      </c>
      <c r="G163">
        <v>161</v>
      </c>
      <c r="H163" t="s">
        <v>919</v>
      </c>
      <c r="I163">
        <v>730685.00000000105</v>
      </c>
      <c r="J163">
        <v>3762173</v>
      </c>
      <c r="K163">
        <v>79</v>
      </c>
      <c r="L163">
        <v>3653602.0000000098</v>
      </c>
    </row>
    <row r="164" spans="1:12" x14ac:dyDescent="0.35">
      <c r="A164">
        <v>162</v>
      </c>
      <c r="B164" t="s">
        <v>69</v>
      </c>
      <c r="C164">
        <v>730667.00000000105</v>
      </c>
      <c r="D164">
        <v>4384269.0000000102</v>
      </c>
      <c r="G164">
        <v>162</v>
      </c>
      <c r="H164" t="s">
        <v>69</v>
      </c>
      <c r="I164">
        <v>730667.00000000105</v>
      </c>
      <c r="J164">
        <v>3762112</v>
      </c>
      <c r="K164">
        <v>0</v>
      </c>
      <c r="L164">
        <v>4384269.0000000102</v>
      </c>
    </row>
    <row r="165" spans="1:12" x14ac:dyDescent="0.35">
      <c r="A165">
        <v>163</v>
      </c>
      <c r="B165" t="s">
        <v>63</v>
      </c>
      <c r="C165">
        <v>730667.00000000105</v>
      </c>
      <c r="D165">
        <v>730667.00000000105</v>
      </c>
      <c r="G165">
        <v>163</v>
      </c>
      <c r="H165" t="s">
        <v>63</v>
      </c>
      <c r="I165">
        <v>730667.00000000105</v>
      </c>
      <c r="J165">
        <v>3762112</v>
      </c>
      <c r="K165">
        <v>1</v>
      </c>
      <c r="L165">
        <v>730667.00000000105</v>
      </c>
    </row>
    <row r="166" spans="1:12" x14ac:dyDescent="0.35">
      <c r="A166">
        <v>164</v>
      </c>
      <c r="B166" t="s">
        <v>69</v>
      </c>
      <c r="C166">
        <v>730667.00000000105</v>
      </c>
      <c r="D166">
        <v>1461334</v>
      </c>
      <c r="G166">
        <v>164</v>
      </c>
      <c r="H166" t="s">
        <v>69</v>
      </c>
      <c r="I166">
        <v>730667.00000000105</v>
      </c>
      <c r="J166">
        <v>3762113</v>
      </c>
      <c r="K166">
        <v>0</v>
      </c>
      <c r="L166">
        <v>1461334</v>
      </c>
    </row>
    <row r="167" spans="1:12" x14ac:dyDescent="0.35">
      <c r="A167">
        <v>165</v>
      </c>
      <c r="B167" t="s">
        <v>63</v>
      </c>
      <c r="C167">
        <v>730667.00000000105</v>
      </c>
      <c r="D167">
        <v>730667.00000000105</v>
      </c>
      <c r="G167">
        <v>165</v>
      </c>
      <c r="H167" t="s">
        <v>63</v>
      </c>
      <c r="I167">
        <v>730667.00000000105</v>
      </c>
      <c r="J167">
        <v>3762113</v>
      </c>
      <c r="K167">
        <v>2</v>
      </c>
      <c r="L167">
        <v>730667.00000000105</v>
      </c>
    </row>
    <row r="168" spans="1:12" x14ac:dyDescent="0.35">
      <c r="A168">
        <v>166</v>
      </c>
      <c r="B168" t="s">
        <v>69</v>
      </c>
      <c r="C168">
        <v>730667.00000000105</v>
      </c>
      <c r="D168">
        <v>1461334</v>
      </c>
      <c r="G168">
        <v>166</v>
      </c>
      <c r="H168" t="s">
        <v>69</v>
      </c>
      <c r="I168">
        <v>730667.00000000105</v>
      </c>
      <c r="J168">
        <v>3762111</v>
      </c>
      <c r="K168">
        <v>1</v>
      </c>
      <c r="L168">
        <v>1461334</v>
      </c>
    </row>
    <row r="169" spans="1:12" x14ac:dyDescent="0.35">
      <c r="A169">
        <v>167</v>
      </c>
      <c r="B169" t="s">
        <v>63</v>
      </c>
      <c r="C169">
        <v>730667.00000000105</v>
      </c>
      <c r="D169">
        <v>730667.00000000105</v>
      </c>
      <c r="G169">
        <v>167</v>
      </c>
      <c r="H169" t="s">
        <v>63</v>
      </c>
      <c r="I169">
        <v>730667.00000000105</v>
      </c>
      <c r="J169">
        <v>3762112</v>
      </c>
      <c r="K169">
        <v>73.999999999068706</v>
      </c>
      <c r="L169">
        <v>730667.00000000105</v>
      </c>
    </row>
    <row r="170" spans="1:12" x14ac:dyDescent="0.35">
      <c r="A170">
        <v>168</v>
      </c>
      <c r="B170" t="s">
        <v>69</v>
      </c>
      <c r="C170">
        <v>730646.00000000198</v>
      </c>
      <c r="D170">
        <v>1461313</v>
      </c>
      <c r="G170">
        <v>168</v>
      </c>
      <c r="H170" t="s">
        <v>69</v>
      </c>
      <c r="I170">
        <v>730646.00000000198</v>
      </c>
      <c r="J170">
        <v>3762059</v>
      </c>
      <c r="K170">
        <v>0</v>
      </c>
      <c r="L170">
        <v>1461313</v>
      </c>
    </row>
    <row r="171" spans="1:12" x14ac:dyDescent="0.35">
      <c r="A171">
        <v>169</v>
      </c>
      <c r="B171" t="s">
        <v>63</v>
      </c>
      <c r="C171">
        <v>730646.00000000198</v>
      </c>
      <c r="D171">
        <v>730646.00000000198</v>
      </c>
      <c r="G171">
        <v>169</v>
      </c>
      <c r="H171" t="s">
        <v>63</v>
      </c>
      <c r="I171">
        <v>730646.00000000198</v>
      </c>
      <c r="J171">
        <v>3762059</v>
      </c>
      <c r="K171">
        <v>100.999999996973</v>
      </c>
      <c r="L171">
        <v>730646.00000000198</v>
      </c>
    </row>
    <row r="172" spans="1:12" x14ac:dyDescent="0.35">
      <c r="A172">
        <v>170</v>
      </c>
      <c r="B172" t="s">
        <v>69</v>
      </c>
      <c r="C172">
        <v>730701.99999999895</v>
      </c>
      <c r="D172">
        <v>1461348</v>
      </c>
      <c r="G172">
        <v>170</v>
      </c>
      <c r="H172" t="s">
        <v>69</v>
      </c>
      <c r="I172">
        <v>730701.99999999895</v>
      </c>
      <c r="J172">
        <v>3762014</v>
      </c>
      <c r="K172">
        <v>0</v>
      </c>
      <c r="L172">
        <v>1461348</v>
      </c>
    </row>
    <row r="173" spans="1:12" x14ac:dyDescent="0.35">
      <c r="A173">
        <v>171</v>
      </c>
      <c r="B173" t="s">
        <v>63</v>
      </c>
      <c r="C173">
        <v>730701.99999999895</v>
      </c>
      <c r="D173">
        <v>730701.99999999895</v>
      </c>
      <c r="G173">
        <v>171</v>
      </c>
      <c r="H173" t="s">
        <v>63</v>
      </c>
      <c r="I173">
        <v>730701.99999999895</v>
      </c>
      <c r="J173">
        <v>3762014</v>
      </c>
      <c r="K173">
        <v>86.000000002095504</v>
      </c>
      <c r="L173">
        <v>730701.99999999895</v>
      </c>
    </row>
    <row r="174" spans="1:12" x14ac:dyDescent="0.35">
      <c r="A174">
        <v>172</v>
      </c>
      <c r="B174" t="s">
        <v>919</v>
      </c>
      <c r="C174">
        <v>730744.00000000105</v>
      </c>
      <c r="D174">
        <v>1461446</v>
      </c>
      <c r="G174">
        <v>172</v>
      </c>
      <c r="H174" t="s">
        <v>919</v>
      </c>
      <c r="I174">
        <v>730744.00000000105</v>
      </c>
      <c r="J174">
        <v>3761970</v>
      </c>
      <c r="K174">
        <v>109</v>
      </c>
      <c r="L174">
        <v>1461446</v>
      </c>
    </row>
    <row r="175" spans="1:12" x14ac:dyDescent="0.35">
      <c r="A175">
        <v>173</v>
      </c>
      <c r="B175" t="s">
        <v>69</v>
      </c>
      <c r="C175">
        <v>730800.00000000105</v>
      </c>
      <c r="D175">
        <v>2192246</v>
      </c>
      <c r="G175">
        <v>173</v>
      </c>
      <c r="H175" t="s">
        <v>69</v>
      </c>
      <c r="I175">
        <v>730800.00000000105</v>
      </c>
      <c r="J175">
        <v>3761917</v>
      </c>
      <c r="K175">
        <v>0</v>
      </c>
      <c r="L175">
        <v>2192246</v>
      </c>
    </row>
    <row r="176" spans="1:12" x14ac:dyDescent="0.35">
      <c r="A176">
        <v>174</v>
      </c>
      <c r="B176" t="s">
        <v>63</v>
      </c>
      <c r="C176">
        <v>730800.00000000105</v>
      </c>
      <c r="D176">
        <v>730800.00000000105</v>
      </c>
      <c r="G176">
        <v>174</v>
      </c>
      <c r="H176" t="s">
        <v>63</v>
      </c>
      <c r="I176">
        <v>730800.00000000105</v>
      </c>
      <c r="J176">
        <v>3761917</v>
      </c>
      <c r="K176">
        <v>0</v>
      </c>
      <c r="L176">
        <v>730800.00000000105</v>
      </c>
    </row>
    <row r="177" spans="1:12" x14ac:dyDescent="0.35">
      <c r="A177">
        <v>175</v>
      </c>
      <c r="B177" t="s">
        <v>69</v>
      </c>
      <c r="C177">
        <v>730800.00000000105</v>
      </c>
      <c r="D177">
        <v>1461600</v>
      </c>
      <c r="G177">
        <v>175</v>
      </c>
      <c r="H177" t="s">
        <v>69</v>
      </c>
      <c r="I177">
        <v>730800.00000000105</v>
      </c>
      <c r="J177">
        <v>3761917</v>
      </c>
      <c r="K177">
        <v>0</v>
      </c>
      <c r="L177">
        <v>1461600</v>
      </c>
    </row>
    <row r="178" spans="1:12" x14ac:dyDescent="0.35">
      <c r="A178">
        <v>176</v>
      </c>
      <c r="B178" t="s">
        <v>63</v>
      </c>
      <c r="C178">
        <v>730800.00000000105</v>
      </c>
      <c r="D178">
        <v>730800.00000000105</v>
      </c>
      <c r="G178">
        <v>176</v>
      </c>
      <c r="H178" t="s">
        <v>63</v>
      </c>
      <c r="I178">
        <v>730800.00000000105</v>
      </c>
      <c r="J178">
        <v>3761917</v>
      </c>
      <c r="K178">
        <v>1</v>
      </c>
      <c r="L178">
        <v>730800.00000000105</v>
      </c>
    </row>
    <row r="179" spans="1:12" x14ac:dyDescent="0.35">
      <c r="A179">
        <v>177</v>
      </c>
      <c r="B179" t="s">
        <v>69</v>
      </c>
      <c r="C179">
        <v>730800.00000000105</v>
      </c>
      <c r="D179">
        <v>1461600</v>
      </c>
      <c r="G179">
        <v>177</v>
      </c>
      <c r="H179" t="s">
        <v>69</v>
      </c>
      <c r="I179">
        <v>730800.00000000105</v>
      </c>
      <c r="J179">
        <v>3761918</v>
      </c>
      <c r="K179">
        <v>1</v>
      </c>
      <c r="L179">
        <v>1461600</v>
      </c>
    </row>
    <row r="180" spans="1:12" x14ac:dyDescent="0.35">
      <c r="A180">
        <v>178</v>
      </c>
      <c r="B180" t="s">
        <v>63</v>
      </c>
      <c r="C180">
        <v>730800.00000000105</v>
      </c>
      <c r="D180">
        <v>730800.00000000105</v>
      </c>
      <c r="G180">
        <v>178</v>
      </c>
      <c r="H180" t="s">
        <v>63</v>
      </c>
      <c r="I180">
        <v>730800.00000000105</v>
      </c>
      <c r="J180">
        <v>3761917</v>
      </c>
      <c r="K180">
        <v>56.999999998952298</v>
      </c>
      <c r="L180">
        <v>730800.00000000105</v>
      </c>
    </row>
    <row r="181" spans="1:12" x14ac:dyDescent="0.35">
      <c r="A181">
        <v>179</v>
      </c>
      <c r="B181" t="s">
        <v>919</v>
      </c>
      <c r="C181">
        <v>730801</v>
      </c>
      <c r="D181">
        <v>1461601</v>
      </c>
      <c r="G181">
        <v>179</v>
      </c>
      <c r="H181" t="s">
        <v>919</v>
      </c>
      <c r="I181">
        <v>730801</v>
      </c>
      <c r="J181">
        <v>3761861</v>
      </c>
      <c r="K181">
        <v>41.999999998952298</v>
      </c>
      <c r="L181">
        <v>1461601</v>
      </c>
    </row>
    <row r="182" spans="1:12" x14ac:dyDescent="0.35">
      <c r="A182">
        <v>180</v>
      </c>
      <c r="B182" t="s">
        <v>919</v>
      </c>
      <c r="C182">
        <v>730811.99999999895</v>
      </c>
      <c r="D182">
        <v>2192413</v>
      </c>
      <c r="G182">
        <v>180</v>
      </c>
      <c r="H182" t="s">
        <v>919</v>
      </c>
      <c r="I182">
        <v>730811.99999999895</v>
      </c>
      <c r="J182">
        <v>3761830</v>
      </c>
      <c r="K182">
        <v>45.000000001047702</v>
      </c>
      <c r="L182">
        <v>2192413</v>
      </c>
    </row>
    <row r="183" spans="1:12" x14ac:dyDescent="0.35">
      <c r="A183">
        <v>181</v>
      </c>
      <c r="B183" t="s">
        <v>919</v>
      </c>
      <c r="C183">
        <v>730819</v>
      </c>
      <c r="D183">
        <v>2923232</v>
      </c>
      <c r="G183">
        <v>181</v>
      </c>
      <c r="H183" t="s">
        <v>919</v>
      </c>
      <c r="I183">
        <v>730819</v>
      </c>
      <c r="J183">
        <v>3761792</v>
      </c>
      <c r="K183">
        <v>60</v>
      </c>
      <c r="L183">
        <v>2923232</v>
      </c>
    </row>
    <row r="184" spans="1:12" x14ac:dyDescent="0.35">
      <c r="A184">
        <v>182</v>
      </c>
      <c r="B184" t="s">
        <v>919</v>
      </c>
      <c r="C184">
        <v>730839</v>
      </c>
      <c r="D184">
        <v>3654071</v>
      </c>
      <c r="G184">
        <v>182</v>
      </c>
      <c r="H184" t="s">
        <v>919</v>
      </c>
      <c r="I184">
        <v>730839</v>
      </c>
      <c r="J184">
        <v>3761752</v>
      </c>
      <c r="K184">
        <v>68.000000001047695</v>
      </c>
      <c r="L184">
        <v>3654071</v>
      </c>
    </row>
    <row r="185" spans="1:12" x14ac:dyDescent="0.35">
      <c r="A185">
        <v>183</v>
      </c>
      <c r="B185" t="s">
        <v>919</v>
      </c>
      <c r="C185">
        <v>730856.00000000105</v>
      </c>
      <c r="D185">
        <v>4384927</v>
      </c>
      <c r="G185">
        <v>183</v>
      </c>
      <c r="H185" t="s">
        <v>919</v>
      </c>
      <c r="I185">
        <v>730856.00000000105</v>
      </c>
      <c r="J185">
        <v>3761701</v>
      </c>
      <c r="K185">
        <v>88</v>
      </c>
      <c r="L185">
        <v>4384927</v>
      </c>
    </row>
    <row r="186" spans="1:12" x14ac:dyDescent="0.35">
      <c r="A186">
        <v>184</v>
      </c>
      <c r="B186" t="s">
        <v>69</v>
      </c>
      <c r="C186">
        <v>730915.00000000105</v>
      </c>
      <c r="D186">
        <v>5115842</v>
      </c>
      <c r="G186">
        <v>184</v>
      </c>
      <c r="H186" t="s">
        <v>69</v>
      </c>
      <c r="I186">
        <v>730915.00000000105</v>
      </c>
      <c r="J186">
        <v>3761672</v>
      </c>
      <c r="K186">
        <v>0</v>
      </c>
      <c r="L186">
        <v>5115842</v>
      </c>
    </row>
    <row r="187" spans="1:12" x14ac:dyDescent="0.35">
      <c r="A187">
        <v>185</v>
      </c>
      <c r="B187" t="s">
        <v>63</v>
      </c>
      <c r="C187">
        <v>730915.00000000105</v>
      </c>
      <c r="D187">
        <v>730915.00000000105</v>
      </c>
      <c r="G187">
        <v>185</v>
      </c>
      <c r="H187" t="s">
        <v>63</v>
      </c>
      <c r="I187">
        <v>730915.00000000105</v>
      </c>
      <c r="J187">
        <v>3761672</v>
      </c>
      <c r="K187">
        <v>98.999999997904496</v>
      </c>
      <c r="L187">
        <v>730915.00000000105</v>
      </c>
    </row>
    <row r="188" spans="1:12" x14ac:dyDescent="0.35">
      <c r="A188">
        <v>186</v>
      </c>
      <c r="B188" t="s">
        <v>919</v>
      </c>
      <c r="C188">
        <v>730967.99999999895</v>
      </c>
      <c r="D188">
        <v>1461883</v>
      </c>
      <c r="G188">
        <v>186</v>
      </c>
      <c r="H188" t="s">
        <v>919</v>
      </c>
      <c r="I188">
        <v>730967.99999999895</v>
      </c>
      <c r="J188">
        <v>3761626</v>
      </c>
      <c r="K188">
        <v>96.000000002095504</v>
      </c>
      <c r="L188">
        <v>1461883</v>
      </c>
    </row>
    <row r="189" spans="1:12" x14ac:dyDescent="0.35">
      <c r="A189">
        <v>187</v>
      </c>
      <c r="B189" t="s">
        <v>919</v>
      </c>
      <c r="C189">
        <v>731025.00000000105</v>
      </c>
      <c r="D189">
        <v>2192908</v>
      </c>
      <c r="G189">
        <v>187</v>
      </c>
      <c r="H189" t="s">
        <v>919</v>
      </c>
      <c r="I189">
        <v>731025.00000000105</v>
      </c>
      <c r="J189">
        <v>3761587</v>
      </c>
      <c r="K189">
        <v>80.999999998952305</v>
      </c>
      <c r="L189">
        <v>2192908</v>
      </c>
    </row>
    <row r="190" spans="1:12" x14ac:dyDescent="0.35">
      <c r="A190">
        <v>188</v>
      </c>
      <c r="B190" t="s">
        <v>919</v>
      </c>
      <c r="C190">
        <v>731075</v>
      </c>
      <c r="D190">
        <v>2923983</v>
      </c>
      <c r="G190">
        <v>188</v>
      </c>
      <c r="H190" t="s">
        <v>919</v>
      </c>
      <c r="I190">
        <v>731075</v>
      </c>
      <c r="J190">
        <v>3761556</v>
      </c>
      <c r="K190">
        <v>89.000000001047695</v>
      </c>
      <c r="L190">
        <v>2923983</v>
      </c>
    </row>
    <row r="191" spans="1:12" x14ac:dyDescent="0.35">
      <c r="A191">
        <v>189</v>
      </c>
      <c r="B191" t="s">
        <v>69</v>
      </c>
      <c r="C191">
        <v>731112.00000000105</v>
      </c>
      <c r="D191">
        <v>3655095</v>
      </c>
      <c r="G191">
        <v>189</v>
      </c>
      <c r="H191" t="s">
        <v>69</v>
      </c>
      <c r="I191">
        <v>731112.00000000105</v>
      </c>
      <c r="J191">
        <v>3761504</v>
      </c>
      <c r="K191">
        <v>0</v>
      </c>
      <c r="L191">
        <v>3655095</v>
      </c>
    </row>
    <row r="192" spans="1:12" x14ac:dyDescent="0.35">
      <c r="A192">
        <v>190</v>
      </c>
      <c r="B192" t="s">
        <v>63</v>
      </c>
      <c r="C192">
        <v>731112.00000000105</v>
      </c>
      <c r="D192">
        <v>731112.00000000105</v>
      </c>
      <c r="G192">
        <v>190</v>
      </c>
      <c r="H192" t="s">
        <v>63</v>
      </c>
      <c r="I192">
        <v>731112.00000000105</v>
      </c>
      <c r="J192">
        <v>3761504</v>
      </c>
      <c r="K192">
        <v>2</v>
      </c>
      <c r="L192">
        <v>731112.00000000105</v>
      </c>
    </row>
    <row r="193" spans="1:12" x14ac:dyDescent="0.35">
      <c r="A193">
        <v>191</v>
      </c>
      <c r="B193" t="s">
        <v>69</v>
      </c>
      <c r="C193">
        <v>731112.00000000105</v>
      </c>
      <c r="D193">
        <v>1462224</v>
      </c>
      <c r="G193">
        <v>191</v>
      </c>
      <c r="H193" t="s">
        <v>69</v>
      </c>
      <c r="I193">
        <v>731112.00000000105</v>
      </c>
      <c r="J193">
        <v>3761506</v>
      </c>
      <c r="K193">
        <v>0</v>
      </c>
      <c r="L193">
        <v>1462224</v>
      </c>
    </row>
    <row r="194" spans="1:12" x14ac:dyDescent="0.35">
      <c r="A194">
        <v>192</v>
      </c>
      <c r="B194" t="s">
        <v>63</v>
      </c>
      <c r="C194">
        <v>731112.00000000105</v>
      </c>
      <c r="D194">
        <v>731112.00000000105</v>
      </c>
      <c r="G194">
        <v>192</v>
      </c>
      <c r="H194" t="s">
        <v>63</v>
      </c>
      <c r="I194">
        <v>731112.00000000105</v>
      </c>
      <c r="J194">
        <v>3761506</v>
      </c>
      <c r="K194">
        <v>3.0000000009313199</v>
      </c>
      <c r="L194">
        <v>731112.00000000105</v>
      </c>
    </row>
    <row r="195" spans="1:12" x14ac:dyDescent="0.35">
      <c r="A195">
        <v>193</v>
      </c>
      <c r="B195" t="s">
        <v>69</v>
      </c>
      <c r="C195">
        <v>731114.00000000198</v>
      </c>
      <c r="D195">
        <v>1462226</v>
      </c>
      <c r="G195">
        <v>193</v>
      </c>
      <c r="H195" t="s">
        <v>69</v>
      </c>
      <c r="I195">
        <v>731114.00000000198</v>
      </c>
      <c r="J195">
        <v>3761507</v>
      </c>
      <c r="K195">
        <v>5.0000000009313199</v>
      </c>
      <c r="L195">
        <v>1462226</v>
      </c>
    </row>
    <row r="196" spans="1:12" x14ac:dyDescent="0.35">
      <c r="A196">
        <v>194</v>
      </c>
      <c r="B196" t="s">
        <v>63</v>
      </c>
      <c r="C196">
        <v>731112.00000000105</v>
      </c>
      <c r="D196">
        <v>731112.00000000105</v>
      </c>
      <c r="G196">
        <v>194</v>
      </c>
      <c r="H196" t="s">
        <v>63</v>
      </c>
      <c r="I196">
        <v>731112.00000000105</v>
      </c>
      <c r="J196">
        <v>3761504</v>
      </c>
      <c r="K196">
        <v>66.000000000931294</v>
      </c>
      <c r="L196">
        <v>731112.00000000105</v>
      </c>
    </row>
    <row r="197" spans="1:12" x14ac:dyDescent="0.35">
      <c r="A197">
        <v>195</v>
      </c>
      <c r="B197" t="s">
        <v>919</v>
      </c>
      <c r="C197">
        <v>731137.00000000198</v>
      </c>
      <c r="D197">
        <v>1462249</v>
      </c>
      <c r="G197">
        <v>195</v>
      </c>
      <c r="H197" t="s">
        <v>919</v>
      </c>
      <c r="I197">
        <v>731137.00000000198</v>
      </c>
      <c r="J197">
        <v>3761463</v>
      </c>
      <c r="K197">
        <v>46.999999998020897</v>
      </c>
      <c r="L197">
        <v>1462249</v>
      </c>
    </row>
    <row r="198" spans="1:12" x14ac:dyDescent="0.35">
      <c r="A198">
        <v>196</v>
      </c>
      <c r="B198" t="s">
        <v>919</v>
      </c>
      <c r="C198">
        <v>731154</v>
      </c>
      <c r="D198">
        <v>2193403</v>
      </c>
      <c r="G198">
        <v>196</v>
      </c>
      <c r="H198" t="s">
        <v>919</v>
      </c>
      <c r="I198">
        <v>731154</v>
      </c>
      <c r="J198">
        <v>3761433</v>
      </c>
      <c r="K198">
        <v>39</v>
      </c>
      <c r="L198">
        <v>2193403</v>
      </c>
    </row>
    <row r="199" spans="1:12" x14ac:dyDescent="0.35">
      <c r="A199">
        <v>197</v>
      </c>
      <c r="B199" t="s">
        <v>69</v>
      </c>
      <c r="C199">
        <v>731159</v>
      </c>
      <c r="D199">
        <v>2924562</v>
      </c>
      <c r="G199">
        <v>197</v>
      </c>
      <c r="H199" t="s">
        <v>69</v>
      </c>
      <c r="I199">
        <v>731159</v>
      </c>
      <c r="J199">
        <v>3761399</v>
      </c>
      <c r="K199">
        <v>0</v>
      </c>
      <c r="L199">
        <v>2924562</v>
      </c>
    </row>
    <row r="200" spans="1:12" x14ac:dyDescent="0.35">
      <c r="A200">
        <v>198</v>
      </c>
      <c r="B200" t="s">
        <v>63</v>
      </c>
      <c r="C200">
        <v>731159</v>
      </c>
      <c r="D200">
        <v>731159</v>
      </c>
      <c r="G200">
        <v>198</v>
      </c>
      <c r="H200" t="s">
        <v>63</v>
      </c>
      <c r="I200">
        <v>731159</v>
      </c>
      <c r="J200">
        <v>3761399</v>
      </c>
      <c r="K200">
        <v>2.00000000197906</v>
      </c>
      <c r="L200">
        <v>731159</v>
      </c>
    </row>
    <row r="201" spans="1:12" x14ac:dyDescent="0.35">
      <c r="A201">
        <v>199</v>
      </c>
      <c r="B201" t="s">
        <v>69</v>
      </c>
      <c r="C201">
        <v>731160.00000000198</v>
      </c>
      <c r="D201">
        <v>1462319</v>
      </c>
      <c r="G201">
        <v>199</v>
      </c>
      <c r="H201" t="s">
        <v>69</v>
      </c>
      <c r="I201">
        <v>731160.00000000198</v>
      </c>
      <c r="J201">
        <v>3761400</v>
      </c>
      <c r="K201">
        <v>0</v>
      </c>
      <c r="L201">
        <v>1462319</v>
      </c>
    </row>
    <row r="202" spans="1:12" x14ac:dyDescent="0.35">
      <c r="A202">
        <v>200</v>
      </c>
      <c r="B202" t="s">
        <v>63</v>
      </c>
      <c r="C202">
        <v>731160.00000000198</v>
      </c>
      <c r="D202">
        <v>731160.00000000198</v>
      </c>
      <c r="G202">
        <v>200</v>
      </c>
      <c r="H202" t="s">
        <v>63</v>
      </c>
      <c r="I202">
        <v>731160.00000000198</v>
      </c>
      <c r="J202">
        <v>3761400</v>
      </c>
      <c r="K202">
        <v>0.99999999906867698</v>
      </c>
      <c r="L202">
        <v>731160.00000000198</v>
      </c>
    </row>
    <row r="203" spans="1:12" x14ac:dyDescent="0.35">
      <c r="A203">
        <v>201</v>
      </c>
      <c r="B203" t="s">
        <v>69</v>
      </c>
      <c r="C203">
        <v>731161.00000000105</v>
      </c>
      <c r="D203">
        <v>1462321</v>
      </c>
      <c r="G203">
        <v>201</v>
      </c>
      <c r="H203" t="s">
        <v>69</v>
      </c>
      <c r="I203">
        <v>731161.00000000105</v>
      </c>
      <c r="J203">
        <v>3761400</v>
      </c>
      <c r="K203">
        <v>1451.00000000105</v>
      </c>
      <c r="L203">
        <v>1462321</v>
      </c>
    </row>
    <row r="204" spans="1:12" x14ac:dyDescent="0.35">
      <c r="A204">
        <v>202</v>
      </c>
      <c r="B204" t="s">
        <v>63</v>
      </c>
      <c r="C204">
        <v>730840</v>
      </c>
      <c r="D204">
        <v>730840</v>
      </c>
      <c r="G204">
        <v>202</v>
      </c>
      <c r="H204" t="s">
        <v>63</v>
      </c>
      <c r="I204">
        <v>730840</v>
      </c>
      <c r="J204">
        <v>3762530</v>
      </c>
      <c r="K204">
        <v>50</v>
      </c>
      <c r="L204">
        <v>730840</v>
      </c>
    </row>
    <row r="205" spans="1:12" x14ac:dyDescent="0.35">
      <c r="A205">
        <v>203</v>
      </c>
      <c r="B205" t="s">
        <v>69</v>
      </c>
      <c r="C205">
        <v>730883</v>
      </c>
      <c r="D205">
        <v>1461723</v>
      </c>
      <c r="G205">
        <v>203</v>
      </c>
      <c r="H205" t="s">
        <v>69</v>
      </c>
      <c r="I205">
        <v>730883</v>
      </c>
      <c r="J205">
        <v>3762523</v>
      </c>
      <c r="K205">
        <v>0</v>
      </c>
      <c r="L205">
        <v>1461723</v>
      </c>
    </row>
    <row r="206" spans="1:12" x14ac:dyDescent="0.35">
      <c r="A206">
        <v>204</v>
      </c>
      <c r="B206" t="s">
        <v>63</v>
      </c>
      <c r="C206">
        <v>730883</v>
      </c>
      <c r="D206">
        <v>730883</v>
      </c>
      <c r="G206">
        <v>204</v>
      </c>
      <c r="H206" t="s">
        <v>63</v>
      </c>
      <c r="I206">
        <v>730883</v>
      </c>
      <c r="J206">
        <v>3762523</v>
      </c>
      <c r="K206">
        <v>54</v>
      </c>
      <c r="L206">
        <v>730883</v>
      </c>
    </row>
    <row r="207" spans="1:12" x14ac:dyDescent="0.35">
      <c r="A207">
        <v>205</v>
      </c>
      <c r="B207" t="s">
        <v>69</v>
      </c>
      <c r="C207">
        <v>730868</v>
      </c>
      <c r="D207">
        <v>1461751</v>
      </c>
      <c r="G207">
        <v>205</v>
      </c>
      <c r="H207" t="s">
        <v>69</v>
      </c>
      <c r="I207">
        <v>730868</v>
      </c>
      <c r="J207">
        <v>3762484</v>
      </c>
      <c r="K207">
        <v>0</v>
      </c>
      <c r="L207">
        <v>1461751</v>
      </c>
    </row>
    <row r="208" spans="1:12" x14ac:dyDescent="0.35">
      <c r="A208">
        <v>206</v>
      </c>
      <c r="B208" t="s">
        <v>63</v>
      </c>
      <c r="C208">
        <v>730868</v>
      </c>
      <c r="D208">
        <v>730868</v>
      </c>
      <c r="G208">
        <v>206</v>
      </c>
      <c r="H208" t="s">
        <v>63</v>
      </c>
      <c r="I208">
        <v>730868</v>
      </c>
      <c r="J208">
        <v>3762484</v>
      </c>
      <c r="K208">
        <v>176.000000001979</v>
      </c>
      <c r="L208">
        <v>730868</v>
      </c>
    </row>
    <row r="209" spans="1:12" x14ac:dyDescent="0.35">
      <c r="A209">
        <v>207</v>
      </c>
      <c r="B209" t="s">
        <v>919</v>
      </c>
      <c r="C209">
        <v>730963.00000000198</v>
      </c>
      <c r="D209">
        <v>1461831</v>
      </c>
      <c r="G209">
        <v>207</v>
      </c>
      <c r="H209" t="s">
        <v>919</v>
      </c>
      <c r="I209">
        <v>730963.00000000198</v>
      </c>
      <c r="J209">
        <v>3762403</v>
      </c>
      <c r="K209">
        <v>169.999999998021</v>
      </c>
      <c r="L209">
        <v>1461831</v>
      </c>
    </row>
    <row r="210" spans="1:12" x14ac:dyDescent="0.35">
      <c r="A210">
        <v>208</v>
      </c>
      <c r="B210" t="s">
        <v>919</v>
      </c>
      <c r="C210">
        <v>731059</v>
      </c>
      <c r="D210">
        <v>2192890</v>
      </c>
      <c r="G210">
        <v>208</v>
      </c>
      <c r="H210" t="s">
        <v>919</v>
      </c>
      <c r="I210">
        <v>731059</v>
      </c>
      <c r="J210">
        <v>3762329</v>
      </c>
      <c r="K210">
        <v>161</v>
      </c>
      <c r="L210">
        <v>2192890</v>
      </c>
    </row>
    <row r="211" spans="1:12" x14ac:dyDescent="0.35">
      <c r="A211">
        <v>209</v>
      </c>
      <c r="B211" t="s">
        <v>69</v>
      </c>
      <c r="C211">
        <v>731151</v>
      </c>
      <c r="D211">
        <v>2924041</v>
      </c>
      <c r="G211">
        <v>209</v>
      </c>
      <c r="H211" t="s">
        <v>69</v>
      </c>
      <c r="I211">
        <v>731151</v>
      </c>
      <c r="J211">
        <v>3762260</v>
      </c>
      <c r="K211">
        <v>0</v>
      </c>
      <c r="L211">
        <v>2924041</v>
      </c>
    </row>
    <row r="212" spans="1:12" x14ac:dyDescent="0.35">
      <c r="A212">
        <v>210</v>
      </c>
      <c r="B212" t="s">
        <v>63</v>
      </c>
      <c r="C212">
        <v>731151</v>
      </c>
      <c r="D212">
        <v>731151</v>
      </c>
      <c r="G212">
        <v>210</v>
      </c>
      <c r="H212" t="s">
        <v>63</v>
      </c>
      <c r="I212">
        <v>731151</v>
      </c>
      <c r="J212">
        <v>3762260</v>
      </c>
      <c r="K212">
        <v>2</v>
      </c>
      <c r="L212">
        <v>731151</v>
      </c>
    </row>
    <row r="213" spans="1:12" x14ac:dyDescent="0.35">
      <c r="A213">
        <v>211</v>
      </c>
      <c r="B213" t="s">
        <v>69</v>
      </c>
      <c r="C213">
        <v>731149</v>
      </c>
      <c r="D213">
        <v>1462300</v>
      </c>
      <c r="G213">
        <v>211</v>
      </c>
      <c r="H213" t="s">
        <v>69</v>
      </c>
      <c r="I213">
        <v>731149</v>
      </c>
      <c r="J213">
        <v>3762260</v>
      </c>
      <c r="K213">
        <v>0</v>
      </c>
      <c r="L213">
        <v>1462300</v>
      </c>
    </row>
    <row r="214" spans="1:12" x14ac:dyDescent="0.35">
      <c r="A214">
        <v>212</v>
      </c>
      <c r="B214" t="s">
        <v>63</v>
      </c>
      <c r="C214">
        <v>731149</v>
      </c>
      <c r="D214">
        <v>731149</v>
      </c>
      <c r="G214">
        <v>212</v>
      </c>
      <c r="H214" t="s">
        <v>63</v>
      </c>
      <c r="I214">
        <v>731149</v>
      </c>
      <c r="J214">
        <v>3762260</v>
      </c>
      <c r="K214">
        <v>2</v>
      </c>
      <c r="L214">
        <v>731149</v>
      </c>
    </row>
    <row r="215" spans="1:12" x14ac:dyDescent="0.35">
      <c r="A215">
        <v>213</v>
      </c>
      <c r="B215" t="s">
        <v>69</v>
      </c>
      <c r="C215">
        <v>731149</v>
      </c>
      <c r="D215">
        <v>1462298</v>
      </c>
      <c r="G215">
        <v>213</v>
      </c>
      <c r="H215" t="s">
        <v>69</v>
      </c>
      <c r="I215">
        <v>731149</v>
      </c>
      <c r="J215">
        <v>3762258</v>
      </c>
      <c r="K215">
        <v>4</v>
      </c>
      <c r="L215">
        <v>1462298</v>
      </c>
    </row>
    <row r="216" spans="1:12" x14ac:dyDescent="0.35">
      <c r="A216">
        <v>214</v>
      </c>
      <c r="B216" t="s">
        <v>63</v>
      </c>
      <c r="C216">
        <v>731151</v>
      </c>
      <c r="D216">
        <v>731151</v>
      </c>
      <c r="G216">
        <v>214</v>
      </c>
      <c r="H216" t="s">
        <v>63</v>
      </c>
      <c r="I216">
        <v>731151</v>
      </c>
      <c r="J216">
        <v>3762260</v>
      </c>
      <c r="K216">
        <v>125.00000000104799</v>
      </c>
      <c r="L216">
        <v>731151</v>
      </c>
    </row>
    <row r="217" spans="1:12" x14ac:dyDescent="0.35">
      <c r="A217">
        <v>215</v>
      </c>
      <c r="B217" t="s">
        <v>69</v>
      </c>
      <c r="C217">
        <v>731222.00000000105</v>
      </c>
      <c r="D217">
        <v>1462373</v>
      </c>
      <c r="G217">
        <v>215</v>
      </c>
      <c r="H217" t="s">
        <v>69</v>
      </c>
      <c r="I217">
        <v>731222.00000000105</v>
      </c>
      <c r="J217">
        <v>3762206</v>
      </c>
      <c r="K217">
        <v>0</v>
      </c>
      <c r="L217">
        <v>1462373</v>
      </c>
    </row>
    <row r="218" spans="1:12" x14ac:dyDescent="0.35">
      <c r="A218">
        <v>216</v>
      </c>
      <c r="B218" t="s">
        <v>63</v>
      </c>
      <c r="C218">
        <v>731222.00000000105</v>
      </c>
      <c r="D218">
        <v>731222.00000000105</v>
      </c>
      <c r="G218">
        <v>216</v>
      </c>
      <c r="H218" t="s">
        <v>63</v>
      </c>
      <c r="I218">
        <v>731222.00000000105</v>
      </c>
      <c r="J218">
        <v>3762206</v>
      </c>
      <c r="K218">
        <v>3</v>
      </c>
      <c r="L218">
        <v>731222.00000000105</v>
      </c>
    </row>
    <row r="219" spans="1:12" x14ac:dyDescent="0.35">
      <c r="A219">
        <v>217</v>
      </c>
      <c r="B219" t="s">
        <v>69</v>
      </c>
      <c r="C219">
        <v>731220.00000000105</v>
      </c>
      <c r="D219">
        <v>1462442</v>
      </c>
      <c r="G219">
        <v>217</v>
      </c>
      <c r="H219" t="s">
        <v>69</v>
      </c>
      <c r="I219">
        <v>731220.00000000105</v>
      </c>
      <c r="J219">
        <v>3762207</v>
      </c>
      <c r="K219">
        <v>0</v>
      </c>
      <c r="L219">
        <v>1462442</v>
      </c>
    </row>
    <row r="220" spans="1:12" x14ac:dyDescent="0.35">
      <c r="A220">
        <v>218</v>
      </c>
      <c r="B220" t="s">
        <v>63</v>
      </c>
      <c r="C220">
        <v>731220.00000000105</v>
      </c>
      <c r="D220">
        <v>731220.00000000105</v>
      </c>
      <c r="G220">
        <v>218</v>
      </c>
      <c r="H220" t="s">
        <v>63</v>
      </c>
      <c r="I220">
        <v>731220.00000000105</v>
      </c>
      <c r="J220">
        <v>3762207</v>
      </c>
      <c r="K220">
        <v>1.9999999989522601</v>
      </c>
      <c r="L220">
        <v>731220.00000000105</v>
      </c>
    </row>
    <row r="221" spans="1:12" x14ac:dyDescent="0.35">
      <c r="A221">
        <v>219</v>
      </c>
      <c r="B221" t="s">
        <v>69</v>
      </c>
      <c r="C221">
        <v>731221</v>
      </c>
      <c r="D221">
        <v>1462441</v>
      </c>
      <c r="G221">
        <v>219</v>
      </c>
      <c r="H221" t="s">
        <v>69</v>
      </c>
      <c r="I221">
        <v>731221</v>
      </c>
      <c r="J221">
        <v>3762206</v>
      </c>
      <c r="K221">
        <v>1.0000000010477399</v>
      </c>
      <c r="L221">
        <v>1462441</v>
      </c>
    </row>
    <row r="222" spans="1:12" x14ac:dyDescent="0.35">
      <c r="A222">
        <v>220</v>
      </c>
      <c r="B222" t="s">
        <v>63</v>
      </c>
      <c r="C222">
        <v>731222.00000000105</v>
      </c>
      <c r="D222">
        <v>731222.00000000105</v>
      </c>
      <c r="G222">
        <v>220</v>
      </c>
      <c r="H222" t="s">
        <v>63</v>
      </c>
      <c r="I222">
        <v>731222.00000000105</v>
      </c>
      <c r="J222">
        <v>3762206</v>
      </c>
      <c r="K222">
        <v>82.999999998952305</v>
      </c>
      <c r="L222">
        <v>731222.00000000105</v>
      </c>
    </row>
    <row r="223" spans="1:12" x14ac:dyDescent="0.35">
      <c r="A223">
        <v>221</v>
      </c>
      <c r="B223" t="s">
        <v>919</v>
      </c>
      <c r="C223">
        <v>731261</v>
      </c>
      <c r="D223">
        <v>1462483</v>
      </c>
      <c r="G223">
        <v>221</v>
      </c>
      <c r="H223" t="s">
        <v>919</v>
      </c>
      <c r="I223">
        <v>731261</v>
      </c>
      <c r="J223">
        <v>3762250</v>
      </c>
      <c r="K223">
        <v>60</v>
      </c>
      <c r="L223">
        <v>1462483</v>
      </c>
    </row>
    <row r="224" spans="1:12" x14ac:dyDescent="0.35">
      <c r="A224">
        <v>222</v>
      </c>
      <c r="B224" t="s">
        <v>919</v>
      </c>
      <c r="C224">
        <v>731290</v>
      </c>
      <c r="D224">
        <v>2193773</v>
      </c>
      <c r="G224">
        <v>222</v>
      </c>
      <c r="H224" t="s">
        <v>919</v>
      </c>
      <c r="I224">
        <v>731290</v>
      </c>
      <c r="J224">
        <v>3762281</v>
      </c>
      <c r="K224">
        <v>73.000000001047695</v>
      </c>
      <c r="L224">
        <v>2193773</v>
      </c>
    </row>
    <row r="225" spans="1:12" x14ac:dyDescent="0.35">
      <c r="A225">
        <v>223</v>
      </c>
      <c r="B225" t="s">
        <v>919</v>
      </c>
      <c r="C225">
        <v>731327.00000000105</v>
      </c>
      <c r="D225">
        <v>2925100</v>
      </c>
      <c r="G225">
        <v>223</v>
      </c>
      <c r="H225" t="s">
        <v>919</v>
      </c>
      <c r="I225">
        <v>731327.00000000105</v>
      </c>
      <c r="J225">
        <v>3762317</v>
      </c>
      <c r="K225">
        <v>70</v>
      </c>
      <c r="L225">
        <v>2925100</v>
      </c>
    </row>
    <row r="226" spans="1:12" x14ac:dyDescent="0.35">
      <c r="A226">
        <v>224</v>
      </c>
      <c r="B226" t="s">
        <v>69</v>
      </c>
      <c r="C226">
        <v>731360.00000000105</v>
      </c>
      <c r="D226">
        <v>3656460</v>
      </c>
      <c r="G226">
        <v>224</v>
      </c>
      <c r="H226" t="s">
        <v>69</v>
      </c>
      <c r="I226">
        <v>731360.00000000105</v>
      </c>
      <c r="J226">
        <v>3762354</v>
      </c>
      <c r="K226">
        <v>0</v>
      </c>
      <c r="L226">
        <v>3656460</v>
      </c>
    </row>
    <row r="227" spans="1:12" x14ac:dyDescent="0.35">
      <c r="A227">
        <v>225</v>
      </c>
      <c r="B227" t="s">
        <v>63</v>
      </c>
      <c r="C227">
        <v>731360.00000000105</v>
      </c>
      <c r="D227">
        <v>731360.00000000105</v>
      </c>
      <c r="G227">
        <v>225</v>
      </c>
      <c r="H227" t="s">
        <v>63</v>
      </c>
      <c r="I227">
        <v>731360.00000000105</v>
      </c>
      <c r="J227">
        <v>3762354</v>
      </c>
      <c r="K227">
        <v>1</v>
      </c>
      <c r="L227">
        <v>731360.00000000105</v>
      </c>
    </row>
    <row r="228" spans="1:12" x14ac:dyDescent="0.35">
      <c r="A228">
        <v>226</v>
      </c>
      <c r="B228" t="s">
        <v>69</v>
      </c>
      <c r="C228">
        <v>731360.00000000105</v>
      </c>
      <c r="D228">
        <v>1462720</v>
      </c>
      <c r="G228">
        <v>226</v>
      </c>
      <c r="H228" t="s">
        <v>69</v>
      </c>
      <c r="I228">
        <v>731360.00000000105</v>
      </c>
      <c r="J228">
        <v>3762355</v>
      </c>
      <c r="K228">
        <v>0</v>
      </c>
      <c r="L228">
        <v>1462720</v>
      </c>
    </row>
    <row r="229" spans="1:12" x14ac:dyDescent="0.35">
      <c r="A229">
        <v>227</v>
      </c>
      <c r="B229" t="s">
        <v>63</v>
      </c>
      <c r="C229">
        <v>731360.00000000105</v>
      </c>
      <c r="D229">
        <v>731360.00000000105</v>
      </c>
      <c r="G229">
        <v>227</v>
      </c>
      <c r="H229" t="s">
        <v>63</v>
      </c>
      <c r="I229">
        <v>731360.00000000105</v>
      </c>
      <c r="J229">
        <v>3762355</v>
      </c>
      <c r="K229">
        <v>2</v>
      </c>
      <c r="L229">
        <v>731360.00000000105</v>
      </c>
    </row>
    <row r="230" spans="1:12" x14ac:dyDescent="0.35">
      <c r="A230">
        <v>228</v>
      </c>
      <c r="B230" t="s">
        <v>69</v>
      </c>
      <c r="C230">
        <v>731358.00000000105</v>
      </c>
      <c r="D230">
        <v>1462718</v>
      </c>
      <c r="G230">
        <v>228</v>
      </c>
      <c r="H230" t="s">
        <v>69</v>
      </c>
      <c r="I230">
        <v>731358.00000000105</v>
      </c>
      <c r="J230">
        <v>3762355</v>
      </c>
      <c r="K230">
        <v>3</v>
      </c>
      <c r="L230">
        <v>1462718</v>
      </c>
    </row>
    <row r="231" spans="1:12" x14ac:dyDescent="0.35">
      <c r="A231">
        <v>229</v>
      </c>
      <c r="B231" t="s">
        <v>63</v>
      </c>
      <c r="C231">
        <v>731360.00000000105</v>
      </c>
      <c r="D231">
        <v>731360.00000000105</v>
      </c>
      <c r="G231">
        <v>229</v>
      </c>
      <c r="H231" t="s">
        <v>63</v>
      </c>
      <c r="I231">
        <v>731360.00000000105</v>
      </c>
      <c r="J231">
        <v>3762354</v>
      </c>
      <c r="K231">
        <v>50</v>
      </c>
      <c r="L231">
        <v>731360.00000000105</v>
      </c>
    </row>
    <row r="232" spans="1:12" x14ac:dyDescent="0.35">
      <c r="A232">
        <v>230</v>
      </c>
      <c r="B232" t="s">
        <v>69</v>
      </c>
      <c r="C232">
        <v>731391.00000000105</v>
      </c>
      <c r="D232">
        <v>1462751</v>
      </c>
      <c r="G232">
        <v>230</v>
      </c>
      <c r="H232" t="s">
        <v>69</v>
      </c>
      <c r="I232">
        <v>731391.00000000105</v>
      </c>
      <c r="J232">
        <v>3762373</v>
      </c>
      <c r="K232">
        <v>0</v>
      </c>
      <c r="L232">
        <v>1462751</v>
      </c>
    </row>
    <row r="233" spans="1:12" x14ac:dyDescent="0.35">
      <c r="A233">
        <v>231</v>
      </c>
      <c r="B233" t="s">
        <v>63</v>
      </c>
      <c r="C233">
        <v>731391.00000000105</v>
      </c>
      <c r="D233">
        <v>731391.00000000105</v>
      </c>
      <c r="G233">
        <v>231</v>
      </c>
      <c r="H233" t="s">
        <v>63</v>
      </c>
      <c r="I233">
        <v>731391.00000000105</v>
      </c>
      <c r="J233">
        <v>3762373</v>
      </c>
      <c r="K233">
        <v>1.9999999989522601</v>
      </c>
      <c r="L233">
        <v>731391.00000000105</v>
      </c>
    </row>
    <row r="234" spans="1:12" x14ac:dyDescent="0.35">
      <c r="A234">
        <v>232</v>
      </c>
      <c r="B234" t="s">
        <v>69</v>
      </c>
      <c r="C234">
        <v>731392</v>
      </c>
      <c r="D234">
        <v>1462783</v>
      </c>
      <c r="G234">
        <v>232</v>
      </c>
      <c r="H234" t="s">
        <v>69</v>
      </c>
      <c r="I234">
        <v>731392</v>
      </c>
      <c r="J234">
        <v>3762374</v>
      </c>
      <c r="K234">
        <v>0</v>
      </c>
      <c r="L234">
        <v>1462783</v>
      </c>
    </row>
    <row r="235" spans="1:12" x14ac:dyDescent="0.35">
      <c r="A235">
        <v>233</v>
      </c>
      <c r="B235" t="s">
        <v>63</v>
      </c>
      <c r="C235">
        <v>731392</v>
      </c>
      <c r="D235">
        <v>731392</v>
      </c>
      <c r="G235">
        <v>233</v>
      </c>
      <c r="H235" t="s">
        <v>63</v>
      </c>
      <c r="I235">
        <v>731392</v>
      </c>
      <c r="J235">
        <v>3762374</v>
      </c>
      <c r="K235">
        <v>0.99999999895226199</v>
      </c>
      <c r="L235">
        <v>731392</v>
      </c>
    </row>
    <row r="236" spans="1:12" x14ac:dyDescent="0.35">
      <c r="A236">
        <v>234</v>
      </c>
      <c r="B236" t="s">
        <v>69</v>
      </c>
      <c r="C236">
        <v>731391.00000000105</v>
      </c>
      <c r="D236">
        <v>1462783</v>
      </c>
      <c r="G236">
        <v>234</v>
      </c>
      <c r="H236" t="s">
        <v>69</v>
      </c>
      <c r="I236">
        <v>731391.00000000105</v>
      </c>
      <c r="J236">
        <v>3762374</v>
      </c>
      <c r="K236">
        <v>337</v>
      </c>
      <c r="L236">
        <v>1462783</v>
      </c>
    </row>
    <row r="237" spans="1:12" x14ac:dyDescent="0.35">
      <c r="A237">
        <v>235</v>
      </c>
      <c r="B237" t="s">
        <v>63</v>
      </c>
      <c r="C237">
        <v>731222.00000000105</v>
      </c>
      <c r="D237">
        <v>731222.00000000105</v>
      </c>
      <c r="G237">
        <v>235</v>
      </c>
      <c r="H237" t="s">
        <v>63</v>
      </c>
      <c r="I237">
        <v>731222.00000000105</v>
      </c>
      <c r="J237">
        <v>3762206</v>
      </c>
      <c r="K237">
        <v>43</v>
      </c>
      <c r="L237">
        <v>731222.00000000105</v>
      </c>
    </row>
    <row r="238" spans="1:12" x14ac:dyDescent="0.35">
      <c r="A238">
        <v>236</v>
      </c>
      <c r="B238" t="s">
        <v>919</v>
      </c>
      <c r="C238">
        <v>731245.00000000105</v>
      </c>
      <c r="D238">
        <v>1462467</v>
      </c>
      <c r="G238">
        <v>236</v>
      </c>
      <c r="H238" t="s">
        <v>919</v>
      </c>
      <c r="I238">
        <v>731245.00000000105</v>
      </c>
      <c r="J238">
        <v>3762186</v>
      </c>
      <c r="K238">
        <v>175</v>
      </c>
      <c r="L238">
        <v>1462467</v>
      </c>
    </row>
    <row r="239" spans="1:12" x14ac:dyDescent="0.35">
      <c r="A239">
        <v>237</v>
      </c>
      <c r="B239" t="s">
        <v>919</v>
      </c>
      <c r="C239">
        <v>731342.00000000105</v>
      </c>
      <c r="D239">
        <v>2193809</v>
      </c>
      <c r="G239">
        <v>237</v>
      </c>
      <c r="H239" t="s">
        <v>919</v>
      </c>
      <c r="I239">
        <v>731342.00000000105</v>
      </c>
      <c r="J239">
        <v>3762108</v>
      </c>
      <c r="K239">
        <v>128.99999999895201</v>
      </c>
      <c r="L239">
        <v>2193809</v>
      </c>
    </row>
    <row r="240" spans="1:12" x14ac:dyDescent="0.35">
      <c r="A240">
        <v>238</v>
      </c>
      <c r="B240" t="s">
        <v>69</v>
      </c>
      <c r="C240">
        <v>731415</v>
      </c>
      <c r="D240">
        <v>2925224</v>
      </c>
      <c r="G240">
        <v>238</v>
      </c>
      <c r="H240" t="s">
        <v>69</v>
      </c>
      <c r="I240">
        <v>731415</v>
      </c>
      <c r="J240">
        <v>3762052</v>
      </c>
      <c r="K240">
        <v>0</v>
      </c>
      <c r="L240">
        <v>2925224</v>
      </c>
    </row>
    <row r="241" spans="1:12" x14ac:dyDescent="0.35">
      <c r="A241">
        <v>239</v>
      </c>
      <c r="B241" t="s">
        <v>63</v>
      </c>
      <c r="C241">
        <v>731415</v>
      </c>
      <c r="D241">
        <v>731415</v>
      </c>
      <c r="G241">
        <v>239</v>
      </c>
      <c r="H241" t="s">
        <v>63</v>
      </c>
      <c r="I241">
        <v>731415</v>
      </c>
      <c r="J241">
        <v>3762052</v>
      </c>
      <c r="K241">
        <v>3.0000000010477401</v>
      </c>
      <c r="L241">
        <v>731415</v>
      </c>
    </row>
    <row r="242" spans="1:12" x14ac:dyDescent="0.35">
      <c r="A242">
        <v>240</v>
      </c>
      <c r="B242" t="s">
        <v>69</v>
      </c>
      <c r="C242">
        <v>731416.00000000105</v>
      </c>
      <c r="D242">
        <v>1462831</v>
      </c>
      <c r="G242">
        <v>240</v>
      </c>
      <c r="H242" t="s">
        <v>69</v>
      </c>
      <c r="I242">
        <v>731416.00000000105</v>
      </c>
      <c r="J242">
        <v>3762054</v>
      </c>
      <c r="K242">
        <v>0</v>
      </c>
      <c r="L242">
        <v>1462831</v>
      </c>
    </row>
    <row r="243" spans="1:12" x14ac:dyDescent="0.35">
      <c r="A243">
        <v>241</v>
      </c>
      <c r="B243" t="s">
        <v>63</v>
      </c>
      <c r="C243">
        <v>731416.00000000105</v>
      </c>
      <c r="D243">
        <v>731416.00000000105</v>
      </c>
      <c r="G243">
        <v>241</v>
      </c>
      <c r="H243" t="s">
        <v>63</v>
      </c>
      <c r="I243">
        <v>731416.00000000105</v>
      </c>
      <c r="J243">
        <v>3762054</v>
      </c>
      <c r="K243">
        <v>3</v>
      </c>
      <c r="L243">
        <v>731416.00000000105</v>
      </c>
    </row>
    <row r="244" spans="1:12" x14ac:dyDescent="0.35">
      <c r="A244">
        <v>242</v>
      </c>
      <c r="B244" t="s">
        <v>69</v>
      </c>
      <c r="C244">
        <v>731414.00000000105</v>
      </c>
      <c r="D244">
        <v>1462830</v>
      </c>
      <c r="G244">
        <v>242</v>
      </c>
      <c r="H244" t="s">
        <v>69</v>
      </c>
      <c r="I244">
        <v>731414.00000000105</v>
      </c>
      <c r="J244">
        <v>3762053</v>
      </c>
      <c r="K244">
        <v>1.9999999989522601</v>
      </c>
      <c r="L244">
        <v>1462830</v>
      </c>
    </row>
    <row r="245" spans="1:12" x14ac:dyDescent="0.35">
      <c r="A245">
        <v>243</v>
      </c>
      <c r="B245" t="s">
        <v>63</v>
      </c>
      <c r="C245">
        <v>731415</v>
      </c>
      <c r="D245">
        <v>731415</v>
      </c>
      <c r="G245">
        <v>243</v>
      </c>
      <c r="H245" t="s">
        <v>63</v>
      </c>
      <c r="I245">
        <v>731415</v>
      </c>
      <c r="J245">
        <v>3762052</v>
      </c>
      <c r="K245">
        <v>29.000000001047699</v>
      </c>
      <c r="L245">
        <v>731415</v>
      </c>
    </row>
    <row r="246" spans="1:12" x14ac:dyDescent="0.35">
      <c r="A246">
        <v>244</v>
      </c>
      <c r="B246" t="s">
        <v>919</v>
      </c>
      <c r="C246">
        <v>731429.00000000105</v>
      </c>
      <c r="D246">
        <v>1462844</v>
      </c>
      <c r="G246">
        <v>244</v>
      </c>
      <c r="H246" t="s">
        <v>919</v>
      </c>
      <c r="I246">
        <v>731429.00000000105</v>
      </c>
      <c r="J246">
        <v>3762037</v>
      </c>
      <c r="K246">
        <v>63</v>
      </c>
      <c r="L246">
        <v>1462844</v>
      </c>
    </row>
    <row r="247" spans="1:12" x14ac:dyDescent="0.35">
      <c r="A247">
        <v>245</v>
      </c>
      <c r="B247" t="s">
        <v>69</v>
      </c>
      <c r="C247">
        <v>731467.00000000105</v>
      </c>
      <c r="D247">
        <v>2194311</v>
      </c>
      <c r="G247">
        <v>245</v>
      </c>
      <c r="H247" t="s">
        <v>69</v>
      </c>
      <c r="I247">
        <v>731467.00000000105</v>
      </c>
      <c r="J247">
        <v>3762012</v>
      </c>
      <c r="K247">
        <v>0</v>
      </c>
      <c r="L247">
        <v>2194311</v>
      </c>
    </row>
    <row r="248" spans="1:12" x14ac:dyDescent="0.35">
      <c r="A248">
        <v>246</v>
      </c>
      <c r="B248" t="s">
        <v>63</v>
      </c>
      <c r="C248">
        <v>731467.00000000105</v>
      </c>
      <c r="D248">
        <v>731467.00000000105</v>
      </c>
      <c r="G248">
        <v>246</v>
      </c>
      <c r="H248" t="s">
        <v>63</v>
      </c>
      <c r="I248">
        <v>731467.00000000105</v>
      </c>
      <c r="J248">
        <v>3762012</v>
      </c>
      <c r="K248">
        <v>42</v>
      </c>
      <c r="L248">
        <v>731467.00000000105</v>
      </c>
    </row>
    <row r="249" spans="1:12" x14ac:dyDescent="0.35">
      <c r="A249">
        <v>247</v>
      </c>
      <c r="B249" t="s">
        <v>919</v>
      </c>
      <c r="C249">
        <v>731488.00000000105</v>
      </c>
      <c r="D249">
        <v>1462955</v>
      </c>
      <c r="G249">
        <v>247</v>
      </c>
      <c r="H249" t="s">
        <v>919</v>
      </c>
      <c r="I249">
        <v>731488.00000000105</v>
      </c>
      <c r="J249">
        <v>3762033</v>
      </c>
      <c r="K249">
        <v>52</v>
      </c>
      <c r="L249">
        <v>1462955</v>
      </c>
    </row>
    <row r="250" spans="1:12" x14ac:dyDescent="0.35">
      <c r="A250">
        <v>248</v>
      </c>
      <c r="B250" t="s">
        <v>69</v>
      </c>
      <c r="C250">
        <v>731506.00000000105</v>
      </c>
      <c r="D250">
        <v>2194461</v>
      </c>
      <c r="G250">
        <v>248</v>
      </c>
      <c r="H250" t="s">
        <v>69</v>
      </c>
      <c r="I250">
        <v>731506.00000000105</v>
      </c>
      <c r="J250">
        <v>3762067</v>
      </c>
      <c r="K250">
        <v>0</v>
      </c>
      <c r="L250">
        <v>2194461</v>
      </c>
    </row>
    <row r="251" spans="1:12" x14ac:dyDescent="0.35">
      <c r="A251">
        <v>249</v>
      </c>
      <c r="B251" t="s">
        <v>63</v>
      </c>
      <c r="C251">
        <v>731506.00000000105</v>
      </c>
      <c r="D251">
        <v>731506.00000000105</v>
      </c>
      <c r="G251">
        <v>249</v>
      </c>
      <c r="H251" t="s">
        <v>63</v>
      </c>
      <c r="I251">
        <v>731506.00000000105</v>
      </c>
      <c r="J251">
        <v>3762067</v>
      </c>
      <c r="K251">
        <v>1</v>
      </c>
      <c r="L251">
        <v>731506.00000000105</v>
      </c>
    </row>
    <row r="252" spans="1:12" x14ac:dyDescent="0.35">
      <c r="A252">
        <v>250</v>
      </c>
      <c r="B252" t="s">
        <v>69</v>
      </c>
      <c r="C252">
        <v>731506.00000000105</v>
      </c>
      <c r="D252">
        <v>1463012</v>
      </c>
      <c r="G252">
        <v>250</v>
      </c>
      <c r="H252" t="s">
        <v>69</v>
      </c>
      <c r="I252">
        <v>731506.00000000105</v>
      </c>
      <c r="J252">
        <v>3762068</v>
      </c>
      <c r="K252">
        <v>0</v>
      </c>
      <c r="L252">
        <v>1463012</v>
      </c>
    </row>
    <row r="253" spans="1:12" x14ac:dyDescent="0.35">
      <c r="A253">
        <v>251</v>
      </c>
      <c r="B253" t="s">
        <v>63</v>
      </c>
      <c r="C253">
        <v>731506.00000000105</v>
      </c>
      <c r="D253">
        <v>731506.00000000105</v>
      </c>
      <c r="G253">
        <v>251</v>
      </c>
      <c r="H253" t="s">
        <v>63</v>
      </c>
      <c r="I253">
        <v>731506.00000000105</v>
      </c>
      <c r="J253">
        <v>3762068</v>
      </c>
      <c r="K253">
        <v>3.0000000020954798</v>
      </c>
      <c r="L253">
        <v>731506.00000000105</v>
      </c>
    </row>
    <row r="254" spans="1:12" x14ac:dyDescent="0.35">
      <c r="A254">
        <v>252</v>
      </c>
      <c r="B254" t="s">
        <v>69</v>
      </c>
      <c r="C254">
        <v>731504.99999999895</v>
      </c>
      <c r="D254">
        <v>1463011</v>
      </c>
      <c r="G254">
        <v>252</v>
      </c>
      <c r="H254" t="s">
        <v>69</v>
      </c>
      <c r="I254">
        <v>731504.99999999895</v>
      </c>
      <c r="J254">
        <v>3762070</v>
      </c>
      <c r="K254">
        <v>95.999999997904496</v>
      </c>
      <c r="L254">
        <v>1463011</v>
      </c>
    </row>
    <row r="255" spans="1:12" x14ac:dyDescent="0.35">
      <c r="A255">
        <v>253</v>
      </c>
      <c r="B255" t="s">
        <v>63</v>
      </c>
      <c r="C255">
        <v>731467.00000000105</v>
      </c>
      <c r="D255">
        <v>731467.00000000105</v>
      </c>
      <c r="G255">
        <v>253</v>
      </c>
      <c r="H255" t="s">
        <v>63</v>
      </c>
      <c r="I255">
        <v>731467.00000000105</v>
      </c>
      <c r="J255">
        <v>3762012</v>
      </c>
      <c r="K255">
        <v>110.99999999895201</v>
      </c>
      <c r="L255">
        <v>731467.00000000105</v>
      </c>
    </row>
    <row r="256" spans="1:12" x14ac:dyDescent="0.35">
      <c r="A256">
        <v>254</v>
      </c>
      <c r="B256" t="s">
        <v>69</v>
      </c>
      <c r="C256">
        <v>731532</v>
      </c>
      <c r="D256">
        <v>1462999</v>
      </c>
      <c r="G256">
        <v>254</v>
      </c>
      <c r="H256" t="s">
        <v>69</v>
      </c>
      <c r="I256">
        <v>731532</v>
      </c>
      <c r="J256">
        <v>3761966</v>
      </c>
      <c r="K256">
        <v>0</v>
      </c>
      <c r="L256">
        <v>1462999</v>
      </c>
    </row>
    <row r="257" spans="1:12" x14ac:dyDescent="0.35">
      <c r="A257">
        <v>255</v>
      </c>
      <c r="B257" t="s">
        <v>63</v>
      </c>
      <c r="C257">
        <v>731532</v>
      </c>
      <c r="D257">
        <v>731532</v>
      </c>
      <c r="G257">
        <v>255</v>
      </c>
      <c r="H257" t="s">
        <v>63</v>
      </c>
      <c r="I257">
        <v>731532</v>
      </c>
      <c r="J257">
        <v>3761966</v>
      </c>
      <c r="K257">
        <v>18.9999999980209</v>
      </c>
      <c r="L257">
        <v>731532</v>
      </c>
    </row>
    <row r="258" spans="1:12" x14ac:dyDescent="0.35">
      <c r="A258">
        <v>256</v>
      </c>
      <c r="B258" t="s">
        <v>69</v>
      </c>
      <c r="C258">
        <v>731523.00000000198</v>
      </c>
      <c r="D258">
        <v>1463055</v>
      </c>
      <c r="G258">
        <v>256</v>
      </c>
      <c r="H258" t="s">
        <v>69</v>
      </c>
      <c r="I258">
        <v>731523.00000000198</v>
      </c>
      <c r="J258">
        <v>3761956</v>
      </c>
      <c r="K258">
        <v>0</v>
      </c>
      <c r="L258">
        <v>1463055</v>
      </c>
    </row>
    <row r="259" spans="1:12" x14ac:dyDescent="0.35">
      <c r="A259">
        <v>257</v>
      </c>
      <c r="B259" t="s">
        <v>63</v>
      </c>
      <c r="C259">
        <v>731523.00000000198</v>
      </c>
      <c r="D259">
        <v>731523.00000000198</v>
      </c>
      <c r="G259">
        <v>257</v>
      </c>
      <c r="H259" t="s">
        <v>63</v>
      </c>
      <c r="I259">
        <v>731523.00000000198</v>
      </c>
      <c r="J259">
        <v>3761956</v>
      </c>
      <c r="K259">
        <v>0.99999999906867698</v>
      </c>
      <c r="L259">
        <v>731523.00000000198</v>
      </c>
    </row>
    <row r="260" spans="1:12" x14ac:dyDescent="0.35">
      <c r="A260">
        <v>258</v>
      </c>
      <c r="B260" t="s">
        <v>69</v>
      </c>
      <c r="C260">
        <v>731524.00000000105</v>
      </c>
      <c r="D260">
        <v>1463047</v>
      </c>
      <c r="G260">
        <v>258</v>
      </c>
      <c r="H260" t="s">
        <v>69</v>
      </c>
      <c r="I260">
        <v>731524.00000000105</v>
      </c>
      <c r="J260">
        <v>3761956</v>
      </c>
      <c r="K260">
        <v>0</v>
      </c>
      <c r="L260">
        <v>1463047</v>
      </c>
    </row>
    <row r="261" spans="1:12" x14ac:dyDescent="0.35">
      <c r="A261">
        <v>259</v>
      </c>
      <c r="B261" t="s">
        <v>63</v>
      </c>
      <c r="C261">
        <v>731524.00000000105</v>
      </c>
      <c r="D261">
        <v>731524.00000000105</v>
      </c>
      <c r="G261">
        <v>259</v>
      </c>
      <c r="H261" t="s">
        <v>63</v>
      </c>
      <c r="I261">
        <v>731524.00000000105</v>
      </c>
      <c r="J261">
        <v>3761956</v>
      </c>
      <c r="K261">
        <v>2</v>
      </c>
      <c r="L261">
        <v>731524.00000000105</v>
      </c>
    </row>
    <row r="262" spans="1:12" x14ac:dyDescent="0.35">
      <c r="A262">
        <v>260</v>
      </c>
      <c r="B262" t="s">
        <v>69</v>
      </c>
      <c r="C262">
        <v>731524.00000000105</v>
      </c>
      <c r="D262">
        <v>1463048</v>
      </c>
      <c r="G262">
        <v>260</v>
      </c>
      <c r="H262" t="s">
        <v>69</v>
      </c>
      <c r="I262">
        <v>731524.00000000105</v>
      </c>
      <c r="J262">
        <v>3761958</v>
      </c>
      <c r="K262">
        <v>15.999999998952299</v>
      </c>
      <c r="L262">
        <v>1463048</v>
      </c>
    </row>
    <row r="263" spans="1:12" x14ac:dyDescent="0.35">
      <c r="A263">
        <v>261</v>
      </c>
      <c r="B263" t="s">
        <v>63</v>
      </c>
      <c r="C263">
        <v>731532</v>
      </c>
      <c r="D263">
        <v>731532</v>
      </c>
      <c r="G263">
        <v>261</v>
      </c>
      <c r="H263" t="s">
        <v>63</v>
      </c>
      <c r="I263">
        <v>731532</v>
      </c>
      <c r="J263">
        <v>3761966</v>
      </c>
      <c r="K263">
        <v>8.0000000010477397</v>
      </c>
      <c r="L263">
        <v>731532</v>
      </c>
    </row>
    <row r="264" spans="1:12" x14ac:dyDescent="0.35">
      <c r="A264">
        <v>262</v>
      </c>
      <c r="B264" t="s">
        <v>919</v>
      </c>
      <c r="C264">
        <v>731537.00000000105</v>
      </c>
      <c r="D264">
        <v>1463069</v>
      </c>
      <c r="G264">
        <v>262</v>
      </c>
      <c r="H264" t="s">
        <v>919</v>
      </c>
      <c r="I264">
        <v>731537.00000000105</v>
      </c>
      <c r="J264">
        <v>3761963</v>
      </c>
      <c r="K264">
        <v>79</v>
      </c>
      <c r="L264">
        <v>1463069</v>
      </c>
    </row>
    <row r="265" spans="1:12" x14ac:dyDescent="0.35">
      <c r="A265">
        <v>263</v>
      </c>
      <c r="B265" t="s">
        <v>69</v>
      </c>
      <c r="C265">
        <v>731580.00000000105</v>
      </c>
      <c r="D265">
        <v>2194649</v>
      </c>
      <c r="G265">
        <v>263</v>
      </c>
      <c r="H265" t="s">
        <v>69</v>
      </c>
      <c r="I265">
        <v>731580.00000000105</v>
      </c>
      <c r="J265">
        <v>3761927</v>
      </c>
      <c r="K265">
        <v>0</v>
      </c>
      <c r="L265">
        <v>2194649</v>
      </c>
    </row>
    <row r="266" spans="1:12" x14ac:dyDescent="0.35">
      <c r="A266">
        <v>264</v>
      </c>
      <c r="B266" t="s">
        <v>63</v>
      </c>
      <c r="C266">
        <v>731580.00000000105</v>
      </c>
      <c r="D266">
        <v>731580.00000000105</v>
      </c>
      <c r="G266">
        <v>264</v>
      </c>
      <c r="H266" t="s">
        <v>63</v>
      </c>
      <c r="I266">
        <v>731580.00000000105</v>
      </c>
      <c r="J266">
        <v>3761927</v>
      </c>
      <c r="K266">
        <v>60</v>
      </c>
      <c r="L266">
        <v>731580.00000000105</v>
      </c>
    </row>
    <row r="267" spans="1:12" x14ac:dyDescent="0.35">
      <c r="A267">
        <v>265</v>
      </c>
      <c r="B267" t="s">
        <v>69</v>
      </c>
      <c r="C267">
        <v>731603.00000000105</v>
      </c>
      <c r="D267">
        <v>1463183</v>
      </c>
      <c r="G267">
        <v>265</v>
      </c>
      <c r="H267" t="s">
        <v>69</v>
      </c>
      <c r="I267">
        <v>731603.00000000105</v>
      </c>
      <c r="J267">
        <v>3761964</v>
      </c>
      <c r="K267">
        <v>0</v>
      </c>
      <c r="L267">
        <v>1463183</v>
      </c>
    </row>
    <row r="268" spans="1:12" x14ac:dyDescent="0.35">
      <c r="A268">
        <v>266</v>
      </c>
      <c r="B268" t="s">
        <v>63</v>
      </c>
      <c r="C268">
        <v>731603.00000000105</v>
      </c>
      <c r="D268">
        <v>731603.00000000105</v>
      </c>
      <c r="G268">
        <v>266</v>
      </c>
      <c r="H268" t="s">
        <v>63</v>
      </c>
      <c r="I268">
        <v>731603.00000000105</v>
      </c>
      <c r="J268">
        <v>3761964</v>
      </c>
      <c r="K268">
        <v>1</v>
      </c>
      <c r="L268">
        <v>731603.00000000105</v>
      </c>
    </row>
    <row r="269" spans="1:12" x14ac:dyDescent="0.35">
      <c r="A269">
        <v>267</v>
      </c>
      <c r="B269" t="s">
        <v>69</v>
      </c>
      <c r="C269">
        <v>731603.00000000105</v>
      </c>
      <c r="D269">
        <v>1463206</v>
      </c>
      <c r="G269">
        <v>267</v>
      </c>
      <c r="H269" t="s">
        <v>69</v>
      </c>
      <c r="I269">
        <v>731603.00000000105</v>
      </c>
      <c r="J269">
        <v>3761963</v>
      </c>
      <c r="K269">
        <v>0</v>
      </c>
      <c r="L269">
        <v>1463206</v>
      </c>
    </row>
    <row r="270" spans="1:12" x14ac:dyDescent="0.35">
      <c r="A270">
        <v>268</v>
      </c>
      <c r="B270" t="s">
        <v>63</v>
      </c>
      <c r="C270">
        <v>731603.00000000105</v>
      </c>
      <c r="D270">
        <v>731603.00000000105</v>
      </c>
      <c r="G270">
        <v>268</v>
      </c>
      <c r="H270" t="s">
        <v>63</v>
      </c>
      <c r="I270">
        <v>731603.00000000105</v>
      </c>
      <c r="J270">
        <v>3761963</v>
      </c>
      <c r="K270">
        <v>2.0000000010477401</v>
      </c>
      <c r="L270">
        <v>731603.00000000105</v>
      </c>
    </row>
    <row r="271" spans="1:12" x14ac:dyDescent="0.35">
      <c r="A271">
        <v>269</v>
      </c>
      <c r="B271" t="s">
        <v>69</v>
      </c>
      <c r="C271">
        <v>731602</v>
      </c>
      <c r="D271">
        <v>1463205</v>
      </c>
      <c r="G271">
        <v>269</v>
      </c>
      <c r="H271" t="s">
        <v>69</v>
      </c>
      <c r="I271">
        <v>731602</v>
      </c>
      <c r="J271">
        <v>3761964</v>
      </c>
      <c r="K271">
        <v>58.999999998952298</v>
      </c>
      <c r="L271">
        <v>1463205</v>
      </c>
    </row>
    <row r="272" spans="1:12" x14ac:dyDescent="0.35">
      <c r="A272">
        <v>270</v>
      </c>
      <c r="B272" t="s">
        <v>63</v>
      </c>
      <c r="C272">
        <v>731580.00000000105</v>
      </c>
      <c r="D272">
        <v>731580.00000000105</v>
      </c>
      <c r="G272">
        <v>270</v>
      </c>
      <c r="H272" t="s">
        <v>63</v>
      </c>
      <c r="I272">
        <v>731580.00000000105</v>
      </c>
      <c r="J272">
        <v>3761927</v>
      </c>
      <c r="K272">
        <v>91.999999998952305</v>
      </c>
      <c r="L272">
        <v>731580.00000000105</v>
      </c>
    </row>
    <row r="273" spans="1:12" x14ac:dyDescent="0.35">
      <c r="A273">
        <v>271</v>
      </c>
      <c r="B273" t="s">
        <v>919</v>
      </c>
      <c r="C273">
        <v>731635</v>
      </c>
      <c r="D273">
        <v>1463215</v>
      </c>
      <c r="G273">
        <v>271</v>
      </c>
      <c r="H273" t="s">
        <v>919</v>
      </c>
      <c r="I273">
        <v>731635</v>
      </c>
      <c r="J273">
        <v>3761890</v>
      </c>
      <c r="K273">
        <v>123.000000001979</v>
      </c>
      <c r="L273">
        <v>1463215</v>
      </c>
    </row>
    <row r="274" spans="1:12" x14ac:dyDescent="0.35">
      <c r="A274">
        <v>272</v>
      </c>
      <c r="B274" t="s">
        <v>919</v>
      </c>
      <c r="C274">
        <v>731702.00000000198</v>
      </c>
      <c r="D274">
        <v>2194917</v>
      </c>
      <c r="G274">
        <v>272</v>
      </c>
      <c r="H274" t="s">
        <v>919</v>
      </c>
      <c r="I274">
        <v>731702.00000000198</v>
      </c>
      <c r="J274">
        <v>3761834</v>
      </c>
      <c r="K274">
        <v>77.999999998020897</v>
      </c>
      <c r="L274">
        <v>2194917</v>
      </c>
    </row>
    <row r="275" spans="1:12" x14ac:dyDescent="0.35">
      <c r="A275">
        <v>273</v>
      </c>
      <c r="B275" t="s">
        <v>69</v>
      </c>
      <c r="C275">
        <v>731745</v>
      </c>
      <c r="D275">
        <v>2926662</v>
      </c>
      <c r="G275">
        <v>273</v>
      </c>
      <c r="H275" t="s">
        <v>69</v>
      </c>
      <c r="I275">
        <v>731745</v>
      </c>
      <c r="J275">
        <v>3761799</v>
      </c>
      <c r="K275">
        <v>0</v>
      </c>
      <c r="L275">
        <v>2926662</v>
      </c>
    </row>
    <row r="276" spans="1:12" x14ac:dyDescent="0.35">
      <c r="A276">
        <v>274</v>
      </c>
      <c r="B276" t="s">
        <v>63</v>
      </c>
      <c r="C276">
        <v>731745</v>
      </c>
      <c r="D276">
        <v>731745</v>
      </c>
      <c r="G276">
        <v>274</v>
      </c>
      <c r="H276" t="s">
        <v>63</v>
      </c>
      <c r="I276">
        <v>731745</v>
      </c>
      <c r="J276">
        <v>3761799</v>
      </c>
      <c r="K276">
        <v>2.9999999989522599</v>
      </c>
      <c r="L276">
        <v>731745</v>
      </c>
    </row>
    <row r="277" spans="1:12" x14ac:dyDescent="0.35">
      <c r="A277">
        <v>275</v>
      </c>
      <c r="B277" t="s">
        <v>69</v>
      </c>
      <c r="C277">
        <v>731744.00000000105</v>
      </c>
      <c r="D277">
        <v>1463489</v>
      </c>
      <c r="G277">
        <v>275</v>
      </c>
      <c r="H277" t="s">
        <v>69</v>
      </c>
      <c r="I277">
        <v>731744.00000000105</v>
      </c>
      <c r="J277">
        <v>3761797</v>
      </c>
      <c r="K277">
        <v>0</v>
      </c>
      <c r="L277">
        <v>1463489</v>
      </c>
    </row>
    <row r="278" spans="1:12" x14ac:dyDescent="0.35">
      <c r="A278">
        <v>276</v>
      </c>
      <c r="B278" t="s">
        <v>63</v>
      </c>
      <c r="C278">
        <v>731744.00000000105</v>
      </c>
      <c r="D278">
        <v>731744.00000000105</v>
      </c>
      <c r="G278">
        <v>276</v>
      </c>
      <c r="H278" t="s">
        <v>63</v>
      </c>
      <c r="I278">
        <v>731744.00000000105</v>
      </c>
      <c r="J278">
        <v>3761797</v>
      </c>
      <c r="K278">
        <v>4</v>
      </c>
      <c r="L278">
        <v>731744.00000000105</v>
      </c>
    </row>
    <row r="279" spans="1:12" x14ac:dyDescent="0.35">
      <c r="A279">
        <v>277</v>
      </c>
      <c r="B279" t="s">
        <v>69</v>
      </c>
      <c r="C279">
        <v>731746.00000000105</v>
      </c>
      <c r="D279">
        <v>1463490</v>
      </c>
      <c r="G279">
        <v>277</v>
      </c>
      <c r="H279" t="s">
        <v>69</v>
      </c>
      <c r="I279">
        <v>731746.00000000105</v>
      </c>
      <c r="J279">
        <v>3761799</v>
      </c>
      <c r="K279">
        <v>1.0000000010477399</v>
      </c>
      <c r="L279">
        <v>1463490</v>
      </c>
    </row>
    <row r="280" spans="1:12" x14ac:dyDescent="0.35">
      <c r="A280">
        <v>278</v>
      </c>
      <c r="B280" t="s">
        <v>63</v>
      </c>
      <c r="C280">
        <v>731745</v>
      </c>
      <c r="D280">
        <v>731745</v>
      </c>
      <c r="G280">
        <v>278</v>
      </c>
      <c r="H280" t="s">
        <v>63</v>
      </c>
      <c r="I280">
        <v>731745</v>
      </c>
      <c r="J280">
        <v>3761799</v>
      </c>
      <c r="K280">
        <v>121.000000001979</v>
      </c>
      <c r="L280">
        <v>731745</v>
      </c>
    </row>
    <row r="281" spans="1:12" x14ac:dyDescent="0.35">
      <c r="A281">
        <v>279</v>
      </c>
      <c r="B281" t="s">
        <v>919</v>
      </c>
      <c r="C281">
        <v>731812.00000000198</v>
      </c>
      <c r="D281">
        <v>1463557</v>
      </c>
      <c r="G281">
        <v>279</v>
      </c>
      <c r="H281" t="s">
        <v>919</v>
      </c>
      <c r="I281">
        <v>731812.00000000198</v>
      </c>
      <c r="J281">
        <v>3761745</v>
      </c>
      <c r="K281">
        <v>39.999999999068699</v>
      </c>
      <c r="L281">
        <v>1463557</v>
      </c>
    </row>
    <row r="282" spans="1:12" x14ac:dyDescent="0.35">
      <c r="A282">
        <v>280</v>
      </c>
      <c r="B282" t="s">
        <v>69</v>
      </c>
      <c r="C282">
        <v>731843.00000000105</v>
      </c>
      <c r="D282">
        <v>2195400</v>
      </c>
      <c r="G282">
        <v>280</v>
      </c>
      <c r="H282" t="s">
        <v>69</v>
      </c>
      <c r="I282">
        <v>731843.00000000105</v>
      </c>
      <c r="J282">
        <v>3761736</v>
      </c>
      <c r="K282">
        <v>0</v>
      </c>
      <c r="L282">
        <v>2195400</v>
      </c>
    </row>
    <row r="283" spans="1:12" x14ac:dyDescent="0.35">
      <c r="A283">
        <v>281</v>
      </c>
      <c r="B283" t="s">
        <v>63</v>
      </c>
      <c r="C283">
        <v>731843.00000000105</v>
      </c>
      <c r="D283">
        <v>731843.00000000105</v>
      </c>
      <c r="G283">
        <v>281</v>
      </c>
      <c r="H283" t="s">
        <v>63</v>
      </c>
      <c r="I283">
        <v>731843.00000000105</v>
      </c>
      <c r="J283">
        <v>3761736</v>
      </c>
      <c r="K283">
        <v>3.0000000010477401</v>
      </c>
      <c r="L283">
        <v>731843.00000000105</v>
      </c>
    </row>
    <row r="284" spans="1:12" x14ac:dyDescent="0.35">
      <c r="A284">
        <v>282</v>
      </c>
      <c r="B284" t="s">
        <v>69</v>
      </c>
      <c r="C284">
        <v>731842</v>
      </c>
      <c r="D284">
        <v>1463685</v>
      </c>
      <c r="G284">
        <v>282</v>
      </c>
      <c r="H284" t="s">
        <v>69</v>
      </c>
      <c r="I284">
        <v>731842</v>
      </c>
      <c r="J284">
        <v>3761738</v>
      </c>
      <c r="K284">
        <v>0</v>
      </c>
      <c r="L284">
        <v>1463685</v>
      </c>
    </row>
    <row r="285" spans="1:12" x14ac:dyDescent="0.35">
      <c r="A285">
        <v>283</v>
      </c>
      <c r="B285" t="s">
        <v>63</v>
      </c>
      <c r="C285">
        <v>731842</v>
      </c>
      <c r="D285">
        <v>731842</v>
      </c>
      <c r="G285">
        <v>283</v>
      </c>
      <c r="H285" t="s">
        <v>63</v>
      </c>
      <c r="I285">
        <v>731842</v>
      </c>
      <c r="J285">
        <v>3761738</v>
      </c>
      <c r="K285">
        <v>4</v>
      </c>
      <c r="L285">
        <v>731842</v>
      </c>
    </row>
    <row r="286" spans="1:12" x14ac:dyDescent="0.35">
      <c r="A286">
        <v>284</v>
      </c>
      <c r="B286" t="s">
        <v>69</v>
      </c>
      <c r="C286">
        <v>731845</v>
      </c>
      <c r="D286">
        <v>1463687</v>
      </c>
      <c r="G286">
        <v>284</v>
      </c>
      <c r="H286" t="s">
        <v>69</v>
      </c>
      <c r="I286">
        <v>731845</v>
      </c>
      <c r="J286">
        <v>3761737</v>
      </c>
      <c r="K286">
        <v>2.9999999989522599</v>
      </c>
      <c r="L286">
        <v>1463687</v>
      </c>
    </row>
    <row r="287" spans="1:12" x14ac:dyDescent="0.35">
      <c r="A287">
        <v>285</v>
      </c>
      <c r="B287" t="s">
        <v>63</v>
      </c>
      <c r="C287">
        <v>731843.00000000105</v>
      </c>
      <c r="D287">
        <v>731843.00000000105</v>
      </c>
      <c r="G287">
        <v>285</v>
      </c>
      <c r="H287" t="s">
        <v>63</v>
      </c>
      <c r="I287">
        <v>731843.00000000105</v>
      </c>
      <c r="J287">
        <v>3761736</v>
      </c>
      <c r="K287">
        <v>96.999999998952305</v>
      </c>
      <c r="L287">
        <v>731843.00000000105</v>
      </c>
    </row>
    <row r="288" spans="1:12" x14ac:dyDescent="0.35">
      <c r="A288">
        <v>286</v>
      </c>
      <c r="B288" t="s">
        <v>69</v>
      </c>
      <c r="C288">
        <v>731891</v>
      </c>
      <c r="D288">
        <v>1463734</v>
      </c>
      <c r="G288">
        <v>286</v>
      </c>
      <c r="H288" t="s">
        <v>69</v>
      </c>
      <c r="I288">
        <v>731891</v>
      </c>
      <c r="J288">
        <v>3761687</v>
      </c>
      <c r="K288">
        <v>258</v>
      </c>
      <c r="L288">
        <v>1463734</v>
      </c>
    </row>
    <row r="289" spans="1:12" x14ac:dyDescent="0.35">
      <c r="A289">
        <v>287</v>
      </c>
      <c r="B289" t="s">
        <v>63</v>
      </c>
      <c r="C289">
        <v>731745</v>
      </c>
      <c r="D289">
        <v>731745</v>
      </c>
      <c r="G289">
        <v>287</v>
      </c>
      <c r="H289" t="s">
        <v>63</v>
      </c>
      <c r="I289">
        <v>731745</v>
      </c>
      <c r="J289">
        <v>3761799</v>
      </c>
      <c r="K289">
        <v>55.999999998952298</v>
      </c>
      <c r="L289">
        <v>731745</v>
      </c>
    </row>
    <row r="290" spans="1:12" x14ac:dyDescent="0.35">
      <c r="A290">
        <v>288</v>
      </c>
      <c r="B290" t="s">
        <v>919</v>
      </c>
      <c r="C290">
        <v>731733.00000000105</v>
      </c>
      <c r="D290">
        <v>1463478</v>
      </c>
      <c r="G290">
        <v>288</v>
      </c>
      <c r="H290" t="s">
        <v>919</v>
      </c>
      <c r="I290">
        <v>731733.00000000105</v>
      </c>
      <c r="J290">
        <v>3761755</v>
      </c>
      <c r="K290">
        <v>48.000000001047702</v>
      </c>
      <c r="L290">
        <v>1463478</v>
      </c>
    </row>
    <row r="291" spans="1:12" x14ac:dyDescent="0.35">
      <c r="A291">
        <v>289</v>
      </c>
      <c r="B291" t="s">
        <v>69</v>
      </c>
      <c r="C291">
        <v>731714</v>
      </c>
      <c r="D291">
        <v>2195192</v>
      </c>
      <c r="G291">
        <v>289</v>
      </c>
      <c r="H291" t="s">
        <v>69</v>
      </c>
      <c r="I291">
        <v>731714</v>
      </c>
      <c r="J291">
        <v>3761726</v>
      </c>
      <c r="K291">
        <v>0</v>
      </c>
      <c r="L291">
        <v>2195192</v>
      </c>
    </row>
    <row r="292" spans="1:12" x14ac:dyDescent="0.35">
      <c r="A292">
        <v>290</v>
      </c>
      <c r="B292" t="s">
        <v>63</v>
      </c>
      <c r="C292">
        <v>731714</v>
      </c>
      <c r="D292">
        <v>731714</v>
      </c>
      <c r="G292">
        <v>290</v>
      </c>
      <c r="H292" t="s">
        <v>63</v>
      </c>
      <c r="I292">
        <v>731714</v>
      </c>
      <c r="J292">
        <v>3761726</v>
      </c>
      <c r="K292">
        <v>2</v>
      </c>
      <c r="L292">
        <v>731714</v>
      </c>
    </row>
    <row r="293" spans="1:12" x14ac:dyDescent="0.35">
      <c r="A293">
        <v>291</v>
      </c>
      <c r="B293" t="s">
        <v>69</v>
      </c>
      <c r="C293">
        <v>731714</v>
      </c>
      <c r="D293">
        <v>1463428</v>
      </c>
      <c r="G293">
        <v>291</v>
      </c>
      <c r="H293" t="s">
        <v>69</v>
      </c>
      <c r="I293">
        <v>731714</v>
      </c>
      <c r="J293">
        <v>3761724</v>
      </c>
      <c r="K293">
        <v>0</v>
      </c>
      <c r="L293">
        <v>1463428</v>
      </c>
    </row>
    <row r="294" spans="1:12" x14ac:dyDescent="0.35">
      <c r="A294">
        <v>292</v>
      </c>
      <c r="B294" t="s">
        <v>63</v>
      </c>
      <c r="C294">
        <v>731714</v>
      </c>
      <c r="D294">
        <v>731714</v>
      </c>
      <c r="G294">
        <v>292</v>
      </c>
      <c r="H294" t="s">
        <v>63</v>
      </c>
      <c r="I294">
        <v>731714</v>
      </c>
      <c r="J294">
        <v>3761724</v>
      </c>
      <c r="K294">
        <v>1.00000000197906</v>
      </c>
      <c r="L294">
        <v>731714</v>
      </c>
    </row>
    <row r="295" spans="1:12" x14ac:dyDescent="0.35">
      <c r="A295">
        <v>293</v>
      </c>
      <c r="B295" t="s">
        <v>69</v>
      </c>
      <c r="C295">
        <v>731715.00000000198</v>
      </c>
      <c r="D295">
        <v>1463429</v>
      </c>
      <c r="G295">
        <v>293</v>
      </c>
      <c r="H295" t="s">
        <v>69</v>
      </c>
      <c r="I295">
        <v>731715.00000000198</v>
      </c>
      <c r="J295">
        <v>3761724</v>
      </c>
      <c r="K295">
        <v>3.00000000197906</v>
      </c>
      <c r="L295">
        <v>1463429</v>
      </c>
    </row>
    <row r="296" spans="1:12" x14ac:dyDescent="0.35">
      <c r="A296">
        <v>294</v>
      </c>
      <c r="B296" t="s">
        <v>63</v>
      </c>
      <c r="C296">
        <v>731714</v>
      </c>
      <c r="D296">
        <v>731714</v>
      </c>
      <c r="G296">
        <v>294</v>
      </c>
      <c r="H296" t="s">
        <v>63</v>
      </c>
      <c r="I296">
        <v>731714</v>
      </c>
      <c r="J296">
        <v>3761726</v>
      </c>
      <c r="K296">
        <v>31.999999998952301</v>
      </c>
      <c r="L296">
        <v>731714</v>
      </c>
    </row>
    <row r="297" spans="1:12" x14ac:dyDescent="0.35">
      <c r="A297">
        <v>295</v>
      </c>
      <c r="B297" t="s">
        <v>919</v>
      </c>
      <c r="C297">
        <v>731695.00000000105</v>
      </c>
      <c r="D297">
        <v>1463409</v>
      </c>
      <c r="G297">
        <v>295</v>
      </c>
      <c r="H297" t="s">
        <v>919</v>
      </c>
      <c r="I297">
        <v>731695.00000000105</v>
      </c>
      <c r="J297">
        <v>3761713</v>
      </c>
      <c r="K297">
        <v>72</v>
      </c>
      <c r="L297">
        <v>1463409</v>
      </c>
    </row>
    <row r="298" spans="1:12" x14ac:dyDescent="0.35">
      <c r="A298">
        <v>296</v>
      </c>
      <c r="B298" t="s">
        <v>919</v>
      </c>
      <c r="C298">
        <v>731664.00000000105</v>
      </c>
      <c r="D298">
        <v>2195073</v>
      </c>
      <c r="G298">
        <v>296</v>
      </c>
      <c r="H298" t="s">
        <v>919</v>
      </c>
      <c r="I298">
        <v>731664.00000000105</v>
      </c>
      <c r="J298">
        <v>3761672</v>
      </c>
      <c r="K298">
        <v>78.000000001047695</v>
      </c>
      <c r="L298">
        <v>2195073</v>
      </c>
    </row>
    <row r="299" spans="1:12" x14ac:dyDescent="0.35">
      <c r="A299">
        <v>297</v>
      </c>
      <c r="B299" t="s">
        <v>69</v>
      </c>
      <c r="C299">
        <v>731620</v>
      </c>
      <c r="D299">
        <v>2926693</v>
      </c>
      <c r="G299">
        <v>297</v>
      </c>
      <c r="H299" t="s">
        <v>69</v>
      </c>
      <c r="I299">
        <v>731620</v>
      </c>
      <c r="J299">
        <v>3761638</v>
      </c>
      <c r="K299">
        <v>0</v>
      </c>
      <c r="L299">
        <v>2926693</v>
      </c>
    </row>
    <row r="300" spans="1:12" x14ac:dyDescent="0.35">
      <c r="A300">
        <v>298</v>
      </c>
      <c r="B300" t="s">
        <v>63</v>
      </c>
      <c r="C300">
        <v>731620</v>
      </c>
      <c r="D300">
        <v>731620</v>
      </c>
      <c r="G300">
        <v>298</v>
      </c>
      <c r="H300" t="s">
        <v>63</v>
      </c>
      <c r="I300">
        <v>731620</v>
      </c>
      <c r="J300">
        <v>3761638</v>
      </c>
      <c r="K300">
        <v>0</v>
      </c>
      <c r="L300">
        <v>731620</v>
      </c>
    </row>
    <row r="301" spans="1:12" x14ac:dyDescent="0.35">
      <c r="A301">
        <v>299</v>
      </c>
      <c r="B301" t="s">
        <v>69</v>
      </c>
      <c r="C301">
        <v>731620</v>
      </c>
      <c r="D301">
        <v>1463240</v>
      </c>
      <c r="G301">
        <v>299</v>
      </c>
      <c r="H301" t="s">
        <v>69</v>
      </c>
      <c r="I301">
        <v>731620</v>
      </c>
      <c r="J301">
        <v>3761638</v>
      </c>
      <c r="K301">
        <v>0</v>
      </c>
      <c r="L301">
        <v>1463240</v>
      </c>
    </row>
    <row r="302" spans="1:12" x14ac:dyDescent="0.35">
      <c r="A302">
        <v>300</v>
      </c>
      <c r="B302" t="s">
        <v>63</v>
      </c>
      <c r="C302">
        <v>731620</v>
      </c>
      <c r="D302">
        <v>731620</v>
      </c>
      <c r="G302">
        <v>300</v>
      </c>
      <c r="H302" t="s">
        <v>63</v>
      </c>
      <c r="I302">
        <v>731620</v>
      </c>
      <c r="J302">
        <v>3761638</v>
      </c>
      <c r="K302">
        <v>3.0000000010477401</v>
      </c>
      <c r="L302">
        <v>731620</v>
      </c>
    </row>
    <row r="303" spans="1:12" x14ac:dyDescent="0.35">
      <c r="A303">
        <v>301</v>
      </c>
      <c r="B303" t="s">
        <v>69</v>
      </c>
      <c r="C303">
        <v>731621.00000000105</v>
      </c>
      <c r="D303">
        <v>1463241</v>
      </c>
      <c r="G303">
        <v>301</v>
      </c>
      <c r="H303" t="s">
        <v>69</v>
      </c>
      <c r="I303">
        <v>731621.00000000105</v>
      </c>
      <c r="J303">
        <v>3761640</v>
      </c>
      <c r="K303">
        <v>3.0000000010477401</v>
      </c>
      <c r="L303">
        <v>1463241</v>
      </c>
    </row>
    <row r="304" spans="1:12" x14ac:dyDescent="0.35">
      <c r="A304">
        <v>302</v>
      </c>
      <c r="B304" t="s">
        <v>63</v>
      </c>
      <c r="C304">
        <v>731620</v>
      </c>
      <c r="D304">
        <v>731620</v>
      </c>
      <c r="G304">
        <v>302</v>
      </c>
      <c r="H304" t="s">
        <v>63</v>
      </c>
      <c r="I304">
        <v>731620</v>
      </c>
      <c r="J304">
        <v>3761638</v>
      </c>
      <c r="K304">
        <v>52</v>
      </c>
      <c r="L304">
        <v>731620</v>
      </c>
    </row>
    <row r="305" spans="1:12" x14ac:dyDescent="0.35">
      <c r="A305">
        <v>303</v>
      </c>
      <c r="B305" t="s">
        <v>919</v>
      </c>
      <c r="C305">
        <v>731586</v>
      </c>
      <c r="D305">
        <v>1463206</v>
      </c>
      <c r="G305">
        <v>303</v>
      </c>
      <c r="H305" t="s">
        <v>919</v>
      </c>
      <c r="I305">
        <v>731586</v>
      </c>
      <c r="J305">
        <v>3761620</v>
      </c>
      <c r="K305">
        <v>35</v>
      </c>
      <c r="L305">
        <v>1463206</v>
      </c>
    </row>
    <row r="306" spans="1:12" x14ac:dyDescent="0.35">
      <c r="A306">
        <v>304</v>
      </c>
      <c r="B306" t="s">
        <v>919</v>
      </c>
      <c r="C306">
        <v>731581</v>
      </c>
      <c r="D306">
        <v>2194787</v>
      </c>
      <c r="G306">
        <v>304</v>
      </c>
      <c r="H306" t="s">
        <v>919</v>
      </c>
      <c r="I306">
        <v>731581</v>
      </c>
      <c r="J306">
        <v>3761590</v>
      </c>
      <c r="K306">
        <v>28.000000001047699</v>
      </c>
      <c r="L306">
        <v>2194787</v>
      </c>
    </row>
    <row r="307" spans="1:12" x14ac:dyDescent="0.35">
      <c r="A307">
        <v>305</v>
      </c>
      <c r="B307" t="s">
        <v>69</v>
      </c>
      <c r="C307">
        <v>731573.99999999895</v>
      </c>
      <c r="D307">
        <v>2926361</v>
      </c>
      <c r="G307">
        <v>305</v>
      </c>
      <c r="H307" t="s">
        <v>69</v>
      </c>
      <c r="I307">
        <v>731573.99999999895</v>
      </c>
      <c r="J307">
        <v>3761569</v>
      </c>
      <c r="K307">
        <v>0</v>
      </c>
      <c r="L307">
        <v>2926361</v>
      </c>
    </row>
    <row r="308" spans="1:12" x14ac:dyDescent="0.35">
      <c r="A308">
        <v>306</v>
      </c>
      <c r="B308" t="s">
        <v>63</v>
      </c>
      <c r="C308">
        <v>731573.99999999895</v>
      </c>
      <c r="D308">
        <v>731573.99999999895</v>
      </c>
      <c r="G308">
        <v>306</v>
      </c>
      <c r="H308" t="s">
        <v>63</v>
      </c>
      <c r="I308">
        <v>731573.99999999895</v>
      </c>
      <c r="J308">
        <v>3761569</v>
      </c>
      <c r="K308">
        <v>1.99999999790452</v>
      </c>
      <c r="L308">
        <v>731573.99999999895</v>
      </c>
    </row>
    <row r="309" spans="1:12" x14ac:dyDescent="0.35">
      <c r="A309">
        <v>307</v>
      </c>
      <c r="B309" t="s">
        <v>69</v>
      </c>
      <c r="C309">
        <v>731572.00000000105</v>
      </c>
      <c r="D309">
        <v>1463146</v>
      </c>
      <c r="G309">
        <v>307</v>
      </c>
      <c r="H309" t="s">
        <v>69</v>
      </c>
      <c r="I309">
        <v>731572.00000000105</v>
      </c>
      <c r="J309">
        <v>3761569</v>
      </c>
      <c r="K309">
        <v>0</v>
      </c>
      <c r="L309">
        <v>1463146</v>
      </c>
    </row>
    <row r="310" spans="1:12" x14ac:dyDescent="0.35">
      <c r="A310">
        <v>308</v>
      </c>
      <c r="B310" t="s">
        <v>63</v>
      </c>
      <c r="C310">
        <v>731572.00000000105</v>
      </c>
      <c r="D310">
        <v>731572.00000000105</v>
      </c>
      <c r="G310">
        <v>308</v>
      </c>
      <c r="H310" t="s">
        <v>63</v>
      </c>
      <c r="I310">
        <v>731572.00000000105</v>
      </c>
      <c r="J310">
        <v>3761569</v>
      </c>
      <c r="K310">
        <v>0.99999999895226199</v>
      </c>
      <c r="L310">
        <v>731572.00000000105</v>
      </c>
    </row>
    <row r="311" spans="1:12" x14ac:dyDescent="0.35">
      <c r="A311">
        <v>309</v>
      </c>
      <c r="B311" t="s">
        <v>69</v>
      </c>
      <c r="C311">
        <v>731573</v>
      </c>
      <c r="D311">
        <v>1463145</v>
      </c>
      <c r="G311">
        <v>309</v>
      </c>
      <c r="H311" t="s">
        <v>69</v>
      </c>
      <c r="I311">
        <v>731573</v>
      </c>
      <c r="J311">
        <v>3761569</v>
      </c>
      <c r="K311">
        <v>0.99999999895226199</v>
      </c>
      <c r="L311">
        <v>1463145</v>
      </c>
    </row>
    <row r="312" spans="1:12" x14ac:dyDescent="0.35">
      <c r="A312">
        <v>310</v>
      </c>
      <c r="B312" t="s">
        <v>63</v>
      </c>
      <c r="C312">
        <v>731573.99999999895</v>
      </c>
      <c r="D312">
        <v>731573.99999999895</v>
      </c>
      <c r="G312">
        <v>310</v>
      </c>
      <c r="H312" t="s">
        <v>63</v>
      </c>
      <c r="I312">
        <v>731573.99999999895</v>
      </c>
      <c r="J312">
        <v>3761569</v>
      </c>
      <c r="K312">
        <v>58.999999998952298</v>
      </c>
      <c r="L312">
        <v>731573.99999999895</v>
      </c>
    </row>
    <row r="313" spans="1:12" x14ac:dyDescent="0.35">
      <c r="A313">
        <v>311</v>
      </c>
      <c r="B313" t="s">
        <v>919</v>
      </c>
      <c r="C313">
        <v>731556</v>
      </c>
      <c r="D313">
        <v>1463130</v>
      </c>
      <c r="G313">
        <v>311</v>
      </c>
      <c r="H313" t="s">
        <v>919</v>
      </c>
      <c r="I313">
        <v>731556</v>
      </c>
      <c r="J313">
        <v>3761528</v>
      </c>
      <c r="K313">
        <v>84</v>
      </c>
      <c r="L313">
        <v>1463130</v>
      </c>
    </row>
    <row r="314" spans="1:12" x14ac:dyDescent="0.35">
      <c r="A314">
        <v>312</v>
      </c>
      <c r="B314" t="s">
        <v>69</v>
      </c>
      <c r="C314">
        <v>731548</v>
      </c>
      <c r="D314">
        <v>2194678</v>
      </c>
      <c r="G314">
        <v>312</v>
      </c>
      <c r="H314" t="s">
        <v>69</v>
      </c>
      <c r="I314">
        <v>731548</v>
      </c>
      <c r="J314">
        <v>3761452</v>
      </c>
      <c r="K314">
        <v>0</v>
      </c>
      <c r="L314">
        <v>2194678</v>
      </c>
    </row>
    <row r="315" spans="1:12" x14ac:dyDescent="0.35">
      <c r="A315">
        <v>313</v>
      </c>
      <c r="B315" t="s">
        <v>63</v>
      </c>
      <c r="C315">
        <v>731548</v>
      </c>
      <c r="D315">
        <v>731548</v>
      </c>
      <c r="G315">
        <v>313</v>
      </c>
      <c r="H315" t="s">
        <v>63</v>
      </c>
      <c r="I315">
        <v>731548</v>
      </c>
      <c r="J315">
        <v>3761452</v>
      </c>
      <c r="K315">
        <v>2.0000000010477401</v>
      </c>
      <c r="L315">
        <v>731548</v>
      </c>
    </row>
    <row r="316" spans="1:12" x14ac:dyDescent="0.35">
      <c r="A316">
        <v>314</v>
      </c>
      <c r="B316" t="s">
        <v>69</v>
      </c>
      <c r="C316">
        <v>731549.00000000105</v>
      </c>
      <c r="D316">
        <v>1463097</v>
      </c>
      <c r="G316">
        <v>314</v>
      </c>
      <c r="H316" t="s">
        <v>69</v>
      </c>
      <c r="I316">
        <v>731549.00000000105</v>
      </c>
      <c r="J316">
        <v>3761451</v>
      </c>
      <c r="K316">
        <v>0</v>
      </c>
      <c r="L316">
        <v>1463097</v>
      </c>
    </row>
    <row r="317" spans="1:12" x14ac:dyDescent="0.35">
      <c r="A317">
        <v>315</v>
      </c>
      <c r="B317" t="s">
        <v>63</v>
      </c>
      <c r="C317">
        <v>731549.00000000105</v>
      </c>
      <c r="D317">
        <v>731549.00000000105</v>
      </c>
      <c r="G317">
        <v>315</v>
      </c>
      <c r="H317" t="s">
        <v>63</v>
      </c>
      <c r="I317">
        <v>731549.00000000105</v>
      </c>
      <c r="J317">
        <v>3761451</v>
      </c>
      <c r="K317">
        <v>1</v>
      </c>
      <c r="L317">
        <v>731549.00000000105</v>
      </c>
    </row>
    <row r="318" spans="1:12" x14ac:dyDescent="0.35">
      <c r="A318">
        <v>316</v>
      </c>
      <c r="B318" t="s">
        <v>69</v>
      </c>
      <c r="C318">
        <v>731549.00000000105</v>
      </c>
      <c r="D318">
        <v>1463098</v>
      </c>
      <c r="G318">
        <v>316</v>
      </c>
      <c r="H318" t="s">
        <v>69</v>
      </c>
      <c r="I318">
        <v>731549.00000000105</v>
      </c>
      <c r="J318">
        <v>3761452</v>
      </c>
      <c r="K318">
        <v>2307.00000000105</v>
      </c>
      <c r="L318">
        <v>1463098</v>
      </c>
    </row>
    <row r="319" spans="1:12" x14ac:dyDescent="0.35">
      <c r="A319">
        <v>317</v>
      </c>
      <c r="B319" t="s">
        <v>63</v>
      </c>
      <c r="C319">
        <v>730924</v>
      </c>
      <c r="D319">
        <v>730924</v>
      </c>
      <c r="G319">
        <v>317</v>
      </c>
      <c r="H319" t="s">
        <v>63</v>
      </c>
      <c r="I319">
        <v>730924</v>
      </c>
      <c r="J319">
        <v>3763134</v>
      </c>
      <c r="K319">
        <v>1184</v>
      </c>
      <c r="L319">
        <v>730924</v>
      </c>
    </row>
    <row r="320" spans="1:12" x14ac:dyDescent="0.35">
      <c r="A320">
        <v>318</v>
      </c>
      <c r="B320" t="s">
        <v>69</v>
      </c>
      <c r="C320">
        <v>731602</v>
      </c>
      <c r="D320">
        <v>1462526</v>
      </c>
      <c r="G320">
        <v>318</v>
      </c>
      <c r="H320" t="s">
        <v>69</v>
      </c>
      <c r="I320">
        <v>731602</v>
      </c>
      <c r="J320">
        <v>3762628</v>
      </c>
      <c r="K320">
        <v>0</v>
      </c>
      <c r="L320">
        <v>1462526</v>
      </c>
    </row>
    <row r="321" spans="1:12" x14ac:dyDescent="0.35">
      <c r="A321">
        <v>319</v>
      </c>
      <c r="B321" t="s">
        <v>63</v>
      </c>
      <c r="C321">
        <v>731602</v>
      </c>
      <c r="D321">
        <v>731602</v>
      </c>
      <c r="G321">
        <v>319</v>
      </c>
      <c r="H321" t="s">
        <v>63</v>
      </c>
      <c r="I321">
        <v>731602</v>
      </c>
      <c r="J321">
        <v>3762628</v>
      </c>
      <c r="K321">
        <v>2</v>
      </c>
      <c r="L321">
        <v>731602</v>
      </c>
    </row>
    <row r="322" spans="1:12" x14ac:dyDescent="0.35">
      <c r="A322">
        <v>320</v>
      </c>
      <c r="B322" t="s">
        <v>69</v>
      </c>
      <c r="C322">
        <v>731602</v>
      </c>
      <c r="D322">
        <v>1463204</v>
      </c>
      <c r="G322">
        <v>320</v>
      </c>
      <c r="H322" t="s">
        <v>69</v>
      </c>
      <c r="I322">
        <v>731602</v>
      </c>
      <c r="J322">
        <v>3762630</v>
      </c>
      <c r="K322">
        <v>0</v>
      </c>
      <c r="L322">
        <v>1463204</v>
      </c>
    </row>
    <row r="323" spans="1:12" x14ac:dyDescent="0.35">
      <c r="A323">
        <v>321</v>
      </c>
      <c r="B323" t="s">
        <v>63</v>
      </c>
      <c r="C323">
        <v>731602</v>
      </c>
      <c r="D323">
        <v>731602</v>
      </c>
      <c r="G323">
        <v>321</v>
      </c>
      <c r="H323" t="s">
        <v>63</v>
      </c>
      <c r="I323">
        <v>731602</v>
      </c>
      <c r="J323">
        <v>3762630</v>
      </c>
      <c r="K323">
        <v>1</v>
      </c>
      <c r="L323">
        <v>731602</v>
      </c>
    </row>
    <row r="324" spans="1:12" x14ac:dyDescent="0.35">
      <c r="A324">
        <v>322</v>
      </c>
      <c r="B324" t="s">
        <v>69</v>
      </c>
      <c r="C324">
        <v>731602</v>
      </c>
      <c r="D324">
        <v>1463204</v>
      </c>
      <c r="G324">
        <v>322</v>
      </c>
      <c r="H324" t="s">
        <v>69</v>
      </c>
      <c r="I324">
        <v>731602</v>
      </c>
      <c r="J324">
        <v>3762629</v>
      </c>
      <c r="K324">
        <v>1</v>
      </c>
      <c r="L324">
        <v>1463204</v>
      </c>
    </row>
    <row r="325" spans="1:12" x14ac:dyDescent="0.35">
      <c r="A325">
        <v>323</v>
      </c>
      <c r="B325" t="s">
        <v>63</v>
      </c>
      <c r="C325">
        <v>731602</v>
      </c>
      <c r="D325">
        <v>731602</v>
      </c>
      <c r="G325">
        <v>323</v>
      </c>
      <c r="H325" t="s">
        <v>63</v>
      </c>
      <c r="I325">
        <v>731602</v>
      </c>
      <c r="J325">
        <v>3762628</v>
      </c>
      <c r="K325">
        <v>65</v>
      </c>
      <c r="L325">
        <v>731602</v>
      </c>
    </row>
    <row r="326" spans="1:12" x14ac:dyDescent="0.35">
      <c r="A326">
        <v>324</v>
      </c>
      <c r="B326" t="s">
        <v>919</v>
      </c>
      <c r="C326">
        <v>731573</v>
      </c>
      <c r="D326">
        <v>1463175</v>
      </c>
      <c r="G326">
        <v>324</v>
      </c>
      <c r="H326" t="s">
        <v>919</v>
      </c>
      <c r="I326">
        <v>731573</v>
      </c>
      <c r="J326">
        <v>3762592</v>
      </c>
      <c r="K326">
        <v>54.999999998952298</v>
      </c>
      <c r="L326">
        <v>1463175</v>
      </c>
    </row>
    <row r="327" spans="1:12" x14ac:dyDescent="0.35">
      <c r="A327">
        <v>325</v>
      </c>
      <c r="B327" t="s">
        <v>919</v>
      </c>
      <c r="C327">
        <v>731552.00000000105</v>
      </c>
      <c r="D327">
        <v>2194727</v>
      </c>
      <c r="G327">
        <v>325</v>
      </c>
      <c r="H327" t="s">
        <v>919</v>
      </c>
      <c r="I327">
        <v>731552.00000000105</v>
      </c>
      <c r="J327">
        <v>3762558</v>
      </c>
      <c r="K327">
        <v>60.000000001047702</v>
      </c>
      <c r="L327">
        <v>2194727</v>
      </c>
    </row>
    <row r="328" spans="1:12" x14ac:dyDescent="0.35">
      <c r="A328">
        <v>326</v>
      </c>
      <c r="B328" t="s">
        <v>919</v>
      </c>
      <c r="C328">
        <v>731527</v>
      </c>
      <c r="D328">
        <v>2926254</v>
      </c>
      <c r="G328">
        <v>326</v>
      </c>
      <c r="H328" t="s">
        <v>919</v>
      </c>
      <c r="I328">
        <v>731527</v>
      </c>
      <c r="J328">
        <v>3762523</v>
      </c>
      <c r="K328">
        <v>75.999999998952305</v>
      </c>
      <c r="L328">
        <v>2926254</v>
      </c>
    </row>
    <row r="329" spans="1:12" x14ac:dyDescent="0.35">
      <c r="A329">
        <v>327</v>
      </c>
      <c r="B329" t="s">
        <v>919</v>
      </c>
      <c r="C329">
        <v>731491.00000000105</v>
      </c>
      <c r="D329">
        <v>3657745</v>
      </c>
      <c r="G329">
        <v>327</v>
      </c>
      <c r="H329" t="s">
        <v>919</v>
      </c>
      <c r="I329">
        <v>731491.00000000105</v>
      </c>
      <c r="J329">
        <v>3762483</v>
      </c>
      <c r="K329">
        <v>105.99999999895201</v>
      </c>
      <c r="L329">
        <v>3657745</v>
      </c>
    </row>
    <row r="330" spans="1:12" x14ac:dyDescent="0.35">
      <c r="A330">
        <v>328</v>
      </c>
      <c r="B330" t="s">
        <v>69</v>
      </c>
      <c r="C330">
        <v>731520</v>
      </c>
      <c r="D330">
        <v>4389265</v>
      </c>
      <c r="G330">
        <v>328</v>
      </c>
      <c r="H330" t="s">
        <v>69</v>
      </c>
      <c r="I330">
        <v>731520</v>
      </c>
      <c r="J330">
        <v>3762406</v>
      </c>
      <c r="K330">
        <v>0</v>
      </c>
      <c r="L330">
        <v>4389265</v>
      </c>
    </row>
    <row r="331" spans="1:12" x14ac:dyDescent="0.35">
      <c r="A331">
        <v>329</v>
      </c>
      <c r="B331" t="s">
        <v>63</v>
      </c>
      <c r="C331">
        <v>731520</v>
      </c>
      <c r="D331">
        <v>731520</v>
      </c>
      <c r="G331">
        <v>329</v>
      </c>
      <c r="H331" t="s">
        <v>63</v>
      </c>
      <c r="I331">
        <v>731520</v>
      </c>
      <c r="J331">
        <v>3762406</v>
      </c>
      <c r="K331">
        <v>1</v>
      </c>
      <c r="L331">
        <v>731520</v>
      </c>
    </row>
    <row r="332" spans="1:12" x14ac:dyDescent="0.35">
      <c r="A332">
        <v>330</v>
      </c>
      <c r="B332" t="s">
        <v>69</v>
      </c>
      <c r="C332">
        <v>731520</v>
      </c>
      <c r="D332">
        <v>1463040</v>
      </c>
      <c r="G332">
        <v>330</v>
      </c>
      <c r="H332" t="s">
        <v>69</v>
      </c>
      <c r="I332">
        <v>731520</v>
      </c>
      <c r="J332">
        <v>3762405</v>
      </c>
      <c r="K332">
        <v>0</v>
      </c>
      <c r="L332">
        <v>1463040</v>
      </c>
    </row>
    <row r="333" spans="1:12" x14ac:dyDescent="0.35">
      <c r="A333">
        <v>331</v>
      </c>
      <c r="B333" t="s">
        <v>63</v>
      </c>
      <c r="C333">
        <v>731520</v>
      </c>
      <c r="D333">
        <v>731520</v>
      </c>
      <c r="G333">
        <v>331</v>
      </c>
      <c r="H333" t="s">
        <v>63</v>
      </c>
      <c r="I333">
        <v>731520</v>
      </c>
      <c r="J333">
        <v>3762405</v>
      </c>
      <c r="K333">
        <v>1</v>
      </c>
      <c r="L333">
        <v>731520</v>
      </c>
    </row>
    <row r="334" spans="1:12" x14ac:dyDescent="0.35">
      <c r="A334">
        <v>332</v>
      </c>
      <c r="B334" t="s">
        <v>69</v>
      </c>
      <c r="C334">
        <v>731520</v>
      </c>
      <c r="D334">
        <v>1463040</v>
      </c>
      <c r="G334">
        <v>332</v>
      </c>
      <c r="H334" t="s">
        <v>69</v>
      </c>
      <c r="I334">
        <v>731520</v>
      </c>
      <c r="J334">
        <v>3762406</v>
      </c>
      <c r="K334">
        <v>0</v>
      </c>
      <c r="L334">
        <v>1463040</v>
      </c>
    </row>
    <row r="335" spans="1:12" x14ac:dyDescent="0.35">
      <c r="A335">
        <v>333</v>
      </c>
      <c r="B335" t="s">
        <v>63</v>
      </c>
      <c r="C335">
        <v>731520</v>
      </c>
      <c r="D335">
        <v>731520</v>
      </c>
      <c r="G335">
        <v>333</v>
      </c>
      <c r="H335" t="s">
        <v>63</v>
      </c>
      <c r="I335">
        <v>731520</v>
      </c>
      <c r="J335">
        <v>3762406</v>
      </c>
      <c r="K335">
        <v>43.000000001047702</v>
      </c>
      <c r="L335">
        <v>731520</v>
      </c>
    </row>
    <row r="336" spans="1:12" x14ac:dyDescent="0.35">
      <c r="A336">
        <v>334</v>
      </c>
      <c r="B336" t="s">
        <v>919</v>
      </c>
      <c r="C336">
        <v>731531.00000000105</v>
      </c>
      <c r="D336">
        <v>1463051</v>
      </c>
      <c r="G336">
        <v>334</v>
      </c>
      <c r="H336" t="s">
        <v>919</v>
      </c>
      <c r="I336">
        <v>731531.00000000105</v>
      </c>
      <c r="J336">
        <v>3762374</v>
      </c>
      <c r="K336">
        <v>60.999999998952298</v>
      </c>
      <c r="L336">
        <v>1463051</v>
      </c>
    </row>
    <row r="337" spans="1:12" x14ac:dyDescent="0.35">
      <c r="A337">
        <v>335</v>
      </c>
      <c r="B337" t="s">
        <v>69</v>
      </c>
      <c r="C337">
        <v>731548</v>
      </c>
      <c r="D337">
        <v>2194599</v>
      </c>
      <c r="G337">
        <v>335</v>
      </c>
      <c r="H337" t="s">
        <v>69</v>
      </c>
      <c r="I337">
        <v>731548</v>
      </c>
      <c r="J337">
        <v>3762330</v>
      </c>
      <c r="K337">
        <v>0</v>
      </c>
      <c r="L337">
        <v>2194599</v>
      </c>
    </row>
    <row r="338" spans="1:12" x14ac:dyDescent="0.35">
      <c r="A338">
        <v>336</v>
      </c>
      <c r="B338" t="s">
        <v>63</v>
      </c>
      <c r="C338">
        <v>731548</v>
      </c>
      <c r="D338">
        <v>731548</v>
      </c>
      <c r="G338">
        <v>336</v>
      </c>
      <c r="H338" t="s">
        <v>63</v>
      </c>
      <c r="I338">
        <v>731548</v>
      </c>
      <c r="J338">
        <v>3762330</v>
      </c>
      <c r="K338">
        <v>1.0000000010477399</v>
      </c>
      <c r="L338">
        <v>731548</v>
      </c>
    </row>
    <row r="339" spans="1:12" x14ac:dyDescent="0.35">
      <c r="A339">
        <v>337</v>
      </c>
      <c r="B339" t="s">
        <v>69</v>
      </c>
      <c r="C339">
        <v>731549.00000000105</v>
      </c>
      <c r="D339">
        <v>1463097</v>
      </c>
      <c r="G339">
        <v>337</v>
      </c>
      <c r="H339" t="s">
        <v>69</v>
      </c>
      <c r="I339">
        <v>731549.00000000105</v>
      </c>
      <c r="J339">
        <v>3762330</v>
      </c>
      <c r="K339">
        <v>0</v>
      </c>
      <c r="L339">
        <v>1463097</v>
      </c>
    </row>
    <row r="340" spans="1:12" x14ac:dyDescent="0.35">
      <c r="A340">
        <v>338</v>
      </c>
      <c r="B340" t="s">
        <v>63</v>
      </c>
      <c r="C340">
        <v>731549.00000000105</v>
      </c>
      <c r="D340">
        <v>731549.00000000105</v>
      </c>
      <c r="G340">
        <v>338</v>
      </c>
      <c r="H340" t="s">
        <v>63</v>
      </c>
      <c r="I340">
        <v>731549.00000000105</v>
      </c>
      <c r="J340">
        <v>3762330</v>
      </c>
      <c r="K340">
        <v>1.9999999989522601</v>
      </c>
      <c r="L340">
        <v>731549.00000000105</v>
      </c>
    </row>
    <row r="341" spans="1:12" x14ac:dyDescent="0.35">
      <c r="A341">
        <v>339</v>
      </c>
      <c r="B341" t="s">
        <v>69</v>
      </c>
      <c r="C341">
        <v>731550</v>
      </c>
      <c r="D341">
        <v>1463099</v>
      </c>
      <c r="G341">
        <v>339</v>
      </c>
      <c r="H341" t="s">
        <v>69</v>
      </c>
      <c r="I341">
        <v>731550</v>
      </c>
      <c r="J341">
        <v>3762331</v>
      </c>
      <c r="K341">
        <v>3</v>
      </c>
      <c r="L341">
        <v>1463099</v>
      </c>
    </row>
    <row r="342" spans="1:12" x14ac:dyDescent="0.35">
      <c r="A342">
        <v>340</v>
      </c>
      <c r="B342" t="s">
        <v>63</v>
      </c>
      <c r="C342">
        <v>731548</v>
      </c>
      <c r="D342">
        <v>731548</v>
      </c>
      <c r="G342">
        <v>340</v>
      </c>
      <c r="H342" t="s">
        <v>63</v>
      </c>
      <c r="I342">
        <v>731548</v>
      </c>
      <c r="J342">
        <v>3762330</v>
      </c>
      <c r="K342">
        <v>79.000000001047695</v>
      </c>
      <c r="L342">
        <v>731548</v>
      </c>
    </row>
    <row r="343" spans="1:12" x14ac:dyDescent="0.35">
      <c r="A343">
        <v>341</v>
      </c>
      <c r="B343" t="s">
        <v>919</v>
      </c>
      <c r="C343">
        <v>731570.00000000105</v>
      </c>
      <c r="D343">
        <v>1463118</v>
      </c>
      <c r="G343">
        <v>341</v>
      </c>
      <c r="H343" t="s">
        <v>919</v>
      </c>
      <c r="I343">
        <v>731570.00000000105</v>
      </c>
      <c r="J343">
        <v>3762273</v>
      </c>
      <c r="K343">
        <v>26</v>
      </c>
      <c r="L343">
        <v>1463118</v>
      </c>
    </row>
    <row r="344" spans="1:12" x14ac:dyDescent="0.35">
      <c r="A344">
        <v>342</v>
      </c>
      <c r="B344" t="s">
        <v>919</v>
      </c>
      <c r="C344">
        <v>731575.00000000105</v>
      </c>
      <c r="D344">
        <v>2194693</v>
      </c>
      <c r="G344">
        <v>342</v>
      </c>
      <c r="H344" t="s">
        <v>919</v>
      </c>
      <c r="I344">
        <v>731575.00000000105</v>
      </c>
      <c r="J344">
        <v>3762252</v>
      </c>
      <c r="K344">
        <v>59</v>
      </c>
      <c r="L344">
        <v>2194693</v>
      </c>
    </row>
    <row r="345" spans="1:12" x14ac:dyDescent="0.35">
      <c r="A345">
        <v>343</v>
      </c>
      <c r="B345" t="s">
        <v>919</v>
      </c>
      <c r="C345">
        <v>731595.00000000105</v>
      </c>
      <c r="D345">
        <v>2926288</v>
      </c>
      <c r="G345">
        <v>343</v>
      </c>
      <c r="H345" t="s">
        <v>919</v>
      </c>
      <c r="I345">
        <v>731595.00000000105</v>
      </c>
      <c r="J345">
        <v>3762213</v>
      </c>
      <c r="K345">
        <v>35.999999998952298</v>
      </c>
      <c r="L345">
        <v>2926288</v>
      </c>
    </row>
    <row r="346" spans="1:12" x14ac:dyDescent="0.35">
      <c r="A346">
        <v>344</v>
      </c>
      <c r="B346" t="s">
        <v>69</v>
      </c>
      <c r="C346">
        <v>731627</v>
      </c>
      <c r="D346">
        <v>3657915</v>
      </c>
      <c r="G346">
        <v>344</v>
      </c>
      <c r="H346" t="s">
        <v>69</v>
      </c>
      <c r="I346">
        <v>731627</v>
      </c>
      <c r="J346">
        <v>3762217</v>
      </c>
      <c r="K346">
        <v>0</v>
      </c>
      <c r="L346">
        <v>3657915</v>
      </c>
    </row>
    <row r="347" spans="1:12" x14ac:dyDescent="0.35">
      <c r="A347">
        <v>345</v>
      </c>
      <c r="B347" t="s">
        <v>63</v>
      </c>
      <c r="C347">
        <v>731627</v>
      </c>
      <c r="D347">
        <v>731627</v>
      </c>
      <c r="G347">
        <v>345</v>
      </c>
      <c r="H347" t="s">
        <v>63</v>
      </c>
      <c r="I347">
        <v>731627</v>
      </c>
      <c r="J347">
        <v>3762217</v>
      </c>
      <c r="K347">
        <v>4</v>
      </c>
      <c r="L347">
        <v>731627</v>
      </c>
    </row>
    <row r="348" spans="1:12" x14ac:dyDescent="0.35">
      <c r="A348">
        <v>346</v>
      </c>
      <c r="B348" t="s">
        <v>69</v>
      </c>
      <c r="C348">
        <v>731625</v>
      </c>
      <c r="D348">
        <v>1463252</v>
      </c>
      <c r="G348">
        <v>346</v>
      </c>
      <c r="H348" t="s">
        <v>69</v>
      </c>
      <c r="I348">
        <v>731625</v>
      </c>
      <c r="J348">
        <v>3762219</v>
      </c>
      <c r="K348">
        <v>0</v>
      </c>
      <c r="L348">
        <v>1463252</v>
      </c>
    </row>
    <row r="349" spans="1:12" x14ac:dyDescent="0.35">
      <c r="A349">
        <v>347</v>
      </c>
      <c r="B349" t="s">
        <v>63</v>
      </c>
      <c r="C349">
        <v>731625</v>
      </c>
      <c r="D349">
        <v>731625</v>
      </c>
      <c r="G349">
        <v>347</v>
      </c>
      <c r="H349" t="s">
        <v>63</v>
      </c>
      <c r="I349">
        <v>731625</v>
      </c>
      <c r="J349">
        <v>3762219</v>
      </c>
      <c r="K349">
        <v>0</v>
      </c>
      <c r="L349">
        <v>731625</v>
      </c>
    </row>
    <row r="350" spans="1:12" x14ac:dyDescent="0.35">
      <c r="A350">
        <v>348</v>
      </c>
      <c r="B350" t="s">
        <v>69</v>
      </c>
      <c r="C350">
        <v>731625</v>
      </c>
      <c r="D350">
        <v>1463250</v>
      </c>
      <c r="G350">
        <v>348</v>
      </c>
      <c r="H350" t="s">
        <v>69</v>
      </c>
      <c r="I350">
        <v>731625</v>
      </c>
      <c r="J350">
        <v>3762219</v>
      </c>
      <c r="K350">
        <v>4</v>
      </c>
      <c r="L350">
        <v>1463250</v>
      </c>
    </row>
    <row r="351" spans="1:12" x14ac:dyDescent="0.35">
      <c r="A351">
        <v>349</v>
      </c>
      <c r="B351" t="s">
        <v>63</v>
      </c>
      <c r="C351">
        <v>731627</v>
      </c>
      <c r="D351">
        <v>731627</v>
      </c>
      <c r="G351">
        <v>349</v>
      </c>
      <c r="H351" t="s">
        <v>63</v>
      </c>
      <c r="I351">
        <v>731627</v>
      </c>
      <c r="J351">
        <v>3762217</v>
      </c>
      <c r="K351">
        <v>38.000000001047702</v>
      </c>
      <c r="L351">
        <v>731627</v>
      </c>
    </row>
    <row r="352" spans="1:12" x14ac:dyDescent="0.35">
      <c r="A352">
        <v>350</v>
      </c>
      <c r="B352" t="s">
        <v>919</v>
      </c>
      <c r="C352">
        <v>731662.00000000105</v>
      </c>
      <c r="D352">
        <v>1463289</v>
      </c>
      <c r="G352">
        <v>350</v>
      </c>
      <c r="H352" t="s">
        <v>919</v>
      </c>
      <c r="I352">
        <v>731662.00000000105</v>
      </c>
      <c r="J352">
        <v>3762220</v>
      </c>
      <c r="K352">
        <v>38</v>
      </c>
      <c r="L352">
        <v>1463289</v>
      </c>
    </row>
    <row r="353" spans="1:12" x14ac:dyDescent="0.35">
      <c r="A353">
        <v>351</v>
      </c>
      <c r="B353" t="s">
        <v>69</v>
      </c>
      <c r="C353">
        <v>731667.00000000105</v>
      </c>
      <c r="D353">
        <v>2194956</v>
      </c>
      <c r="G353">
        <v>351</v>
      </c>
      <c r="H353" t="s">
        <v>69</v>
      </c>
      <c r="I353">
        <v>731667.00000000105</v>
      </c>
      <c r="J353">
        <v>3762187</v>
      </c>
      <c r="K353">
        <v>0</v>
      </c>
      <c r="L353">
        <v>2194956</v>
      </c>
    </row>
    <row r="354" spans="1:12" x14ac:dyDescent="0.35">
      <c r="A354">
        <v>352</v>
      </c>
      <c r="B354" t="s">
        <v>63</v>
      </c>
      <c r="C354">
        <v>731667.00000000105</v>
      </c>
      <c r="D354">
        <v>731667.00000000105</v>
      </c>
      <c r="G354">
        <v>352</v>
      </c>
      <c r="H354" t="s">
        <v>63</v>
      </c>
      <c r="I354">
        <v>731667.00000000105</v>
      </c>
      <c r="J354">
        <v>3762187</v>
      </c>
      <c r="K354">
        <v>1</v>
      </c>
      <c r="L354">
        <v>731667.00000000105</v>
      </c>
    </row>
    <row r="355" spans="1:12" x14ac:dyDescent="0.35">
      <c r="A355">
        <v>353</v>
      </c>
      <c r="B355" t="s">
        <v>69</v>
      </c>
      <c r="C355">
        <v>731667.00000000105</v>
      </c>
      <c r="D355">
        <v>1463334</v>
      </c>
      <c r="G355">
        <v>353</v>
      </c>
      <c r="H355" t="s">
        <v>69</v>
      </c>
      <c r="I355">
        <v>731667.00000000105</v>
      </c>
      <c r="J355">
        <v>3762186</v>
      </c>
      <c r="K355">
        <v>0</v>
      </c>
      <c r="L355">
        <v>1463334</v>
      </c>
    </row>
    <row r="356" spans="1:12" x14ac:dyDescent="0.35">
      <c r="A356">
        <v>354</v>
      </c>
      <c r="B356" t="s">
        <v>63</v>
      </c>
      <c r="C356">
        <v>731667.00000000105</v>
      </c>
      <c r="D356">
        <v>731667.00000000105</v>
      </c>
      <c r="G356">
        <v>354</v>
      </c>
      <c r="H356" t="s">
        <v>63</v>
      </c>
      <c r="I356">
        <v>731667.00000000105</v>
      </c>
      <c r="J356">
        <v>3762186</v>
      </c>
      <c r="K356">
        <v>1.9999999989522601</v>
      </c>
      <c r="L356">
        <v>731667.00000000105</v>
      </c>
    </row>
    <row r="357" spans="1:12" x14ac:dyDescent="0.35">
      <c r="A357">
        <v>355</v>
      </c>
      <c r="B357" t="s">
        <v>69</v>
      </c>
      <c r="C357">
        <v>731668</v>
      </c>
      <c r="D357">
        <v>1463335</v>
      </c>
      <c r="G357">
        <v>355</v>
      </c>
      <c r="H357" t="s">
        <v>69</v>
      </c>
      <c r="I357">
        <v>731668</v>
      </c>
      <c r="J357">
        <v>3762185</v>
      </c>
      <c r="K357">
        <v>2.9999999989522599</v>
      </c>
      <c r="L357">
        <v>1463335</v>
      </c>
    </row>
    <row r="358" spans="1:12" x14ac:dyDescent="0.35">
      <c r="A358">
        <v>356</v>
      </c>
      <c r="B358" t="s">
        <v>63</v>
      </c>
      <c r="C358">
        <v>731667.00000000105</v>
      </c>
      <c r="D358">
        <v>731667.00000000105</v>
      </c>
      <c r="G358">
        <v>356</v>
      </c>
      <c r="H358" t="s">
        <v>63</v>
      </c>
      <c r="I358">
        <v>731667.00000000105</v>
      </c>
      <c r="J358">
        <v>3762187</v>
      </c>
      <c r="K358">
        <v>39.999999998952298</v>
      </c>
      <c r="L358">
        <v>731667.00000000105</v>
      </c>
    </row>
    <row r="359" spans="1:12" x14ac:dyDescent="0.35">
      <c r="A359">
        <v>357</v>
      </c>
      <c r="B359" t="s">
        <v>69</v>
      </c>
      <c r="C359">
        <v>731706</v>
      </c>
      <c r="D359">
        <v>1463373</v>
      </c>
      <c r="G359">
        <v>357</v>
      </c>
      <c r="H359" t="s">
        <v>69</v>
      </c>
      <c r="I359">
        <v>731706</v>
      </c>
      <c r="J359">
        <v>3762188</v>
      </c>
      <c r="K359">
        <v>0</v>
      </c>
      <c r="L359">
        <v>1463373</v>
      </c>
    </row>
    <row r="360" spans="1:12" x14ac:dyDescent="0.35">
      <c r="A360">
        <v>358</v>
      </c>
      <c r="B360" t="s">
        <v>63</v>
      </c>
      <c r="C360">
        <v>731706</v>
      </c>
      <c r="D360">
        <v>731706</v>
      </c>
      <c r="G360">
        <v>358</v>
      </c>
      <c r="H360" t="s">
        <v>63</v>
      </c>
      <c r="I360">
        <v>731706</v>
      </c>
      <c r="J360">
        <v>3762188</v>
      </c>
      <c r="K360">
        <v>1.9999999989522601</v>
      </c>
      <c r="L360">
        <v>731706</v>
      </c>
    </row>
    <row r="361" spans="1:12" x14ac:dyDescent="0.35">
      <c r="A361">
        <v>359</v>
      </c>
      <c r="B361" t="s">
        <v>69</v>
      </c>
      <c r="C361">
        <v>731706.99999999895</v>
      </c>
      <c r="D361">
        <v>1463413</v>
      </c>
      <c r="G361">
        <v>359</v>
      </c>
      <c r="H361" t="s">
        <v>69</v>
      </c>
      <c r="I361">
        <v>731706.99999999895</v>
      </c>
      <c r="J361">
        <v>3762187</v>
      </c>
      <c r="K361">
        <v>0</v>
      </c>
      <c r="L361">
        <v>1463413</v>
      </c>
    </row>
    <row r="362" spans="1:12" x14ac:dyDescent="0.35">
      <c r="A362">
        <v>360</v>
      </c>
      <c r="B362" t="s">
        <v>63</v>
      </c>
      <c r="C362">
        <v>731706.99999999895</v>
      </c>
      <c r="D362">
        <v>731706.99999999895</v>
      </c>
      <c r="G362">
        <v>360</v>
      </c>
      <c r="H362" t="s">
        <v>63</v>
      </c>
      <c r="I362">
        <v>731706.99999999895</v>
      </c>
      <c r="J362">
        <v>3762187</v>
      </c>
      <c r="K362">
        <v>2.9999999989522599</v>
      </c>
      <c r="L362">
        <v>731706.99999999895</v>
      </c>
    </row>
    <row r="363" spans="1:12" x14ac:dyDescent="0.35">
      <c r="A363">
        <v>361</v>
      </c>
      <c r="B363" t="s">
        <v>69</v>
      </c>
      <c r="C363">
        <v>731706</v>
      </c>
      <c r="D363">
        <v>1463413</v>
      </c>
      <c r="G363">
        <v>361</v>
      </c>
      <c r="H363" t="s">
        <v>69</v>
      </c>
      <c r="I363">
        <v>731706</v>
      </c>
      <c r="J363">
        <v>3762189</v>
      </c>
      <c r="K363">
        <v>1</v>
      </c>
      <c r="L363">
        <v>1463413</v>
      </c>
    </row>
    <row r="364" spans="1:12" x14ac:dyDescent="0.35">
      <c r="A364">
        <v>362</v>
      </c>
      <c r="B364" t="s">
        <v>63</v>
      </c>
      <c r="C364">
        <v>731706</v>
      </c>
      <c r="D364">
        <v>731706</v>
      </c>
      <c r="G364">
        <v>362</v>
      </c>
      <c r="H364" t="s">
        <v>63</v>
      </c>
      <c r="I364">
        <v>731706</v>
      </c>
      <c r="J364">
        <v>3762188</v>
      </c>
      <c r="K364">
        <v>39.000000001047702</v>
      </c>
      <c r="L364">
        <v>731706</v>
      </c>
    </row>
    <row r="365" spans="1:12" x14ac:dyDescent="0.35">
      <c r="A365">
        <v>363</v>
      </c>
      <c r="B365" t="s">
        <v>69</v>
      </c>
      <c r="C365">
        <v>731708.00000000105</v>
      </c>
      <c r="D365">
        <v>1463414</v>
      </c>
      <c r="G365">
        <v>363</v>
      </c>
      <c r="H365" t="s">
        <v>69</v>
      </c>
      <c r="I365">
        <v>731708.00000000105</v>
      </c>
      <c r="J365">
        <v>3762151</v>
      </c>
      <c r="K365">
        <v>0</v>
      </c>
      <c r="L365">
        <v>1463414</v>
      </c>
    </row>
    <row r="366" spans="1:12" x14ac:dyDescent="0.35">
      <c r="A366">
        <v>364</v>
      </c>
      <c r="B366" t="s">
        <v>63</v>
      </c>
      <c r="C366">
        <v>731708.00000000105</v>
      </c>
      <c r="D366">
        <v>731708.00000000105</v>
      </c>
      <c r="G366">
        <v>364</v>
      </c>
      <c r="H366" t="s">
        <v>63</v>
      </c>
      <c r="I366">
        <v>731708.00000000105</v>
      </c>
      <c r="J366">
        <v>3762151</v>
      </c>
      <c r="K366">
        <v>1</v>
      </c>
      <c r="L366">
        <v>731708.00000000105</v>
      </c>
    </row>
    <row r="367" spans="1:12" x14ac:dyDescent="0.35">
      <c r="A367">
        <v>365</v>
      </c>
      <c r="B367" t="s">
        <v>69</v>
      </c>
      <c r="C367">
        <v>731708.00000000105</v>
      </c>
      <c r="D367">
        <v>1463416</v>
      </c>
      <c r="G367">
        <v>365</v>
      </c>
      <c r="H367" t="s">
        <v>69</v>
      </c>
      <c r="I367">
        <v>731708.00000000105</v>
      </c>
      <c r="J367">
        <v>3762150</v>
      </c>
      <c r="K367">
        <v>0</v>
      </c>
      <c r="L367">
        <v>1463416</v>
      </c>
    </row>
    <row r="368" spans="1:12" x14ac:dyDescent="0.35">
      <c r="A368">
        <v>366</v>
      </c>
      <c r="B368" t="s">
        <v>63</v>
      </c>
      <c r="C368">
        <v>731708.00000000105</v>
      </c>
      <c r="D368">
        <v>731708.00000000105</v>
      </c>
      <c r="G368">
        <v>366</v>
      </c>
      <c r="H368" t="s">
        <v>63</v>
      </c>
      <c r="I368">
        <v>731708.00000000105</v>
      </c>
      <c r="J368">
        <v>3762150</v>
      </c>
      <c r="K368">
        <v>2</v>
      </c>
      <c r="L368">
        <v>731708.00000000105</v>
      </c>
    </row>
    <row r="369" spans="1:12" x14ac:dyDescent="0.35">
      <c r="A369">
        <v>367</v>
      </c>
      <c r="B369" t="s">
        <v>69</v>
      </c>
      <c r="C369">
        <v>731708.00000000105</v>
      </c>
      <c r="D369">
        <v>1463416</v>
      </c>
      <c r="G369">
        <v>367</v>
      </c>
      <c r="H369" t="s">
        <v>69</v>
      </c>
      <c r="I369">
        <v>731708.00000000105</v>
      </c>
      <c r="J369">
        <v>3762152</v>
      </c>
      <c r="K369">
        <v>582.00000000104797</v>
      </c>
      <c r="L369">
        <v>1463416</v>
      </c>
    </row>
    <row r="370" spans="1:12" x14ac:dyDescent="0.35">
      <c r="A370">
        <v>368</v>
      </c>
      <c r="B370" t="s">
        <v>63</v>
      </c>
      <c r="C370">
        <v>731602</v>
      </c>
      <c r="D370">
        <v>731602</v>
      </c>
      <c r="G370">
        <v>368</v>
      </c>
      <c r="H370" t="s">
        <v>63</v>
      </c>
      <c r="I370">
        <v>731602</v>
      </c>
      <c r="J370">
        <v>3762628</v>
      </c>
      <c r="K370">
        <v>40</v>
      </c>
      <c r="L370">
        <v>731602</v>
      </c>
    </row>
    <row r="371" spans="1:12" x14ac:dyDescent="0.35">
      <c r="A371">
        <v>369</v>
      </c>
      <c r="B371" t="s">
        <v>919</v>
      </c>
      <c r="C371">
        <v>731640</v>
      </c>
      <c r="D371">
        <v>1463242</v>
      </c>
      <c r="G371">
        <v>369</v>
      </c>
      <c r="H371" t="s">
        <v>919</v>
      </c>
      <c r="I371">
        <v>731640</v>
      </c>
      <c r="J371">
        <v>3762630</v>
      </c>
      <c r="K371">
        <v>30</v>
      </c>
      <c r="L371">
        <v>1463242</v>
      </c>
    </row>
    <row r="372" spans="1:12" x14ac:dyDescent="0.35">
      <c r="A372">
        <v>370</v>
      </c>
      <c r="B372" t="s">
        <v>69</v>
      </c>
      <c r="C372">
        <v>731665</v>
      </c>
      <c r="D372">
        <v>2194907</v>
      </c>
      <c r="G372">
        <v>370</v>
      </c>
      <c r="H372" t="s">
        <v>69</v>
      </c>
      <c r="I372">
        <v>731665</v>
      </c>
      <c r="J372">
        <v>3762625</v>
      </c>
      <c r="K372">
        <v>0</v>
      </c>
      <c r="L372">
        <v>2194907</v>
      </c>
    </row>
    <row r="373" spans="1:12" x14ac:dyDescent="0.35">
      <c r="A373">
        <v>371</v>
      </c>
      <c r="B373" t="s">
        <v>63</v>
      </c>
      <c r="C373">
        <v>731665</v>
      </c>
      <c r="D373">
        <v>731665</v>
      </c>
      <c r="G373">
        <v>371</v>
      </c>
      <c r="H373" t="s">
        <v>63</v>
      </c>
      <c r="I373">
        <v>731665</v>
      </c>
      <c r="J373">
        <v>3762625</v>
      </c>
      <c r="K373">
        <v>1</v>
      </c>
      <c r="L373">
        <v>731665</v>
      </c>
    </row>
    <row r="374" spans="1:12" x14ac:dyDescent="0.35">
      <c r="A374">
        <v>372</v>
      </c>
      <c r="B374" t="s">
        <v>69</v>
      </c>
      <c r="C374">
        <v>731665</v>
      </c>
      <c r="D374">
        <v>1463330</v>
      </c>
      <c r="G374">
        <v>372</v>
      </c>
      <c r="H374" t="s">
        <v>69</v>
      </c>
      <c r="I374">
        <v>731665</v>
      </c>
      <c r="J374">
        <v>3762626</v>
      </c>
      <c r="K374">
        <v>0</v>
      </c>
      <c r="L374">
        <v>1463330</v>
      </c>
    </row>
    <row r="375" spans="1:12" x14ac:dyDescent="0.35">
      <c r="A375">
        <v>373</v>
      </c>
      <c r="B375" t="s">
        <v>63</v>
      </c>
      <c r="C375">
        <v>731665</v>
      </c>
      <c r="D375">
        <v>731665</v>
      </c>
      <c r="G375">
        <v>373</v>
      </c>
      <c r="H375" t="s">
        <v>63</v>
      </c>
      <c r="I375">
        <v>731665</v>
      </c>
      <c r="J375">
        <v>3762626</v>
      </c>
      <c r="K375">
        <v>2.0000000010477401</v>
      </c>
      <c r="L375">
        <v>731665</v>
      </c>
    </row>
    <row r="376" spans="1:12" x14ac:dyDescent="0.35">
      <c r="A376">
        <v>374</v>
      </c>
      <c r="B376" t="s">
        <v>69</v>
      </c>
      <c r="C376">
        <v>731667.00000000105</v>
      </c>
      <c r="D376">
        <v>1463332</v>
      </c>
      <c r="G376">
        <v>374</v>
      </c>
      <c r="H376" t="s">
        <v>69</v>
      </c>
      <c r="I376">
        <v>731667.00000000105</v>
      </c>
      <c r="J376">
        <v>3762626</v>
      </c>
      <c r="K376">
        <v>3.0000000010477401</v>
      </c>
      <c r="L376">
        <v>1463332</v>
      </c>
    </row>
    <row r="377" spans="1:12" x14ac:dyDescent="0.35">
      <c r="A377">
        <v>375</v>
      </c>
      <c r="B377" t="s">
        <v>63</v>
      </c>
      <c r="C377">
        <v>731665</v>
      </c>
      <c r="D377">
        <v>731665</v>
      </c>
      <c r="G377">
        <v>375</v>
      </c>
      <c r="H377" t="s">
        <v>63</v>
      </c>
      <c r="I377">
        <v>731665</v>
      </c>
      <c r="J377">
        <v>3762625</v>
      </c>
      <c r="K377">
        <v>47</v>
      </c>
      <c r="L377">
        <v>731665</v>
      </c>
    </row>
    <row r="378" spans="1:12" x14ac:dyDescent="0.35">
      <c r="A378">
        <v>376</v>
      </c>
      <c r="B378" t="s">
        <v>69</v>
      </c>
      <c r="C378">
        <v>731712</v>
      </c>
      <c r="D378">
        <v>1463377</v>
      </c>
      <c r="G378">
        <v>376</v>
      </c>
      <c r="H378" t="s">
        <v>69</v>
      </c>
      <c r="I378">
        <v>731712</v>
      </c>
      <c r="J378">
        <v>3762625</v>
      </c>
      <c r="K378">
        <v>0</v>
      </c>
      <c r="L378">
        <v>1463377</v>
      </c>
    </row>
    <row r="379" spans="1:12" x14ac:dyDescent="0.35">
      <c r="A379">
        <v>377</v>
      </c>
      <c r="B379" t="s">
        <v>63</v>
      </c>
      <c r="C379">
        <v>731712</v>
      </c>
      <c r="D379">
        <v>731712</v>
      </c>
      <c r="G379">
        <v>377</v>
      </c>
      <c r="H379" t="s">
        <v>63</v>
      </c>
      <c r="I379">
        <v>731712</v>
      </c>
      <c r="J379">
        <v>3762625</v>
      </c>
      <c r="K379">
        <v>28</v>
      </c>
      <c r="L379">
        <v>731712</v>
      </c>
    </row>
    <row r="380" spans="1:12" x14ac:dyDescent="0.35">
      <c r="A380">
        <v>378</v>
      </c>
      <c r="B380" t="s">
        <v>69</v>
      </c>
      <c r="C380">
        <v>731709</v>
      </c>
      <c r="D380">
        <v>1463421</v>
      </c>
      <c r="G380">
        <v>378</v>
      </c>
      <c r="H380" t="s">
        <v>69</v>
      </c>
      <c r="I380">
        <v>731709</v>
      </c>
      <c r="J380">
        <v>3762650</v>
      </c>
      <c r="K380">
        <v>0</v>
      </c>
      <c r="L380">
        <v>1463421</v>
      </c>
    </row>
    <row r="381" spans="1:12" x14ac:dyDescent="0.35">
      <c r="A381">
        <v>379</v>
      </c>
      <c r="B381" t="s">
        <v>63</v>
      </c>
      <c r="C381">
        <v>731709</v>
      </c>
      <c r="D381">
        <v>731709</v>
      </c>
      <c r="G381">
        <v>379</v>
      </c>
      <c r="H381" t="s">
        <v>63</v>
      </c>
      <c r="I381">
        <v>731709</v>
      </c>
      <c r="J381">
        <v>3762650</v>
      </c>
      <c r="K381">
        <v>1.0000000010477399</v>
      </c>
      <c r="L381">
        <v>731709</v>
      </c>
    </row>
    <row r="382" spans="1:12" x14ac:dyDescent="0.35">
      <c r="A382">
        <v>380</v>
      </c>
      <c r="B382" t="s">
        <v>69</v>
      </c>
      <c r="C382">
        <v>731710.00000000105</v>
      </c>
      <c r="D382">
        <v>1463419</v>
      </c>
      <c r="G382">
        <v>380</v>
      </c>
      <c r="H382" t="s">
        <v>69</v>
      </c>
      <c r="I382">
        <v>731710.00000000105</v>
      </c>
      <c r="J382">
        <v>3762650</v>
      </c>
      <c r="K382">
        <v>0</v>
      </c>
      <c r="L382">
        <v>1463419</v>
      </c>
    </row>
    <row r="383" spans="1:12" x14ac:dyDescent="0.35">
      <c r="A383">
        <v>381</v>
      </c>
      <c r="B383" t="s">
        <v>63</v>
      </c>
      <c r="C383">
        <v>731710.00000000105</v>
      </c>
      <c r="D383">
        <v>731710.00000000105</v>
      </c>
      <c r="G383">
        <v>381</v>
      </c>
      <c r="H383" t="s">
        <v>63</v>
      </c>
      <c r="I383">
        <v>731710.00000000105</v>
      </c>
      <c r="J383">
        <v>3762650</v>
      </c>
      <c r="K383">
        <v>2</v>
      </c>
      <c r="L383">
        <v>731710.00000000105</v>
      </c>
    </row>
    <row r="384" spans="1:12" x14ac:dyDescent="0.35">
      <c r="A384">
        <v>382</v>
      </c>
      <c r="B384" t="s">
        <v>69</v>
      </c>
      <c r="C384">
        <v>731708.00000000105</v>
      </c>
      <c r="D384">
        <v>1463418</v>
      </c>
      <c r="G384">
        <v>382</v>
      </c>
      <c r="H384" t="s">
        <v>69</v>
      </c>
      <c r="I384">
        <v>731708.00000000105</v>
      </c>
      <c r="J384">
        <v>3762650</v>
      </c>
      <c r="K384">
        <v>28.999999998952301</v>
      </c>
      <c r="L384">
        <v>1463418</v>
      </c>
    </row>
    <row r="385" spans="1:12" x14ac:dyDescent="0.35">
      <c r="A385">
        <v>383</v>
      </c>
      <c r="B385" t="s">
        <v>63</v>
      </c>
      <c r="C385">
        <v>731712</v>
      </c>
      <c r="D385">
        <v>731712</v>
      </c>
      <c r="G385">
        <v>383</v>
      </c>
      <c r="H385" t="s">
        <v>63</v>
      </c>
      <c r="I385">
        <v>731712</v>
      </c>
      <c r="J385">
        <v>3762625</v>
      </c>
      <c r="K385">
        <v>44.000000001047702</v>
      </c>
      <c r="L385">
        <v>731712</v>
      </c>
    </row>
    <row r="386" spans="1:12" x14ac:dyDescent="0.35">
      <c r="A386">
        <v>384</v>
      </c>
      <c r="B386" t="s">
        <v>69</v>
      </c>
      <c r="C386">
        <v>731749.00000000105</v>
      </c>
      <c r="D386">
        <v>1463461</v>
      </c>
      <c r="G386">
        <v>384</v>
      </c>
      <c r="H386" t="s">
        <v>69</v>
      </c>
      <c r="I386">
        <v>731749.00000000105</v>
      </c>
      <c r="J386">
        <v>3762618</v>
      </c>
      <c r="K386">
        <v>0</v>
      </c>
      <c r="L386">
        <v>1463461</v>
      </c>
    </row>
    <row r="387" spans="1:12" x14ac:dyDescent="0.35">
      <c r="A387">
        <v>385</v>
      </c>
      <c r="B387" t="s">
        <v>63</v>
      </c>
      <c r="C387">
        <v>731749.00000000105</v>
      </c>
      <c r="D387">
        <v>731749.00000000105</v>
      </c>
      <c r="G387">
        <v>385</v>
      </c>
      <c r="H387" t="s">
        <v>63</v>
      </c>
      <c r="I387">
        <v>731749.00000000105</v>
      </c>
      <c r="J387">
        <v>3762618</v>
      </c>
      <c r="K387">
        <v>1.9999999989522601</v>
      </c>
      <c r="L387">
        <v>731749.00000000105</v>
      </c>
    </row>
    <row r="388" spans="1:12" x14ac:dyDescent="0.35">
      <c r="A388">
        <v>386</v>
      </c>
      <c r="B388" t="s">
        <v>69</v>
      </c>
      <c r="C388">
        <v>731750</v>
      </c>
      <c r="D388">
        <v>1463499</v>
      </c>
      <c r="G388">
        <v>386</v>
      </c>
      <c r="H388" t="s">
        <v>69</v>
      </c>
      <c r="I388">
        <v>731750</v>
      </c>
      <c r="J388">
        <v>3762617</v>
      </c>
      <c r="K388">
        <v>0</v>
      </c>
      <c r="L388">
        <v>1463499</v>
      </c>
    </row>
    <row r="389" spans="1:12" x14ac:dyDescent="0.35">
      <c r="A389">
        <v>387</v>
      </c>
      <c r="B389" t="s">
        <v>63</v>
      </c>
      <c r="C389">
        <v>731750</v>
      </c>
      <c r="D389">
        <v>731750</v>
      </c>
      <c r="G389">
        <v>387</v>
      </c>
      <c r="H389" t="s">
        <v>63</v>
      </c>
      <c r="I389">
        <v>731750</v>
      </c>
      <c r="J389">
        <v>3762617</v>
      </c>
      <c r="K389">
        <v>1.0000000010477399</v>
      </c>
      <c r="L389">
        <v>731750</v>
      </c>
    </row>
    <row r="390" spans="1:12" x14ac:dyDescent="0.35">
      <c r="A390">
        <v>388</v>
      </c>
      <c r="B390" t="s">
        <v>69</v>
      </c>
      <c r="C390">
        <v>731751.00000000105</v>
      </c>
      <c r="D390">
        <v>1463501</v>
      </c>
      <c r="G390">
        <v>388</v>
      </c>
      <c r="H390" t="s">
        <v>69</v>
      </c>
      <c r="I390">
        <v>731751.00000000105</v>
      </c>
      <c r="J390">
        <v>3762617</v>
      </c>
      <c r="K390">
        <v>3</v>
      </c>
      <c r="L390">
        <v>1463501</v>
      </c>
    </row>
    <row r="391" spans="1:12" x14ac:dyDescent="0.35">
      <c r="A391">
        <v>389</v>
      </c>
      <c r="B391" t="s">
        <v>63</v>
      </c>
      <c r="C391">
        <v>731749.00000000105</v>
      </c>
      <c r="D391">
        <v>731749.00000000105</v>
      </c>
      <c r="G391">
        <v>389</v>
      </c>
      <c r="H391" t="s">
        <v>63</v>
      </c>
      <c r="I391">
        <v>731749.00000000105</v>
      </c>
      <c r="J391">
        <v>3762618</v>
      </c>
      <c r="K391">
        <v>51</v>
      </c>
      <c r="L391">
        <v>731749.00000000105</v>
      </c>
    </row>
    <row r="392" spans="1:12" x14ac:dyDescent="0.35">
      <c r="A392">
        <v>390</v>
      </c>
      <c r="B392" t="s">
        <v>69</v>
      </c>
      <c r="C392">
        <v>731792.00000000105</v>
      </c>
      <c r="D392">
        <v>1463541</v>
      </c>
      <c r="G392">
        <v>390</v>
      </c>
      <c r="H392" t="s">
        <v>69</v>
      </c>
      <c r="I392">
        <v>731792.00000000105</v>
      </c>
      <c r="J392">
        <v>3762626</v>
      </c>
      <c r="K392">
        <v>0</v>
      </c>
      <c r="L392">
        <v>1463541</v>
      </c>
    </row>
    <row r="393" spans="1:12" x14ac:dyDescent="0.35">
      <c r="A393">
        <v>391</v>
      </c>
      <c r="B393" t="s">
        <v>63</v>
      </c>
      <c r="C393">
        <v>731792.00000000105</v>
      </c>
      <c r="D393">
        <v>731792.00000000105</v>
      </c>
      <c r="G393">
        <v>391</v>
      </c>
      <c r="H393" t="s">
        <v>63</v>
      </c>
      <c r="I393">
        <v>731792.00000000105</v>
      </c>
      <c r="J393">
        <v>3762626</v>
      </c>
      <c r="K393">
        <v>2.9999999989522599</v>
      </c>
      <c r="L393">
        <v>731792.00000000105</v>
      </c>
    </row>
    <row r="394" spans="1:12" x14ac:dyDescent="0.35">
      <c r="A394">
        <v>392</v>
      </c>
      <c r="B394" t="s">
        <v>69</v>
      </c>
      <c r="C394">
        <v>731793</v>
      </c>
      <c r="D394">
        <v>1463585</v>
      </c>
      <c r="G394">
        <v>392</v>
      </c>
      <c r="H394" t="s">
        <v>69</v>
      </c>
      <c r="I394">
        <v>731793</v>
      </c>
      <c r="J394">
        <v>3762624</v>
      </c>
      <c r="K394">
        <v>0</v>
      </c>
      <c r="L394">
        <v>1463585</v>
      </c>
    </row>
    <row r="395" spans="1:12" x14ac:dyDescent="0.35">
      <c r="A395">
        <v>393</v>
      </c>
      <c r="B395" t="s">
        <v>63</v>
      </c>
      <c r="C395">
        <v>731793</v>
      </c>
      <c r="D395">
        <v>731793</v>
      </c>
      <c r="G395">
        <v>393</v>
      </c>
      <c r="H395" t="s">
        <v>63</v>
      </c>
      <c r="I395">
        <v>731793</v>
      </c>
      <c r="J395">
        <v>3762624</v>
      </c>
      <c r="K395">
        <v>2.9999999989522599</v>
      </c>
      <c r="L395">
        <v>731793</v>
      </c>
    </row>
    <row r="396" spans="1:12" x14ac:dyDescent="0.35">
      <c r="A396">
        <v>394</v>
      </c>
      <c r="B396" t="s">
        <v>69</v>
      </c>
      <c r="C396">
        <v>731792.00000000105</v>
      </c>
      <c r="D396">
        <v>1463585</v>
      </c>
      <c r="G396">
        <v>394</v>
      </c>
      <c r="H396" t="s">
        <v>69</v>
      </c>
      <c r="I396">
        <v>731792.00000000105</v>
      </c>
      <c r="J396">
        <v>3762626</v>
      </c>
      <c r="K396">
        <v>51</v>
      </c>
      <c r="L396">
        <v>1463585</v>
      </c>
    </row>
    <row r="397" spans="1:12" x14ac:dyDescent="0.35">
      <c r="A397">
        <v>395</v>
      </c>
      <c r="B397" t="s">
        <v>63</v>
      </c>
      <c r="C397">
        <v>731749.00000000105</v>
      </c>
      <c r="D397">
        <v>731749.00000000105</v>
      </c>
      <c r="G397">
        <v>395</v>
      </c>
      <c r="H397" t="s">
        <v>63</v>
      </c>
      <c r="I397">
        <v>731749.00000000105</v>
      </c>
      <c r="J397">
        <v>3762618</v>
      </c>
      <c r="K397">
        <v>38.999999998952298</v>
      </c>
      <c r="L397">
        <v>731749.00000000105</v>
      </c>
    </row>
    <row r="398" spans="1:12" x14ac:dyDescent="0.35">
      <c r="A398">
        <v>396</v>
      </c>
      <c r="B398" t="s">
        <v>919</v>
      </c>
      <c r="C398">
        <v>731752</v>
      </c>
      <c r="D398">
        <v>1463501</v>
      </c>
      <c r="G398">
        <v>396</v>
      </c>
      <c r="H398" t="s">
        <v>919</v>
      </c>
      <c r="I398">
        <v>731752</v>
      </c>
      <c r="J398">
        <v>3762582</v>
      </c>
      <c r="K398">
        <v>67.000000001047695</v>
      </c>
      <c r="L398">
        <v>1463501</v>
      </c>
    </row>
    <row r="399" spans="1:12" x14ac:dyDescent="0.35">
      <c r="A399">
        <v>397</v>
      </c>
      <c r="B399" t="s">
        <v>919</v>
      </c>
      <c r="C399">
        <v>731756.00000000105</v>
      </c>
      <c r="D399">
        <v>2195257</v>
      </c>
      <c r="G399">
        <v>397</v>
      </c>
      <c r="H399" t="s">
        <v>919</v>
      </c>
      <c r="I399">
        <v>731756.00000000105</v>
      </c>
      <c r="J399">
        <v>3762519</v>
      </c>
      <c r="K399">
        <v>31</v>
      </c>
      <c r="L399">
        <v>2195257</v>
      </c>
    </row>
    <row r="400" spans="1:12" x14ac:dyDescent="0.35">
      <c r="A400">
        <v>398</v>
      </c>
      <c r="B400" t="s">
        <v>919</v>
      </c>
      <c r="C400">
        <v>731764.00000000105</v>
      </c>
      <c r="D400">
        <v>2927021</v>
      </c>
      <c r="G400">
        <v>398</v>
      </c>
      <c r="H400" t="s">
        <v>919</v>
      </c>
      <c r="I400">
        <v>731764.00000000105</v>
      </c>
      <c r="J400">
        <v>3762496</v>
      </c>
      <c r="K400">
        <v>34.999999998952298</v>
      </c>
      <c r="L400">
        <v>2927021</v>
      </c>
    </row>
    <row r="401" spans="1:12" x14ac:dyDescent="0.35">
      <c r="A401">
        <v>399</v>
      </c>
      <c r="B401" t="s">
        <v>69</v>
      </c>
      <c r="C401">
        <v>731768</v>
      </c>
      <c r="D401">
        <v>3658789</v>
      </c>
      <c r="G401">
        <v>399</v>
      </c>
      <c r="H401" t="s">
        <v>69</v>
      </c>
      <c r="I401">
        <v>731768</v>
      </c>
      <c r="J401">
        <v>3762465</v>
      </c>
      <c r="K401">
        <v>0</v>
      </c>
      <c r="L401">
        <v>3658789</v>
      </c>
    </row>
    <row r="402" spans="1:12" x14ac:dyDescent="0.35">
      <c r="A402">
        <v>400</v>
      </c>
      <c r="B402" t="s">
        <v>63</v>
      </c>
      <c r="C402">
        <v>731768</v>
      </c>
      <c r="D402">
        <v>731768</v>
      </c>
      <c r="G402">
        <v>400</v>
      </c>
      <c r="H402" t="s">
        <v>63</v>
      </c>
      <c r="I402">
        <v>731768</v>
      </c>
      <c r="J402">
        <v>3762465</v>
      </c>
      <c r="K402">
        <v>1</v>
      </c>
      <c r="L402">
        <v>731768</v>
      </c>
    </row>
    <row r="403" spans="1:12" x14ac:dyDescent="0.35">
      <c r="A403">
        <v>401</v>
      </c>
      <c r="B403" t="s">
        <v>69</v>
      </c>
      <c r="C403">
        <v>731768</v>
      </c>
      <c r="D403">
        <v>1463536</v>
      </c>
      <c r="G403">
        <v>401</v>
      </c>
      <c r="H403" t="s">
        <v>69</v>
      </c>
      <c r="I403">
        <v>731768</v>
      </c>
      <c r="J403">
        <v>3762464</v>
      </c>
      <c r="K403">
        <v>0</v>
      </c>
      <c r="L403">
        <v>1463536</v>
      </c>
    </row>
    <row r="404" spans="1:12" x14ac:dyDescent="0.35">
      <c r="A404">
        <v>402</v>
      </c>
      <c r="B404" t="s">
        <v>63</v>
      </c>
      <c r="C404">
        <v>731768</v>
      </c>
      <c r="D404">
        <v>731768</v>
      </c>
      <c r="G404">
        <v>402</v>
      </c>
      <c r="H404" t="s">
        <v>63</v>
      </c>
      <c r="I404">
        <v>731768</v>
      </c>
      <c r="J404">
        <v>3762464</v>
      </c>
      <c r="K404">
        <v>1.0000000010477399</v>
      </c>
      <c r="L404">
        <v>731768</v>
      </c>
    </row>
    <row r="405" spans="1:12" x14ac:dyDescent="0.35">
      <c r="A405">
        <v>403</v>
      </c>
      <c r="B405" t="s">
        <v>69</v>
      </c>
      <c r="C405">
        <v>731769.00000000105</v>
      </c>
      <c r="D405">
        <v>1463537</v>
      </c>
      <c r="G405">
        <v>403</v>
      </c>
      <c r="H405" t="s">
        <v>69</v>
      </c>
      <c r="I405">
        <v>731769.00000000105</v>
      </c>
      <c r="J405">
        <v>3762464</v>
      </c>
      <c r="K405">
        <v>37</v>
      </c>
      <c r="L405">
        <v>1463537</v>
      </c>
    </row>
    <row r="406" spans="1:12" x14ac:dyDescent="0.35">
      <c r="A406">
        <v>404</v>
      </c>
      <c r="B406" t="s">
        <v>63</v>
      </c>
      <c r="C406">
        <v>731764.00000000105</v>
      </c>
      <c r="D406">
        <v>731764.00000000105</v>
      </c>
      <c r="G406">
        <v>404</v>
      </c>
      <c r="H406" t="s">
        <v>63</v>
      </c>
      <c r="I406">
        <v>731764.00000000105</v>
      </c>
      <c r="J406">
        <v>3762496</v>
      </c>
      <c r="K406">
        <v>41.999999998952298</v>
      </c>
      <c r="L406">
        <v>731764.00000000105</v>
      </c>
    </row>
    <row r="407" spans="1:12" x14ac:dyDescent="0.35">
      <c r="A407">
        <v>405</v>
      </c>
      <c r="B407" t="s">
        <v>919</v>
      </c>
      <c r="C407">
        <v>731798</v>
      </c>
      <c r="D407">
        <v>1463562</v>
      </c>
      <c r="G407">
        <v>405</v>
      </c>
      <c r="H407" t="s">
        <v>919</v>
      </c>
      <c r="I407">
        <v>731798</v>
      </c>
      <c r="J407">
        <v>3762504</v>
      </c>
      <c r="K407">
        <v>24.000000001047699</v>
      </c>
      <c r="L407">
        <v>1463562</v>
      </c>
    </row>
    <row r="408" spans="1:12" x14ac:dyDescent="0.35">
      <c r="A408">
        <v>406</v>
      </c>
      <c r="B408" t="s">
        <v>69</v>
      </c>
      <c r="C408">
        <v>731818.00000000105</v>
      </c>
      <c r="D408">
        <v>2195380</v>
      </c>
      <c r="G408">
        <v>406</v>
      </c>
      <c r="H408" t="s">
        <v>69</v>
      </c>
      <c r="I408">
        <v>731818.00000000105</v>
      </c>
      <c r="J408">
        <v>3762508</v>
      </c>
      <c r="K408">
        <v>0</v>
      </c>
      <c r="L408">
        <v>2195380</v>
      </c>
    </row>
    <row r="409" spans="1:12" x14ac:dyDescent="0.35">
      <c r="A409">
        <v>407</v>
      </c>
      <c r="B409" t="s">
        <v>63</v>
      </c>
      <c r="C409">
        <v>731818.00000000105</v>
      </c>
      <c r="D409">
        <v>731818.00000000105</v>
      </c>
      <c r="G409">
        <v>407</v>
      </c>
      <c r="H409" t="s">
        <v>63</v>
      </c>
      <c r="I409">
        <v>731818.00000000105</v>
      </c>
      <c r="J409">
        <v>3762508</v>
      </c>
      <c r="K409">
        <v>1</v>
      </c>
      <c r="L409">
        <v>731818.00000000105</v>
      </c>
    </row>
    <row r="410" spans="1:12" x14ac:dyDescent="0.35">
      <c r="A410">
        <v>408</v>
      </c>
      <c r="B410" t="s">
        <v>69</v>
      </c>
      <c r="C410">
        <v>731818.00000000105</v>
      </c>
      <c r="D410">
        <v>1463636</v>
      </c>
      <c r="G410">
        <v>408</v>
      </c>
      <c r="H410" t="s">
        <v>69</v>
      </c>
      <c r="I410">
        <v>731818.00000000105</v>
      </c>
      <c r="J410">
        <v>3762509</v>
      </c>
      <c r="K410">
        <v>0</v>
      </c>
      <c r="L410">
        <v>1463636</v>
      </c>
    </row>
    <row r="411" spans="1:12" x14ac:dyDescent="0.35">
      <c r="A411">
        <v>409</v>
      </c>
      <c r="B411" t="s">
        <v>63</v>
      </c>
      <c r="C411">
        <v>731818.00000000105</v>
      </c>
      <c r="D411">
        <v>731818.00000000105</v>
      </c>
      <c r="G411">
        <v>409</v>
      </c>
      <c r="H411" t="s">
        <v>63</v>
      </c>
      <c r="I411">
        <v>731818.00000000105</v>
      </c>
      <c r="J411">
        <v>3762509</v>
      </c>
      <c r="K411">
        <v>3.0000000010477401</v>
      </c>
      <c r="L411">
        <v>731818.00000000105</v>
      </c>
    </row>
    <row r="412" spans="1:12" x14ac:dyDescent="0.35">
      <c r="A412">
        <v>410</v>
      </c>
      <c r="B412" t="s">
        <v>69</v>
      </c>
      <c r="C412">
        <v>731816</v>
      </c>
      <c r="D412">
        <v>1463634</v>
      </c>
      <c r="G412">
        <v>410</v>
      </c>
      <c r="H412" t="s">
        <v>69</v>
      </c>
      <c r="I412">
        <v>731816</v>
      </c>
      <c r="J412">
        <v>3762510</v>
      </c>
      <c r="K412">
        <v>1596</v>
      </c>
      <c r="L412">
        <v>1463634</v>
      </c>
    </row>
    <row r="413" spans="1:12" x14ac:dyDescent="0.35">
      <c r="A413">
        <v>411</v>
      </c>
      <c r="B413" t="s">
        <v>63</v>
      </c>
      <c r="C413">
        <v>730875</v>
      </c>
      <c r="D413">
        <v>730875</v>
      </c>
      <c r="G413">
        <v>411</v>
      </c>
      <c r="H413" t="s">
        <v>63</v>
      </c>
      <c r="I413">
        <v>730875</v>
      </c>
      <c r="J413">
        <v>3763165</v>
      </c>
      <c r="K413">
        <v>81</v>
      </c>
      <c r="L413">
        <v>730875</v>
      </c>
    </row>
    <row r="414" spans="1:12" x14ac:dyDescent="0.35">
      <c r="A414">
        <v>412</v>
      </c>
      <c r="B414" t="s">
        <v>69</v>
      </c>
      <c r="C414">
        <v>730906</v>
      </c>
      <c r="D414">
        <v>1461781</v>
      </c>
      <c r="G414">
        <v>412</v>
      </c>
      <c r="H414" t="s">
        <v>69</v>
      </c>
      <c r="I414">
        <v>730906</v>
      </c>
      <c r="J414">
        <v>3763115</v>
      </c>
      <c r="K414">
        <v>0</v>
      </c>
      <c r="L414">
        <v>1461781</v>
      </c>
    </row>
    <row r="415" spans="1:12" x14ac:dyDescent="0.35">
      <c r="A415">
        <v>413</v>
      </c>
      <c r="B415" t="s">
        <v>63</v>
      </c>
      <c r="C415">
        <v>730906</v>
      </c>
      <c r="D415">
        <v>730906</v>
      </c>
      <c r="G415">
        <v>413</v>
      </c>
      <c r="H415" t="s">
        <v>63</v>
      </c>
      <c r="I415">
        <v>730906</v>
      </c>
      <c r="J415">
        <v>3763115</v>
      </c>
      <c r="K415">
        <v>68</v>
      </c>
      <c r="L415">
        <v>730906</v>
      </c>
    </row>
    <row r="416" spans="1:12" x14ac:dyDescent="0.35">
      <c r="A416">
        <v>414</v>
      </c>
      <c r="B416" t="s">
        <v>69</v>
      </c>
      <c r="C416">
        <v>730929</v>
      </c>
      <c r="D416">
        <v>1461835</v>
      </c>
      <c r="G416">
        <v>414</v>
      </c>
      <c r="H416" t="s">
        <v>69</v>
      </c>
      <c r="I416">
        <v>730929</v>
      </c>
      <c r="J416">
        <v>3763070</v>
      </c>
      <c r="K416">
        <v>0</v>
      </c>
      <c r="L416">
        <v>1461835</v>
      </c>
    </row>
    <row r="417" spans="1:12" x14ac:dyDescent="0.35">
      <c r="A417">
        <v>415</v>
      </c>
      <c r="B417" t="s">
        <v>63</v>
      </c>
      <c r="C417">
        <v>730929</v>
      </c>
      <c r="D417">
        <v>730929</v>
      </c>
      <c r="G417">
        <v>415</v>
      </c>
      <c r="H417" t="s">
        <v>63</v>
      </c>
      <c r="I417">
        <v>730929</v>
      </c>
      <c r="J417">
        <v>3763070</v>
      </c>
      <c r="K417">
        <v>49.999999998952298</v>
      </c>
      <c r="L417">
        <v>730929</v>
      </c>
    </row>
    <row r="418" spans="1:12" x14ac:dyDescent="0.35">
      <c r="A418">
        <v>416</v>
      </c>
      <c r="B418" t="s">
        <v>69</v>
      </c>
      <c r="C418">
        <v>730944.99999999895</v>
      </c>
      <c r="D418">
        <v>1461874</v>
      </c>
      <c r="G418">
        <v>416</v>
      </c>
      <c r="H418" t="s">
        <v>69</v>
      </c>
      <c r="I418">
        <v>730944.99999999895</v>
      </c>
      <c r="J418">
        <v>3763036</v>
      </c>
      <c r="K418">
        <v>0</v>
      </c>
      <c r="L418">
        <v>1461874</v>
      </c>
    </row>
    <row r="419" spans="1:12" x14ac:dyDescent="0.35">
      <c r="A419">
        <v>417</v>
      </c>
      <c r="B419" t="s">
        <v>63</v>
      </c>
      <c r="C419">
        <v>730944.99999999895</v>
      </c>
      <c r="D419">
        <v>730944.99999999895</v>
      </c>
      <c r="G419">
        <v>417</v>
      </c>
      <c r="H419" t="s">
        <v>63</v>
      </c>
      <c r="I419">
        <v>730944.99999999895</v>
      </c>
      <c r="J419">
        <v>3763036</v>
      </c>
      <c r="K419">
        <v>36.000000002095497</v>
      </c>
      <c r="L419">
        <v>730944.99999999895</v>
      </c>
    </row>
    <row r="420" spans="1:12" x14ac:dyDescent="0.35">
      <c r="A420">
        <v>418</v>
      </c>
      <c r="B420" t="s">
        <v>69</v>
      </c>
      <c r="C420">
        <v>730959.00000000105</v>
      </c>
      <c r="D420">
        <v>1461904</v>
      </c>
      <c r="G420">
        <v>418</v>
      </c>
      <c r="H420" t="s">
        <v>69</v>
      </c>
      <c r="I420">
        <v>730959.00000000105</v>
      </c>
      <c r="J420">
        <v>3763014</v>
      </c>
      <c r="K420">
        <v>235.00000000104799</v>
      </c>
      <c r="L420">
        <v>1461904</v>
      </c>
    </row>
    <row r="421" spans="1:12" x14ac:dyDescent="0.35">
      <c r="A421">
        <v>419</v>
      </c>
      <c r="B421" t="s">
        <v>63</v>
      </c>
      <c r="C421">
        <v>730875</v>
      </c>
      <c r="D421">
        <v>730875</v>
      </c>
      <c r="G421">
        <v>419</v>
      </c>
      <c r="H421" t="s">
        <v>63</v>
      </c>
      <c r="I421">
        <v>730875</v>
      </c>
      <c r="J421">
        <v>3763165</v>
      </c>
      <c r="K421">
        <v>43.999999998952298</v>
      </c>
      <c r="L421">
        <v>730875</v>
      </c>
    </row>
    <row r="422" spans="1:12" x14ac:dyDescent="0.35">
      <c r="A422">
        <v>420</v>
      </c>
      <c r="B422" t="s">
        <v>69</v>
      </c>
      <c r="C422">
        <v>730864.00000000105</v>
      </c>
      <c r="D422">
        <v>1461739</v>
      </c>
      <c r="G422">
        <v>420</v>
      </c>
      <c r="H422" t="s">
        <v>69</v>
      </c>
      <c r="I422">
        <v>730864.00000000105</v>
      </c>
      <c r="J422">
        <v>3763198</v>
      </c>
      <c r="K422">
        <v>0</v>
      </c>
      <c r="L422">
        <v>1461739</v>
      </c>
    </row>
    <row r="423" spans="1:12" x14ac:dyDescent="0.35">
      <c r="A423">
        <v>421</v>
      </c>
      <c r="B423" t="s">
        <v>63</v>
      </c>
      <c r="C423">
        <v>730864.00000000105</v>
      </c>
      <c r="D423">
        <v>730864.00000000105</v>
      </c>
      <c r="G423">
        <v>421</v>
      </c>
      <c r="H423" t="s">
        <v>63</v>
      </c>
      <c r="I423">
        <v>730864.00000000105</v>
      </c>
      <c r="J423">
        <v>3763198</v>
      </c>
      <c r="K423">
        <v>71.000000001047695</v>
      </c>
      <c r="L423">
        <v>730864.00000000105</v>
      </c>
    </row>
    <row r="424" spans="1:12" x14ac:dyDescent="0.35">
      <c r="A424">
        <v>422</v>
      </c>
      <c r="B424" t="s">
        <v>69</v>
      </c>
      <c r="C424">
        <v>730839</v>
      </c>
      <c r="D424">
        <v>1461703</v>
      </c>
      <c r="G424">
        <v>422</v>
      </c>
      <c r="H424" t="s">
        <v>69</v>
      </c>
      <c r="I424">
        <v>730839</v>
      </c>
      <c r="J424">
        <v>3763244</v>
      </c>
      <c r="K424">
        <v>0</v>
      </c>
      <c r="L424">
        <v>1461703</v>
      </c>
    </row>
    <row r="425" spans="1:12" x14ac:dyDescent="0.35">
      <c r="A425">
        <v>423</v>
      </c>
      <c r="B425" t="s">
        <v>63</v>
      </c>
      <c r="C425">
        <v>730839</v>
      </c>
      <c r="D425">
        <v>730839</v>
      </c>
      <c r="G425">
        <v>423</v>
      </c>
      <c r="H425" t="s">
        <v>63</v>
      </c>
      <c r="I425">
        <v>730839</v>
      </c>
      <c r="J425">
        <v>3763244</v>
      </c>
      <c r="K425">
        <v>68</v>
      </c>
      <c r="L425">
        <v>730839</v>
      </c>
    </row>
    <row r="426" spans="1:12" x14ac:dyDescent="0.35">
      <c r="A426">
        <v>424</v>
      </c>
      <c r="B426" t="s">
        <v>69</v>
      </c>
      <c r="C426">
        <v>730817</v>
      </c>
      <c r="D426">
        <v>1461656</v>
      </c>
      <c r="G426">
        <v>424</v>
      </c>
      <c r="H426" t="s">
        <v>69</v>
      </c>
      <c r="I426">
        <v>730817</v>
      </c>
      <c r="J426">
        <v>3763290</v>
      </c>
      <c r="K426">
        <v>69.999999998952305</v>
      </c>
      <c r="L426">
        <v>1461656</v>
      </c>
    </row>
    <row r="427" spans="1:12" x14ac:dyDescent="0.35">
      <c r="A427">
        <v>425</v>
      </c>
      <c r="B427" t="s">
        <v>63</v>
      </c>
      <c r="C427">
        <v>730790.00000000105</v>
      </c>
      <c r="D427">
        <v>730790.00000000105</v>
      </c>
      <c r="G427">
        <v>425</v>
      </c>
      <c r="H427" t="s">
        <v>63</v>
      </c>
      <c r="I427">
        <v>730790.00000000105</v>
      </c>
      <c r="J427">
        <v>3763333</v>
      </c>
      <c r="K427">
        <v>51.000000001047702</v>
      </c>
      <c r="L427">
        <v>730790.00000000105</v>
      </c>
    </row>
    <row r="428" spans="1:12" x14ac:dyDescent="0.35">
      <c r="A428">
        <v>426</v>
      </c>
      <c r="B428" t="s">
        <v>69</v>
      </c>
      <c r="C428">
        <v>730748</v>
      </c>
      <c r="D428">
        <v>1461538</v>
      </c>
      <c r="G428">
        <v>426</v>
      </c>
      <c r="H428" t="s">
        <v>69</v>
      </c>
      <c r="I428">
        <v>730748</v>
      </c>
      <c r="J428">
        <v>3763324</v>
      </c>
      <c r="K428">
        <v>365</v>
      </c>
      <c r="L428">
        <v>1461538</v>
      </c>
    </row>
    <row r="429" spans="1:12" x14ac:dyDescent="0.35">
      <c r="A429">
        <v>427</v>
      </c>
      <c r="B429" t="s">
        <v>63</v>
      </c>
      <c r="C429">
        <v>730901</v>
      </c>
      <c r="D429">
        <v>730901</v>
      </c>
      <c r="G429">
        <v>427</v>
      </c>
      <c r="H429" t="s">
        <v>63</v>
      </c>
      <c r="I429">
        <v>730901</v>
      </c>
      <c r="J429">
        <v>3763112</v>
      </c>
      <c r="K429">
        <v>20.9999999980209</v>
      </c>
      <c r="L429">
        <v>730901</v>
      </c>
    </row>
    <row r="430" spans="1:12" x14ac:dyDescent="0.35">
      <c r="A430">
        <v>428</v>
      </c>
      <c r="B430" t="s">
        <v>69</v>
      </c>
      <c r="C430">
        <v>730889.00000000198</v>
      </c>
      <c r="D430">
        <v>1461790</v>
      </c>
      <c r="G430">
        <v>428</v>
      </c>
      <c r="H430" t="s">
        <v>69</v>
      </c>
      <c r="I430">
        <v>730889.00000000198</v>
      </c>
      <c r="J430">
        <v>3763103</v>
      </c>
      <c r="K430">
        <v>0</v>
      </c>
      <c r="L430">
        <v>1461790</v>
      </c>
    </row>
    <row r="431" spans="1:12" x14ac:dyDescent="0.35">
      <c r="A431">
        <v>429</v>
      </c>
      <c r="B431" t="s">
        <v>63</v>
      </c>
      <c r="C431">
        <v>730889.00000000198</v>
      </c>
      <c r="D431">
        <v>730889.00000000198</v>
      </c>
      <c r="G431">
        <v>429</v>
      </c>
      <c r="H431" t="s">
        <v>63</v>
      </c>
      <c r="I431">
        <v>730889.00000000198</v>
      </c>
      <c r="J431">
        <v>3763103</v>
      </c>
      <c r="K431">
        <v>55.000000000931301</v>
      </c>
      <c r="L431">
        <v>730889.00000000198</v>
      </c>
    </row>
    <row r="432" spans="1:12" x14ac:dyDescent="0.35">
      <c r="A432">
        <v>430</v>
      </c>
      <c r="B432" t="s">
        <v>69</v>
      </c>
      <c r="C432">
        <v>730859.00000000105</v>
      </c>
      <c r="D432">
        <v>1461748</v>
      </c>
      <c r="G432">
        <v>430</v>
      </c>
      <c r="H432" t="s">
        <v>69</v>
      </c>
      <c r="I432">
        <v>730859.00000000105</v>
      </c>
      <c r="J432">
        <v>3763128</v>
      </c>
      <c r="K432">
        <v>62</v>
      </c>
      <c r="L432">
        <v>1461748</v>
      </c>
    </row>
    <row r="433" spans="1:12" x14ac:dyDescent="0.35">
      <c r="A433">
        <v>431</v>
      </c>
      <c r="B433" t="s">
        <v>63</v>
      </c>
      <c r="C433">
        <v>730826.00000000105</v>
      </c>
      <c r="D433">
        <v>730826.00000000105</v>
      </c>
      <c r="G433">
        <v>431</v>
      </c>
      <c r="H433" t="s">
        <v>63</v>
      </c>
      <c r="I433">
        <v>730826.00000000105</v>
      </c>
      <c r="J433">
        <v>3763157</v>
      </c>
      <c r="K433">
        <v>55</v>
      </c>
      <c r="L433">
        <v>730826.00000000105</v>
      </c>
    </row>
    <row r="434" spans="1:12" x14ac:dyDescent="0.35">
      <c r="A434">
        <v>432</v>
      </c>
      <c r="B434" t="s">
        <v>69</v>
      </c>
      <c r="C434">
        <v>730798.00000000105</v>
      </c>
      <c r="D434">
        <v>1461624</v>
      </c>
      <c r="G434">
        <v>432</v>
      </c>
      <c r="H434" t="s">
        <v>69</v>
      </c>
      <c r="I434">
        <v>730798.00000000105</v>
      </c>
      <c r="J434">
        <v>3763184</v>
      </c>
      <c r="K434">
        <v>55</v>
      </c>
      <c r="L434">
        <v>1461624</v>
      </c>
    </row>
    <row r="435" spans="1:12" x14ac:dyDescent="0.35">
      <c r="A435">
        <v>433</v>
      </c>
      <c r="B435" t="s">
        <v>63</v>
      </c>
      <c r="C435">
        <v>730826.00000000105</v>
      </c>
      <c r="D435">
        <v>730826.00000000105</v>
      </c>
      <c r="G435">
        <v>433</v>
      </c>
      <c r="H435" t="s">
        <v>63</v>
      </c>
      <c r="I435">
        <v>730826.00000000105</v>
      </c>
      <c r="J435">
        <v>3763157</v>
      </c>
      <c r="K435">
        <v>69.000000002095504</v>
      </c>
      <c r="L435">
        <v>730826.00000000105</v>
      </c>
    </row>
    <row r="436" spans="1:12" x14ac:dyDescent="0.35">
      <c r="A436">
        <v>434</v>
      </c>
      <c r="B436" t="s">
        <v>69</v>
      </c>
      <c r="C436">
        <v>730788.99999999895</v>
      </c>
      <c r="D436">
        <v>1461615</v>
      </c>
      <c r="G436">
        <v>434</v>
      </c>
      <c r="H436" t="s">
        <v>69</v>
      </c>
      <c r="I436">
        <v>730788.99999999895</v>
      </c>
      <c r="J436">
        <v>3763125</v>
      </c>
      <c r="K436">
        <v>182.000000003027</v>
      </c>
      <c r="L436">
        <v>1461615</v>
      </c>
    </row>
    <row r="437" spans="1:12" x14ac:dyDescent="0.35">
      <c r="A437">
        <v>435</v>
      </c>
      <c r="B437" t="s">
        <v>63</v>
      </c>
      <c r="C437">
        <v>730853.00000000198</v>
      </c>
      <c r="D437">
        <v>730853.00000000198</v>
      </c>
      <c r="G437">
        <v>435</v>
      </c>
      <c r="H437" t="s">
        <v>63</v>
      </c>
      <c r="I437">
        <v>730853.00000000198</v>
      </c>
      <c r="J437">
        <v>3763007</v>
      </c>
      <c r="K437">
        <v>10.9999999969732</v>
      </c>
      <c r="L437">
        <v>730853.00000000198</v>
      </c>
    </row>
    <row r="438" spans="1:12" x14ac:dyDescent="0.35">
      <c r="A438">
        <v>436</v>
      </c>
      <c r="B438" t="s">
        <v>69</v>
      </c>
      <c r="C438">
        <v>730857.99999999895</v>
      </c>
      <c r="D438">
        <v>1461711</v>
      </c>
      <c r="G438">
        <v>436</v>
      </c>
      <c r="H438" t="s">
        <v>69</v>
      </c>
      <c r="I438">
        <v>730857.99999999895</v>
      </c>
      <c r="J438">
        <v>3763013</v>
      </c>
      <c r="K438">
        <v>10.9999999969732</v>
      </c>
      <c r="L438">
        <v>1461711</v>
      </c>
    </row>
    <row r="439" spans="1:12" x14ac:dyDescent="0.35">
      <c r="A439">
        <v>437</v>
      </c>
      <c r="B439" t="s">
        <v>63</v>
      </c>
      <c r="C439">
        <v>730853.00000000198</v>
      </c>
      <c r="D439">
        <v>730853.00000000198</v>
      </c>
      <c r="G439">
        <v>437</v>
      </c>
      <c r="H439" t="s">
        <v>63</v>
      </c>
      <c r="I439">
        <v>730853.00000000198</v>
      </c>
      <c r="J439">
        <v>3763007</v>
      </c>
      <c r="K439">
        <v>46.000000001979103</v>
      </c>
      <c r="L439">
        <v>730853.00000000198</v>
      </c>
    </row>
    <row r="440" spans="1:12" x14ac:dyDescent="0.35">
      <c r="A440">
        <v>438</v>
      </c>
      <c r="B440" t="s">
        <v>69</v>
      </c>
      <c r="C440">
        <v>730840</v>
      </c>
      <c r="D440">
        <v>1461693</v>
      </c>
      <c r="G440">
        <v>438</v>
      </c>
      <c r="H440" t="s">
        <v>69</v>
      </c>
      <c r="I440">
        <v>730840</v>
      </c>
      <c r="J440">
        <v>3762974</v>
      </c>
      <c r="K440">
        <v>0</v>
      </c>
      <c r="L440">
        <v>1461693</v>
      </c>
    </row>
    <row r="441" spans="1:12" x14ac:dyDescent="0.35">
      <c r="A441">
        <v>439</v>
      </c>
      <c r="B441" t="s">
        <v>63</v>
      </c>
      <c r="C441">
        <v>730840</v>
      </c>
      <c r="D441">
        <v>730840</v>
      </c>
      <c r="G441">
        <v>439</v>
      </c>
      <c r="H441" t="s">
        <v>63</v>
      </c>
      <c r="I441">
        <v>730840</v>
      </c>
      <c r="J441">
        <v>3762974</v>
      </c>
      <c r="K441">
        <v>49.999999998952298</v>
      </c>
      <c r="L441">
        <v>730840</v>
      </c>
    </row>
    <row r="442" spans="1:12" x14ac:dyDescent="0.35">
      <c r="A442">
        <v>440</v>
      </c>
      <c r="B442" t="s">
        <v>69</v>
      </c>
      <c r="C442">
        <v>730833.00000000105</v>
      </c>
      <c r="D442">
        <v>1461673</v>
      </c>
      <c r="G442">
        <v>440</v>
      </c>
      <c r="H442" t="s">
        <v>69</v>
      </c>
      <c r="I442">
        <v>730833.00000000105</v>
      </c>
      <c r="J442">
        <v>3762931</v>
      </c>
      <c r="K442">
        <v>0</v>
      </c>
      <c r="L442">
        <v>1461673</v>
      </c>
    </row>
    <row r="443" spans="1:12" x14ac:dyDescent="0.35">
      <c r="A443">
        <v>441</v>
      </c>
      <c r="B443" t="s">
        <v>63</v>
      </c>
      <c r="C443">
        <v>730833.00000000105</v>
      </c>
      <c r="D443">
        <v>730833.00000000105</v>
      </c>
      <c r="G443">
        <v>441</v>
      </c>
      <c r="H443" t="s">
        <v>63</v>
      </c>
      <c r="I443">
        <v>730833.00000000105</v>
      </c>
      <c r="J443">
        <v>3762931</v>
      </c>
      <c r="K443">
        <v>53.000000001047702</v>
      </c>
      <c r="L443">
        <v>730833.00000000105</v>
      </c>
    </row>
    <row r="444" spans="1:12" x14ac:dyDescent="0.35">
      <c r="A444">
        <v>442</v>
      </c>
      <c r="B444" t="s">
        <v>69</v>
      </c>
      <c r="C444">
        <v>730829</v>
      </c>
      <c r="D444">
        <v>1461662</v>
      </c>
      <c r="G444">
        <v>442</v>
      </c>
      <c r="H444" t="s">
        <v>69</v>
      </c>
      <c r="I444">
        <v>730829</v>
      </c>
      <c r="J444">
        <v>3762882</v>
      </c>
      <c r="K444">
        <v>144.99999999895201</v>
      </c>
      <c r="L444">
        <v>1461662</v>
      </c>
    </row>
    <row r="445" spans="1:12" x14ac:dyDescent="0.35">
      <c r="A445">
        <v>443</v>
      </c>
      <c r="B445" t="s">
        <v>63</v>
      </c>
      <c r="C445">
        <v>730782.00000000105</v>
      </c>
      <c r="D445">
        <v>730782.00000000105</v>
      </c>
      <c r="G445">
        <v>443</v>
      </c>
      <c r="H445" t="s">
        <v>63</v>
      </c>
      <c r="I445">
        <v>730782.00000000105</v>
      </c>
      <c r="J445">
        <v>3762784</v>
      </c>
      <c r="K445">
        <v>35</v>
      </c>
      <c r="L445">
        <v>730782.00000000105</v>
      </c>
    </row>
    <row r="446" spans="1:12" x14ac:dyDescent="0.35">
      <c r="A446">
        <v>444</v>
      </c>
      <c r="B446" t="s">
        <v>69</v>
      </c>
      <c r="C446">
        <v>730813.00000000105</v>
      </c>
      <c r="D446">
        <v>1461595</v>
      </c>
      <c r="G446">
        <v>444</v>
      </c>
      <c r="H446" t="s">
        <v>69</v>
      </c>
      <c r="I446">
        <v>730813.00000000105</v>
      </c>
      <c r="J446">
        <v>3762788</v>
      </c>
      <c r="K446">
        <v>0</v>
      </c>
      <c r="L446">
        <v>1461595</v>
      </c>
    </row>
    <row r="447" spans="1:12" x14ac:dyDescent="0.35">
      <c r="A447">
        <v>445</v>
      </c>
      <c r="B447" t="s">
        <v>63</v>
      </c>
      <c r="C447">
        <v>730813.00000000105</v>
      </c>
      <c r="D447">
        <v>730813.00000000105</v>
      </c>
      <c r="G447">
        <v>445</v>
      </c>
      <c r="H447" t="s">
        <v>63</v>
      </c>
      <c r="I447">
        <v>730813.00000000105</v>
      </c>
      <c r="J447">
        <v>3762788</v>
      </c>
      <c r="K447">
        <v>38.000000001047702</v>
      </c>
      <c r="L447">
        <v>730813.00000000105</v>
      </c>
    </row>
    <row r="448" spans="1:12" x14ac:dyDescent="0.35">
      <c r="A448">
        <v>446</v>
      </c>
      <c r="B448" t="s">
        <v>69</v>
      </c>
      <c r="C448">
        <v>730809</v>
      </c>
      <c r="D448">
        <v>1461622</v>
      </c>
      <c r="G448">
        <v>446</v>
      </c>
      <c r="H448" t="s">
        <v>69</v>
      </c>
      <c r="I448">
        <v>730809</v>
      </c>
      <c r="J448">
        <v>3762754</v>
      </c>
      <c r="K448">
        <v>56.999999998952298</v>
      </c>
      <c r="L448">
        <v>1461622</v>
      </c>
    </row>
    <row r="449" spans="1:12" x14ac:dyDescent="0.35">
      <c r="A449">
        <v>447</v>
      </c>
      <c r="B449" t="s">
        <v>63</v>
      </c>
      <c r="C449">
        <v>730782.00000000105</v>
      </c>
      <c r="D449">
        <v>730782.00000000105</v>
      </c>
      <c r="G449">
        <v>447</v>
      </c>
      <c r="H449" t="s">
        <v>63</v>
      </c>
      <c r="I449">
        <v>730782.00000000105</v>
      </c>
      <c r="J449">
        <v>3762784</v>
      </c>
      <c r="K449">
        <v>74</v>
      </c>
      <c r="L449">
        <v>730782.00000000105</v>
      </c>
    </row>
    <row r="450" spans="1:12" x14ac:dyDescent="0.35">
      <c r="A450">
        <v>448</v>
      </c>
      <c r="B450" t="s">
        <v>69</v>
      </c>
      <c r="C450">
        <v>730734.00000000105</v>
      </c>
      <c r="D450">
        <v>1461516</v>
      </c>
      <c r="G450">
        <v>448</v>
      </c>
      <c r="H450" t="s">
        <v>69</v>
      </c>
      <c r="I450">
        <v>730734.00000000105</v>
      </c>
      <c r="J450">
        <v>3762758</v>
      </c>
      <c r="K450">
        <v>200.99999999906899</v>
      </c>
      <c r="L450">
        <v>1461516</v>
      </c>
    </row>
    <row r="451" spans="1:12" x14ac:dyDescent="0.35">
      <c r="A451">
        <v>449</v>
      </c>
      <c r="B451" t="s">
        <v>63</v>
      </c>
      <c r="C451">
        <v>730623.00000000198</v>
      </c>
      <c r="D451">
        <v>730623.00000000198</v>
      </c>
      <c r="G451">
        <v>449</v>
      </c>
      <c r="H451" t="s">
        <v>63</v>
      </c>
      <c r="I451">
        <v>730623.00000000198</v>
      </c>
      <c r="J451">
        <v>3762668</v>
      </c>
      <c r="K451">
        <v>103.999999999069</v>
      </c>
      <c r="L451">
        <v>730623.00000000198</v>
      </c>
    </row>
    <row r="452" spans="1:12" x14ac:dyDescent="0.35">
      <c r="A452">
        <v>450</v>
      </c>
      <c r="B452" t="s">
        <v>69</v>
      </c>
      <c r="C452">
        <v>730659.00000000105</v>
      </c>
      <c r="D452">
        <v>1461282</v>
      </c>
      <c r="G452">
        <v>450</v>
      </c>
      <c r="H452" t="s">
        <v>69</v>
      </c>
      <c r="I452">
        <v>730659.00000000105</v>
      </c>
      <c r="J452">
        <v>3762736</v>
      </c>
      <c r="K452">
        <v>103.999999999069</v>
      </c>
      <c r="L452">
        <v>1461282</v>
      </c>
    </row>
    <row r="453" spans="1:12" x14ac:dyDescent="0.35">
      <c r="A453">
        <v>451</v>
      </c>
      <c r="B453" t="s">
        <v>63</v>
      </c>
      <c r="C453">
        <v>730623.00000000198</v>
      </c>
      <c r="D453">
        <v>730623.00000000198</v>
      </c>
      <c r="G453">
        <v>451</v>
      </c>
      <c r="H453" t="s">
        <v>63</v>
      </c>
      <c r="I453">
        <v>730623.00000000198</v>
      </c>
      <c r="J453">
        <v>3762668</v>
      </c>
      <c r="K453">
        <v>108.000000001979</v>
      </c>
      <c r="L453">
        <v>730623.00000000198</v>
      </c>
    </row>
    <row r="454" spans="1:12" x14ac:dyDescent="0.35">
      <c r="A454">
        <v>452</v>
      </c>
      <c r="B454" t="s">
        <v>69</v>
      </c>
      <c r="C454">
        <v>730591</v>
      </c>
      <c r="D454">
        <v>1461214</v>
      </c>
      <c r="G454">
        <v>452</v>
      </c>
      <c r="H454" t="s">
        <v>69</v>
      </c>
      <c r="I454">
        <v>730591</v>
      </c>
      <c r="J454">
        <v>3762592</v>
      </c>
      <c r="K454">
        <v>393.00000000104802</v>
      </c>
      <c r="L454">
        <v>1461214</v>
      </c>
    </row>
    <row r="455" spans="1:12" x14ac:dyDescent="0.35">
      <c r="A455">
        <v>453</v>
      </c>
      <c r="B455" t="s">
        <v>63</v>
      </c>
      <c r="C455">
        <v>730762.00000000105</v>
      </c>
      <c r="D455">
        <v>730762.00000000105</v>
      </c>
      <c r="G455">
        <v>453</v>
      </c>
      <c r="H455" t="s">
        <v>63</v>
      </c>
      <c r="I455">
        <v>730762.00000000105</v>
      </c>
      <c r="J455">
        <v>3762370</v>
      </c>
      <c r="K455">
        <v>67.999999998952305</v>
      </c>
      <c r="L455">
        <v>730762.00000000105</v>
      </c>
    </row>
    <row r="456" spans="1:12" x14ac:dyDescent="0.35">
      <c r="A456">
        <v>454</v>
      </c>
      <c r="B456" t="s">
        <v>69</v>
      </c>
      <c r="C456">
        <v>730783</v>
      </c>
      <c r="D456">
        <v>1461545</v>
      </c>
      <c r="G456">
        <v>454</v>
      </c>
      <c r="H456" t="s">
        <v>69</v>
      </c>
      <c r="I456">
        <v>730783</v>
      </c>
      <c r="J456">
        <v>3762417</v>
      </c>
      <c r="K456">
        <v>67.999999998952305</v>
      </c>
      <c r="L456">
        <v>1461545</v>
      </c>
    </row>
    <row r="457" spans="1:12" x14ac:dyDescent="0.35">
      <c r="A457">
        <v>455</v>
      </c>
      <c r="B457" t="s">
        <v>63</v>
      </c>
      <c r="C457">
        <v>730762.00000000105</v>
      </c>
      <c r="D457">
        <v>730762.00000000105</v>
      </c>
      <c r="G457">
        <v>455</v>
      </c>
      <c r="H457" t="s">
        <v>63</v>
      </c>
      <c r="I457">
        <v>730762.00000000105</v>
      </c>
      <c r="J457">
        <v>3762370</v>
      </c>
      <c r="K457">
        <v>44</v>
      </c>
      <c r="L457">
        <v>730762.00000000105</v>
      </c>
    </row>
    <row r="458" spans="1:12" x14ac:dyDescent="0.35">
      <c r="A458">
        <v>456</v>
      </c>
      <c r="B458" t="s">
        <v>69</v>
      </c>
      <c r="C458">
        <v>730751.00000000105</v>
      </c>
      <c r="D458">
        <v>1461513</v>
      </c>
      <c r="G458">
        <v>456</v>
      </c>
      <c r="H458" t="s">
        <v>69</v>
      </c>
      <c r="I458">
        <v>730751.00000000105</v>
      </c>
      <c r="J458">
        <v>3762337</v>
      </c>
      <c r="K458">
        <v>0</v>
      </c>
      <c r="L458">
        <v>1461513</v>
      </c>
    </row>
    <row r="459" spans="1:12" x14ac:dyDescent="0.35">
      <c r="A459">
        <v>457</v>
      </c>
      <c r="B459" t="s">
        <v>63</v>
      </c>
      <c r="C459">
        <v>730751.00000000105</v>
      </c>
      <c r="D459">
        <v>730751.00000000105</v>
      </c>
      <c r="G459">
        <v>457</v>
      </c>
      <c r="H459" t="s">
        <v>63</v>
      </c>
      <c r="I459">
        <v>730751.00000000105</v>
      </c>
      <c r="J459">
        <v>3762337</v>
      </c>
      <c r="K459">
        <v>98.000000001047695</v>
      </c>
      <c r="L459">
        <v>730751.00000000105</v>
      </c>
    </row>
    <row r="460" spans="1:12" x14ac:dyDescent="0.35">
      <c r="A460">
        <v>458</v>
      </c>
      <c r="B460" t="s">
        <v>69</v>
      </c>
      <c r="C460">
        <v>730707</v>
      </c>
      <c r="D460">
        <v>1461458</v>
      </c>
      <c r="G460">
        <v>458</v>
      </c>
      <c r="H460" t="s">
        <v>69</v>
      </c>
      <c r="I460">
        <v>730707</v>
      </c>
      <c r="J460">
        <v>3762283</v>
      </c>
      <c r="K460">
        <v>211.99999999895201</v>
      </c>
      <c r="L460">
        <v>1461458</v>
      </c>
    </row>
    <row r="461" spans="1:12" x14ac:dyDescent="0.35">
      <c r="A461">
        <v>459</v>
      </c>
      <c r="B461" t="s">
        <v>63</v>
      </c>
      <c r="C461">
        <v>730667.00000000105</v>
      </c>
      <c r="D461">
        <v>730667.00000000105</v>
      </c>
      <c r="G461">
        <v>459</v>
      </c>
      <c r="H461" t="s">
        <v>63</v>
      </c>
      <c r="I461">
        <v>730667.00000000105</v>
      </c>
      <c r="J461">
        <v>3762111</v>
      </c>
      <c r="K461">
        <v>0</v>
      </c>
      <c r="L461">
        <v>730667.00000000105</v>
      </c>
    </row>
    <row r="462" spans="1:12" x14ac:dyDescent="0.35">
      <c r="A462">
        <v>460</v>
      </c>
      <c r="B462" t="s">
        <v>69</v>
      </c>
      <c r="C462">
        <v>730667.00000000105</v>
      </c>
      <c r="D462">
        <v>1461334</v>
      </c>
      <c r="G462">
        <v>460</v>
      </c>
      <c r="H462" t="s">
        <v>69</v>
      </c>
      <c r="I462">
        <v>730667.00000000105</v>
      </c>
      <c r="J462">
        <v>3762111</v>
      </c>
      <c r="K462">
        <v>0</v>
      </c>
      <c r="L462">
        <v>1461334</v>
      </c>
    </row>
    <row r="463" spans="1:12" x14ac:dyDescent="0.35">
      <c r="A463">
        <v>461</v>
      </c>
      <c r="B463" t="s">
        <v>63</v>
      </c>
      <c r="C463">
        <v>730667.00000000105</v>
      </c>
      <c r="D463">
        <v>730667.00000000105</v>
      </c>
      <c r="G463">
        <v>461</v>
      </c>
      <c r="H463" t="s">
        <v>63</v>
      </c>
      <c r="I463">
        <v>730667.00000000105</v>
      </c>
      <c r="J463">
        <v>3762111</v>
      </c>
      <c r="K463">
        <v>26</v>
      </c>
      <c r="L463">
        <v>730667.00000000105</v>
      </c>
    </row>
    <row r="464" spans="1:12" x14ac:dyDescent="0.35">
      <c r="A464">
        <v>462</v>
      </c>
      <c r="B464" t="s">
        <v>69</v>
      </c>
      <c r="C464">
        <v>730662.00000000105</v>
      </c>
      <c r="D464">
        <v>1461329</v>
      </c>
      <c r="G464">
        <v>462</v>
      </c>
      <c r="H464" t="s">
        <v>69</v>
      </c>
      <c r="I464">
        <v>730662.00000000105</v>
      </c>
      <c r="J464">
        <v>3762090</v>
      </c>
      <c r="K464">
        <v>310</v>
      </c>
      <c r="L464">
        <v>1461329</v>
      </c>
    </row>
    <row r="465" spans="1:12" x14ac:dyDescent="0.35">
      <c r="A465">
        <v>463</v>
      </c>
      <c r="B465" t="s">
        <v>63</v>
      </c>
      <c r="C465">
        <v>730800.00000000105</v>
      </c>
      <c r="D465">
        <v>730800.00000000105</v>
      </c>
      <c r="G465">
        <v>463</v>
      </c>
      <c r="H465" t="s">
        <v>63</v>
      </c>
      <c r="I465">
        <v>730800.00000000105</v>
      </c>
      <c r="J465">
        <v>3761918</v>
      </c>
      <c r="K465">
        <v>12.999999997904499</v>
      </c>
      <c r="L465">
        <v>730800.00000000105</v>
      </c>
    </row>
    <row r="466" spans="1:12" x14ac:dyDescent="0.35">
      <c r="A466">
        <v>464</v>
      </c>
      <c r="B466" t="s">
        <v>69</v>
      </c>
      <c r="C466">
        <v>730811.99999999895</v>
      </c>
      <c r="D466">
        <v>1461612</v>
      </c>
      <c r="G466">
        <v>464</v>
      </c>
      <c r="H466" t="s">
        <v>69</v>
      </c>
      <c r="I466">
        <v>730811.99999999895</v>
      </c>
      <c r="J466">
        <v>3761917</v>
      </c>
      <c r="K466">
        <v>12.999999997904499</v>
      </c>
      <c r="L466">
        <v>1461612</v>
      </c>
    </row>
    <row r="467" spans="1:12" x14ac:dyDescent="0.35">
      <c r="A467">
        <v>465</v>
      </c>
      <c r="B467" t="s">
        <v>63</v>
      </c>
      <c r="C467">
        <v>730800.00000000105</v>
      </c>
      <c r="D467">
        <v>730800.00000000105</v>
      </c>
      <c r="G467">
        <v>465</v>
      </c>
      <c r="H467" t="s">
        <v>63</v>
      </c>
      <c r="I467">
        <v>730800.00000000105</v>
      </c>
      <c r="J467">
        <v>3761918</v>
      </c>
      <c r="K467">
        <v>61.000000000931301</v>
      </c>
      <c r="L467">
        <v>730800.00000000105</v>
      </c>
    </row>
    <row r="468" spans="1:12" x14ac:dyDescent="0.35">
      <c r="A468">
        <v>466</v>
      </c>
      <c r="B468" t="s">
        <v>69</v>
      </c>
      <c r="C468">
        <v>730802.00000000198</v>
      </c>
      <c r="D468">
        <v>1461602</v>
      </c>
      <c r="G468">
        <v>466</v>
      </c>
      <c r="H468" t="s">
        <v>69</v>
      </c>
      <c r="I468">
        <v>730802.00000000198</v>
      </c>
      <c r="J468">
        <v>3761859</v>
      </c>
      <c r="K468">
        <v>664</v>
      </c>
      <c r="L468">
        <v>1461602</v>
      </c>
    </row>
    <row r="469" spans="1:12" x14ac:dyDescent="0.35">
      <c r="A469">
        <v>467</v>
      </c>
      <c r="B469" t="s">
        <v>63</v>
      </c>
      <c r="C469">
        <v>731114.00000000198</v>
      </c>
      <c r="D469">
        <v>731114.00000000198</v>
      </c>
      <c r="G469">
        <v>467</v>
      </c>
      <c r="H469" t="s">
        <v>63</v>
      </c>
      <c r="I469">
        <v>731114.00000000198</v>
      </c>
      <c r="J469">
        <v>3761507</v>
      </c>
      <c r="K469">
        <v>26.999999999068699</v>
      </c>
      <c r="L469">
        <v>731114.00000000198</v>
      </c>
    </row>
    <row r="470" spans="1:12" x14ac:dyDescent="0.35">
      <c r="A470">
        <v>468</v>
      </c>
      <c r="B470" t="s">
        <v>69</v>
      </c>
      <c r="C470">
        <v>731133.00000000105</v>
      </c>
      <c r="D470">
        <v>1462247</v>
      </c>
      <c r="G470">
        <v>468</v>
      </c>
      <c r="H470" t="s">
        <v>69</v>
      </c>
      <c r="I470">
        <v>731133.00000000105</v>
      </c>
      <c r="J470">
        <v>3761515</v>
      </c>
      <c r="K470">
        <v>26.999999999068699</v>
      </c>
      <c r="L470">
        <v>1462247</v>
      </c>
    </row>
    <row r="471" spans="1:12" x14ac:dyDescent="0.35">
      <c r="A471">
        <v>469</v>
      </c>
      <c r="B471" t="s">
        <v>63</v>
      </c>
      <c r="C471">
        <v>731114.00000000198</v>
      </c>
      <c r="D471">
        <v>731114.00000000198</v>
      </c>
      <c r="G471">
        <v>469</v>
      </c>
      <c r="H471" t="s">
        <v>63</v>
      </c>
      <c r="I471">
        <v>731114.00000000198</v>
      </c>
      <c r="J471">
        <v>3761507</v>
      </c>
      <c r="K471">
        <v>33</v>
      </c>
      <c r="L471">
        <v>731114.00000000198</v>
      </c>
    </row>
    <row r="472" spans="1:12" x14ac:dyDescent="0.35">
      <c r="A472">
        <v>470</v>
      </c>
      <c r="B472" t="s">
        <v>69</v>
      </c>
      <c r="C472">
        <v>731096.00000000198</v>
      </c>
      <c r="D472">
        <v>1462210</v>
      </c>
      <c r="G472">
        <v>470</v>
      </c>
      <c r="H472" t="s">
        <v>69</v>
      </c>
      <c r="I472">
        <v>731096.00000000198</v>
      </c>
      <c r="J472">
        <v>3761522</v>
      </c>
      <c r="K472">
        <v>0</v>
      </c>
      <c r="L472">
        <v>1462210</v>
      </c>
    </row>
    <row r="473" spans="1:12" x14ac:dyDescent="0.35">
      <c r="A473">
        <v>471</v>
      </c>
      <c r="B473" t="s">
        <v>63</v>
      </c>
      <c r="C473">
        <v>731096.00000000198</v>
      </c>
      <c r="D473">
        <v>731096.00000000198</v>
      </c>
      <c r="G473">
        <v>471</v>
      </c>
      <c r="H473" t="s">
        <v>63</v>
      </c>
      <c r="I473">
        <v>731096.00000000198</v>
      </c>
      <c r="J473">
        <v>3761522</v>
      </c>
      <c r="K473">
        <v>74.000000000931294</v>
      </c>
      <c r="L473">
        <v>731096.00000000198</v>
      </c>
    </row>
    <row r="474" spans="1:12" x14ac:dyDescent="0.35">
      <c r="A474">
        <v>472</v>
      </c>
      <c r="B474" t="s">
        <v>69</v>
      </c>
      <c r="C474">
        <v>731053.00000000105</v>
      </c>
      <c r="D474">
        <v>1462149</v>
      </c>
      <c r="G474">
        <v>472</v>
      </c>
      <c r="H474" t="s">
        <v>69</v>
      </c>
      <c r="I474">
        <v>731053.00000000105</v>
      </c>
      <c r="J474">
        <v>3761491</v>
      </c>
      <c r="K474">
        <v>74.000000000931294</v>
      </c>
      <c r="L474">
        <v>1462149</v>
      </c>
    </row>
    <row r="475" spans="1:12" x14ac:dyDescent="0.35">
      <c r="A475">
        <v>473</v>
      </c>
      <c r="B475" t="s">
        <v>63</v>
      </c>
      <c r="C475">
        <v>731096.00000000198</v>
      </c>
      <c r="D475">
        <v>731096.00000000198</v>
      </c>
      <c r="G475">
        <v>473</v>
      </c>
      <c r="H475" t="s">
        <v>63</v>
      </c>
      <c r="I475">
        <v>731096.00000000198</v>
      </c>
      <c r="J475">
        <v>3761522</v>
      </c>
      <c r="K475">
        <v>15.000000000931299</v>
      </c>
      <c r="L475">
        <v>731096.00000000198</v>
      </c>
    </row>
    <row r="476" spans="1:12" x14ac:dyDescent="0.35">
      <c r="A476">
        <v>474</v>
      </c>
      <c r="B476" t="s">
        <v>69</v>
      </c>
      <c r="C476">
        <v>731089.00000000105</v>
      </c>
      <c r="D476">
        <v>1462185</v>
      </c>
      <c r="G476">
        <v>474</v>
      </c>
      <c r="H476" t="s">
        <v>69</v>
      </c>
      <c r="I476">
        <v>731089.00000000105</v>
      </c>
      <c r="J476">
        <v>3761530</v>
      </c>
      <c r="K476">
        <v>0</v>
      </c>
      <c r="L476">
        <v>1462185</v>
      </c>
    </row>
    <row r="477" spans="1:12" x14ac:dyDescent="0.35">
      <c r="A477">
        <v>475</v>
      </c>
      <c r="B477" t="s">
        <v>63</v>
      </c>
      <c r="C477">
        <v>731089.00000000105</v>
      </c>
      <c r="D477">
        <v>731089.00000000105</v>
      </c>
      <c r="G477">
        <v>475</v>
      </c>
      <c r="H477" t="s">
        <v>63</v>
      </c>
      <c r="I477">
        <v>731089.00000000105</v>
      </c>
      <c r="J477">
        <v>3761530</v>
      </c>
      <c r="K477">
        <v>45.999999998952298</v>
      </c>
      <c r="L477">
        <v>731089.00000000105</v>
      </c>
    </row>
    <row r="478" spans="1:12" x14ac:dyDescent="0.35">
      <c r="A478">
        <v>476</v>
      </c>
      <c r="B478" t="s">
        <v>69</v>
      </c>
      <c r="C478">
        <v>731113</v>
      </c>
      <c r="D478">
        <v>1462202</v>
      </c>
      <c r="G478">
        <v>476</v>
      </c>
      <c r="H478" t="s">
        <v>69</v>
      </c>
      <c r="I478">
        <v>731113</v>
      </c>
      <c r="J478">
        <v>3761552</v>
      </c>
      <c r="K478">
        <v>0</v>
      </c>
      <c r="L478">
        <v>1462202</v>
      </c>
    </row>
    <row r="479" spans="1:12" x14ac:dyDescent="0.35">
      <c r="A479">
        <v>477</v>
      </c>
      <c r="B479" t="s">
        <v>63</v>
      </c>
      <c r="C479">
        <v>731113</v>
      </c>
      <c r="D479">
        <v>731113</v>
      </c>
      <c r="G479">
        <v>477</v>
      </c>
      <c r="H479" t="s">
        <v>63</v>
      </c>
      <c r="I479">
        <v>731113</v>
      </c>
      <c r="J479">
        <v>3761552</v>
      </c>
      <c r="K479">
        <v>51</v>
      </c>
      <c r="L479">
        <v>731113</v>
      </c>
    </row>
    <row r="480" spans="1:12" x14ac:dyDescent="0.35">
      <c r="A480">
        <v>478</v>
      </c>
      <c r="B480" t="s">
        <v>69</v>
      </c>
      <c r="C480">
        <v>731146</v>
      </c>
      <c r="D480">
        <v>1462259</v>
      </c>
      <c r="G480">
        <v>478</v>
      </c>
      <c r="H480" t="s">
        <v>69</v>
      </c>
      <c r="I480">
        <v>731146</v>
      </c>
      <c r="J480">
        <v>3761570</v>
      </c>
      <c r="K480">
        <v>96.999999998952305</v>
      </c>
      <c r="L480">
        <v>1462259</v>
      </c>
    </row>
    <row r="481" spans="1:12" x14ac:dyDescent="0.35">
      <c r="A481">
        <v>479</v>
      </c>
      <c r="B481" t="s">
        <v>63</v>
      </c>
      <c r="C481">
        <v>731089.00000000105</v>
      </c>
      <c r="D481">
        <v>731089.00000000105</v>
      </c>
      <c r="G481">
        <v>479</v>
      </c>
      <c r="H481" t="s">
        <v>63</v>
      </c>
      <c r="I481">
        <v>731089.00000000105</v>
      </c>
      <c r="J481">
        <v>3761530</v>
      </c>
      <c r="K481">
        <v>32</v>
      </c>
      <c r="L481">
        <v>731089.00000000105</v>
      </c>
    </row>
    <row r="482" spans="1:12" x14ac:dyDescent="0.35">
      <c r="A482">
        <v>480</v>
      </c>
      <c r="B482" t="s">
        <v>69</v>
      </c>
      <c r="C482">
        <v>731079.00000000105</v>
      </c>
      <c r="D482">
        <v>1462168</v>
      </c>
      <c r="G482">
        <v>480</v>
      </c>
      <c r="H482" t="s">
        <v>69</v>
      </c>
      <c r="I482">
        <v>731079.00000000105</v>
      </c>
      <c r="J482">
        <v>3761552</v>
      </c>
      <c r="K482">
        <v>0</v>
      </c>
      <c r="L482">
        <v>1462168</v>
      </c>
    </row>
    <row r="483" spans="1:12" x14ac:dyDescent="0.35">
      <c r="A483">
        <v>481</v>
      </c>
      <c r="B483" t="s">
        <v>63</v>
      </c>
      <c r="C483">
        <v>731079.00000000105</v>
      </c>
      <c r="D483">
        <v>731079.00000000105</v>
      </c>
      <c r="G483">
        <v>481</v>
      </c>
      <c r="H483" t="s">
        <v>63</v>
      </c>
      <c r="I483">
        <v>731079.00000000105</v>
      </c>
      <c r="J483">
        <v>3761552</v>
      </c>
      <c r="K483">
        <v>52</v>
      </c>
      <c r="L483">
        <v>731079.00000000105</v>
      </c>
    </row>
    <row r="484" spans="1:12" x14ac:dyDescent="0.35">
      <c r="A484">
        <v>482</v>
      </c>
      <c r="B484" t="s">
        <v>69</v>
      </c>
      <c r="C484">
        <v>731051.00000000105</v>
      </c>
      <c r="D484">
        <v>1462130</v>
      </c>
      <c r="G484">
        <v>482</v>
      </c>
      <c r="H484" t="s">
        <v>69</v>
      </c>
      <c r="I484">
        <v>731051.00000000105</v>
      </c>
      <c r="J484">
        <v>3761528</v>
      </c>
      <c r="K484">
        <v>52</v>
      </c>
      <c r="L484">
        <v>1462130</v>
      </c>
    </row>
    <row r="485" spans="1:12" x14ac:dyDescent="0.35">
      <c r="A485">
        <v>483</v>
      </c>
      <c r="B485" t="s">
        <v>63</v>
      </c>
      <c r="C485">
        <v>731079.00000000105</v>
      </c>
      <c r="D485">
        <v>731079.00000000105</v>
      </c>
      <c r="G485">
        <v>483</v>
      </c>
      <c r="H485" t="s">
        <v>63</v>
      </c>
      <c r="I485">
        <v>731079.00000000105</v>
      </c>
      <c r="J485">
        <v>3761552</v>
      </c>
      <c r="K485">
        <v>83</v>
      </c>
      <c r="L485">
        <v>731079.00000000105</v>
      </c>
    </row>
    <row r="486" spans="1:12" x14ac:dyDescent="0.35">
      <c r="A486">
        <v>484</v>
      </c>
      <c r="B486" t="s">
        <v>69</v>
      </c>
      <c r="C486">
        <v>731028.00000000105</v>
      </c>
      <c r="D486">
        <v>1462107</v>
      </c>
      <c r="G486">
        <v>484</v>
      </c>
      <c r="H486" t="s">
        <v>69</v>
      </c>
      <c r="I486">
        <v>731028.00000000105</v>
      </c>
      <c r="J486">
        <v>3761584</v>
      </c>
      <c r="K486">
        <v>0</v>
      </c>
      <c r="L486">
        <v>1462107</v>
      </c>
    </row>
    <row r="487" spans="1:12" x14ac:dyDescent="0.35">
      <c r="A487">
        <v>485</v>
      </c>
      <c r="B487" t="s">
        <v>63</v>
      </c>
      <c r="C487">
        <v>731028.00000000105</v>
      </c>
      <c r="D487">
        <v>731028.00000000105</v>
      </c>
      <c r="G487">
        <v>485</v>
      </c>
      <c r="H487" t="s">
        <v>63</v>
      </c>
      <c r="I487">
        <v>731028.00000000105</v>
      </c>
      <c r="J487">
        <v>3761584</v>
      </c>
      <c r="K487">
        <v>95.000000001047695</v>
      </c>
      <c r="L487">
        <v>731028.00000000105</v>
      </c>
    </row>
    <row r="488" spans="1:12" x14ac:dyDescent="0.35">
      <c r="A488">
        <v>486</v>
      </c>
      <c r="B488" t="s">
        <v>69</v>
      </c>
      <c r="C488">
        <v>730972</v>
      </c>
      <c r="D488">
        <v>1462000</v>
      </c>
      <c r="G488">
        <v>486</v>
      </c>
      <c r="H488" t="s">
        <v>69</v>
      </c>
      <c r="I488">
        <v>730972</v>
      </c>
      <c r="J488">
        <v>3761623</v>
      </c>
      <c r="K488">
        <v>0</v>
      </c>
      <c r="L488">
        <v>1462000</v>
      </c>
    </row>
    <row r="489" spans="1:12" x14ac:dyDescent="0.35">
      <c r="A489">
        <v>487</v>
      </c>
      <c r="B489" t="s">
        <v>63</v>
      </c>
      <c r="C489">
        <v>730972</v>
      </c>
      <c r="D489">
        <v>730972</v>
      </c>
      <c r="G489">
        <v>487</v>
      </c>
      <c r="H489" t="s">
        <v>63</v>
      </c>
      <c r="I489">
        <v>730972</v>
      </c>
      <c r="J489">
        <v>3761623</v>
      </c>
      <c r="K489">
        <v>99.999999998952305</v>
      </c>
      <c r="L489">
        <v>730972</v>
      </c>
    </row>
    <row r="490" spans="1:12" x14ac:dyDescent="0.35">
      <c r="A490">
        <v>488</v>
      </c>
      <c r="B490" t="s">
        <v>69</v>
      </c>
      <c r="C490">
        <v>730918.00000000105</v>
      </c>
      <c r="D490">
        <v>1461890</v>
      </c>
      <c r="G490">
        <v>488</v>
      </c>
      <c r="H490" t="s">
        <v>69</v>
      </c>
      <c r="I490">
        <v>730918.00000000105</v>
      </c>
      <c r="J490">
        <v>3761669</v>
      </c>
      <c r="K490">
        <v>512</v>
      </c>
      <c r="L490">
        <v>1461890</v>
      </c>
    </row>
    <row r="491" spans="1:12" x14ac:dyDescent="0.35">
      <c r="A491">
        <v>489</v>
      </c>
      <c r="B491" t="s">
        <v>63</v>
      </c>
      <c r="C491">
        <v>731161.00000000105</v>
      </c>
      <c r="D491">
        <v>731161.00000000105</v>
      </c>
      <c r="G491">
        <v>489</v>
      </c>
      <c r="H491" t="s">
        <v>63</v>
      </c>
      <c r="I491">
        <v>731161.00000000105</v>
      </c>
      <c r="J491">
        <v>3761400</v>
      </c>
      <c r="K491">
        <v>59.000000001047702</v>
      </c>
      <c r="L491">
        <v>731161.00000000105</v>
      </c>
    </row>
    <row r="492" spans="1:12" x14ac:dyDescent="0.35">
      <c r="A492">
        <v>490</v>
      </c>
      <c r="B492" t="s">
        <v>69</v>
      </c>
      <c r="C492">
        <v>731131</v>
      </c>
      <c r="D492">
        <v>1462292</v>
      </c>
      <c r="G492">
        <v>490</v>
      </c>
      <c r="H492" t="s">
        <v>69</v>
      </c>
      <c r="I492">
        <v>731131</v>
      </c>
      <c r="J492">
        <v>3761371</v>
      </c>
      <c r="K492">
        <v>59.000000001047702</v>
      </c>
      <c r="L492">
        <v>1462292</v>
      </c>
    </row>
    <row r="493" spans="1:12" x14ac:dyDescent="0.35">
      <c r="A493">
        <v>491</v>
      </c>
      <c r="B493" t="s">
        <v>63</v>
      </c>
      <c r="C493">
        <v>731161.00000000105</v>
      </c>
      <c r="D493">
        <v>731161.00000000105</v>
      </c>
      <c r="G493">
        <v>491</v>
      </c>
      <c r="H493" t="s">
        <v>63</v>
      </c>
      <c r="I493">
        <v>731161.00000000105</v>
      </c>
      <c r="J493">
        <v>3761400</v>
      </c>
      <c r="K493">
        <v>44.999999998952298</v>
      </c>
      <c r="L493">
        <v>731161.00000000105</v>
      </c>
    </row>
    <row r="494" spans="1:12" x14ac:dyDescent="0.35">
      <c r="A494">
        <v>492</v>
      </c>
      <c r="B494" t="s">
        <v>69</v>
      </c>
      <c r="C494">
        <v>731177</v>
      </c>
      <c r="D494">
        <v>1462338</v>
      </c>
      <c r="G494">
        <v>492</v>
      </c>
      <c r="H494" t="s">
        <v>69</v>
      </c>
      <c r="I494">
        <v>731177</v>
      </c>
      <c r="J494">
        <v>3761371</v>
      </c>
      <c r="K494">
        <v>0</v>
      </c>
      <c r="L494">
        <v>1462338</v>
      </c>
    </row>
    <row r="495" spans="1:12" x14ac:dyDescent="0.35">
      <c r="A495">
        <v>493</v>
      </c>
      <c r="B495" t="s">
        <v>63</v>
      </c>
      <c r="C495">
        <v>731177</v>
      </c>
      <c r="D495">
        <v>731177</v>
      </c>
      <c r="G495">
        <v>493</v>
      </c>
      <c r="H495" t="s">
        <v>63</v>
      </c>
      <c r="I495">
        <v>731177</v>
      </c>
      <c r="J495">
        <v>3761371</v>
      </c>
      <c r="K495">
        <v>51</v>
      </c>
      <c r="L495">
        <v>731177</v>
      </c>
    </row>
    <row r="496" spans="1:12" x14ac:dyDescent="0.35">
      <c r="A496">
        <v>494</v>
      </c>
      <c r="B496" t="s">
        <v>69</v>
      </c>
      <c r="C496">
        <v>731200</v>
      </c>
      <c r="D496">
        <v>1462377</v>
      </c>
      <c r="G496">
        <v>494</v>
      </c>
      <c r="H496" t="s">
        <v>69</v>
      </c>
      <c r="I496">
        <v>731200</v>
      </c>
      <c r="J496">
        <v>3761343</v>
      </c>
      <c r="K496">
        <v>95.999999998952305</v>
      </c>
      <c r="L496">
        <v>1462377</v>
      </c>
    </row>
    <row r="497" spans="1:12" x14ac:dyDescent="0.35">
      <c r="A497">
        <v>495</v>
      </c>
      <c r="B497" t="s">
        <v>63</v>
      </c>
      <c r="C497">
        <v>731161.00000000105</v>
      </c>
      <c r="D497">
        <v>731161.00000000105</v>
      </c>
      <c r="G497">
        <v>495</v>
      </c>
      <c r="H497" t="s">
        <v>63</v>
      </c>
      <c r="I497">
        <v>731161.00000000105</v>
      </c>
      <c r="J497">
        <v>3761400</v>
      </c>
      <c r="K497">
        <v>40.000000001047702</v>
      </c>
      <c r="L497">
        <v>731161.00000000105</v>
      </c>
    </row>
    <row r="498" spans="1:12" x14ac:dyDescent="0.35">
      <c r="A498">
        <v>496</v>
      </c>
      <c r="B498" t="s">
        <v>69</v>
      </c>
      <c r="C498">
        <v>731152</v>
      </c>
      <c r="D498">
        <v>1462313</v>
      </c>
      <c r="G498">
        <v>496</v>
      </c>
      <c r="H498" t="s">
        <v>69</v>
      </c>
      <c r="I498">
        <v>731152</v>
      </c>
      <c r="J498">
        <v>3761431</v>
      </c>
      <c r="K498">
        <v>0</v>
      </c>
      <c r="L498">
        <v>1462313</v>
      </c>
    </row>
    <row r="499" spans="1:12" x14ac:dyDescent="0.35">
      <c r="A499">
        <v>497</v>
      </c>
      <c r="B499" t="s">
        <v>63</v>
      </c>
      <c r="C499">
        <v>731152</v>
      </c>
      <c r="D499">
        <v>731152</v>
      </c>
      <c r="G499">
        <v>497</v>
      </c>
      <c r="H499" t="s">
        <v>63</v>
      </c>
      <c r="I499">
        <v>731152</v>
      </c>
      <c r="J499">
        <v>3761431</v>
      </c>
      <c r="K499">
        <v>44</v>
      </c>
      <c r="L499">
        <v>731152</v>
      </c>
    </row>
    <row r="500" spans="1:12" x14ac:dyDescent="0.35">
      <c r="A500">
        <v>498</v>
      </c>
      <c r="B500" t="s">
        <v>69</v>
      </c>
      <c r="C500">
        <v>731136</v>
      </c>
      <c r="D500">
        <v>1462288</v>
      </c>
      <c r="G500">
        <v>498</v>
      </c>
      <c r="H500" t="s">
        <v>69</v>
      </c>
      <c r="I500">
        <v>731136</v>
      </c>
      <c r="J500">
        <v>3761459</v>
      </c>
      <c r="K500">
        <v>832</v>
      </c>
      <c r="L500">
        <v>1462288</v>
      </c>
    </row>
    <row r="501" spans="1:12" x14ac:dyDescent="0.35">
      <c r="A501">
        <v>499</v>
      </c>
      <c r="B501" t="s">
        <v>63</v>
      </c>
      <c r="C501">
        <v>731221</v>
      </c>
      <c r="D501">
        <v>731221</v>
      </c>
      <c r="G501">
        <v>499</v>
      </c>
      <c r="H501" t="s">
        <v>63</v>
      </c>
      <c r="I501">
        <v>731221</v>
      </c>
      <c r="J501">
        <v>3762206</v>
      </c>
      <c r="K501">
        <v>66</v>
      </c>
      <c r="L501">
        <v>731221</v>
      </c>
    </row>
    <row r="502" spans="1:12" x14ac:dyDescent="0.35">
      <c r="A502">
        <v>500</v>
      </c>
      <c r="B502" t="s">
        <v>69</v>
      </c>
      <c r="C502">
        <v>731190</v>
      </c>
      <c r="D502">
        <v>1462411</v>
      </c>
      <c r="G502">
        <v>500</v>
      </c>
      <c r="H502" t="s">
        <v>69</v>
      </c>
      <c r="I502">
        <v>731190</v>
      </c>
      <c r="J502">
        <v>3762171</v>
      </c>
      <c r="K502">
        <v>0</v>
      </c>
      <c r="L502">
        <v>1462411</v>
      </c>
    </row>
    <row r="503" spans="1:12" x14ac:dyDescent="0.35">
      <c r="A503">
        <v>501</v>
      </c>
      <c r="B503" t="s">
        <v>63</v>
      </c>
      <c r="C503">
        <v>731190</v>
      </c>
      <c r="D503">
        <v>731190</v>
      </c>
      <c r="G503">
        <v>501</v>
      </c>
      <c r="H503" t="s">
        <v>63</v>
      </c>
      <c r="I503">
        <v>731190</v>
      </c>
      <c r="J503">
        <v>3762171</v>
      </c>
      <c r="K503">
        <v>59</v>
      </c>
      <c r="L503">
        <v>731190</v>
      </c>
    </row>
    <row r="504" spans="1:12" x14ac:dyDescent="0.35">
      <c r="A504">
        <v>502</v>
      </c>
      <c r="B504" t="s">
        <v>69</v>
      </c>
      <c r="C504">
        <v>731159</v>
      </c>
      <c r="D504">
        <v>1462349</v>
      </c>
      <c r="G504">
        <v>502</v>
      </c>
      <c r="H504" t="s">
        <v>69</v>
      </c>
      <c r="I504">
        <v>731159</v>
      </c>
      <c r="J504">
        <v>3762143</v>
      </c>
      <c r="K504">
        <v>0</v>
      </c>
      <c r="L504">
        <v>1462349</v>
      </c>
    </row>
    <row r="505" spans="1:12" x14ac:dyDescent="0.35">
      <c r="A505">
        <v>503</v>
      </c>
      <c r="B505" t="s">
        <v>63</v>
      </c>
      <c r="C505">
        <v>731159</v>
      </c>
      <c r="D505">
        <v>731159</v>
      </c>
      <c r="G505">
        <v>503</v>
      </c>
      <c r="H505" t="s">
        <v>63</v>
      </c>
      <c r="I505">
        <v>731159</v>
      </c>
      <c r="J505">
        <v>3762143</v>
      </c>
      <c r="K505">
        <v>64</v>
      </c>
      <c r="L505">
        <v>731159</v>
      </c>
    </row>
    <row r="506" spans="1:12" x14ac:dyDescent="0.35">
      <c r="A506">
        <v>504</v>
      </c>
      <c r="B506" t="s">
        <v>69</v>
      </c>
      <c r="C506">
        <v>731126</v>
      </c>
      <c r="D506">
        <v>1462285</v>
      </c>
      <c r="G506">
        <v>504</v>
      </c>
      <c r="H506" t="s">
        <v>69</v>
      </c>
      <c r="I506">
        <v>731126</v>
      </c>
      <c r="J506">
        <v>3762112</v>
      </c>
      <c r="K506">
        <v>0</v>
      </c>
      <c r="L506">
        <v>1462285</v>
      </c>
    </row>
    <row r="507" spans="1:12" x14ac:dyDescent="0.35">
      <c r="A507">
        <v>505</v>
      </c>
      <c r="B507" t="s">
        <v>63</v>
      </c>
      <c r="C507">
        <v>731126</v>
      </c>
      <c r="D507">
        <v>731126</v>
      </c>
      <c r="G507">
        <v>505</v>
      </c>
      <c r="H507" t="s">
        <v>63</v>
      </c>
      <c r="I507">
        <v>731126</v>
      </c>
      <c r="J507">
        <v>3762112</v>
      </c>
      <c r="K507">
        <v>52</v>
      </c>
      <c r="L507">
        <v>731126</v>
      </c>
    </row>
    <row r="508" spans="1:12" x14ac:dyDescent="0.35">
      <c r="A508">
        <v>506</v>
      </c>
      <c r="B508" t="s">
        <v>69</v>
      </c>
      <c r="C508">
        <v>731090</v>
      </c>
      <c r="D508">
        <v>1462216</v>
      </c>
      <c r="G508">
        <v>506</v>
      </c>
      <c r="H508" t="s">
        <v>69</v>
      </c>
      <c r="I508">
        <v>731090</v>
      </c>
      <c r="J508">
        <v>3762096</v>
      </c>
      <c r="K508">
        <v>0</v>
      </c>
      <c r="L508">
        <v>1462216</v>
      </c>
    </row>
    <row r="509" spans="1:12" x14ac:dyDescent="0.35">
      <c r="A509">
        <v>507</v>
      </c>
      <c r="B509" t="s">
        <v>63</v>
      </c>
      <c r="C509">
        <v>731090</v>
      </c>
      <c r="D509">
        <v>731090</v>
      </c>
      <c r="G509">
        <v>507</v>
      </c>
      <c r="H509" t="s">
        <v>63</v>
      </c>
      <c r="I509">
        <v>731090</v>
      </c>
      <c r="J509">
        <v>3762096</v>
      </c>
      <c r="K509">
        <v>64.999999998020897</v>
      </c>
      <c r="L509">
        <v>731090</v>
      </c>
    </row>
    <row r="510" spans="1:12" x14ac:dyDescent="0.35">
      <c r="A510">
        <v>508</v>
      </c>
      <c r="B510" t="s">
        <v>69</v>
      </c>
      <c r="C510">
        <v>731055.00000000198</v>
      </c>
      <c r="D510">
        <v>1462145</v>
      </c>
      <c r="G510">
        <v>508</v>
      </c>
      <c r="H510" t="s">
        <v>69</v>
      </c>
      <c r="I510">
        <v>731055.00000000198</v>
      </c>
      <c r="J510">
        <v>3762066</v>
      </c>
      <c r="K510">
        <v>0</v>
      </c>
      <c r="L510">
        <v>1462145</v>
      </c>
    </row>
    <row r="511" spans="1:12" x14ac:dyDescent="0.35">
      <c r="A511">
        <v>509</v>
      </c>
      <c r="B511" t="s">
        <v>63</v>
      </c>
      <c r="C511">
        <v>731055.00000000198</v>
      </c>
      <c r="D511">
        <v>731055.00000000198</v>
      </c>
      <c r="G511">
        <v>509</v>
      </c>
      <c r="H511" t="s">
        <v>63</v>
      </c>
      <c r="I511">
        <v>731055.00000000198</v>
      </c>
      <c r="J511">
        <v>3762066</v>
      </c>
      <c r="K511">
        <v>77.000000001979103</v>
      </c>
      <c r="L511">
        <v>731055.00000000198</v>
      </c>
    </row>
    <row r="512" spans="1:12" x14ac:dyDescent="0.35">
      <c r="A512">
        <v>510</v>
      </c>
      <c r="B512" t="s">
        <v>69</v>
      </c>
      <c r="C512">
        <v>731013</v>
      </c>
      <c r="D512">
        <v>1462068</v>
      </c>
      <c r="G512">
        <v>510</v>
      </c>
      <c r="H512" t="s">
        <v>69</v>
      </c>
      <c r="I512">
        <v>731013</v>
      </c>
      <c r="J512">
        <v>3762031</v>
      </c>
      <c r="K512">
        <v>0</v>
      </c>
      <c r="L512">
        <v>1462068</v>
      </c>
    </row>
    <row r="513" spans="1:12" x14ac:dyDescent="0.35">
      <c r="A513">
        <v>511</v>
      </c>
      <c r="B513" t="s">
        <v>63</v>
      </c>
      <c r="C513">
        <v>731013</v>
      </c>
      <c r="D513">
        <v>731013</v>
      </c>
      <c r="G513">
        <v>511</v>
      </c>
      <c r="H513" t="s">
        <v>63</v>
      </c>
      <c r="I513">
        <v>731013</v>
      </c>
      <c r="J513">
        <v>3762031</v>
      </c>
      <c r="K513">
        <v>74</v>
      </c>
      <c r="L513">
        <v>731013</v>
      </c>
    </row>
    <row r="514" spans="1:12" x14ac:dyDescent="0.35">
      <c r="A514">
        <v>512</v>
      </c>
      <c r="B514" t="s">
        <v>69</v>
      </c>
      <c r="C514">
        <v>730962</v>
      </c>
      <c r="D514">
        <v>1461975</v>
      </c>
      <c r="G514">
        <v>512</v>
      </c>
      <c r="H514" t="s">
        <v>69</v>
      </c>
      <c r="I514">
        <v>730962</v>
      </c>
      <c r="J514">
        <v>3762008</v>
      </c>
      <c r="K514">
        <v>795.00000000104797</v>
      </c>
      <c r="L514">
        <v>1461975</v>
      </c>
    </row>
    <row r="515" spans="1:12" x14ac:dyDescent="0.35">
      <c r="A515">
        <v>513</v>
      </c>
      <c r="B515" t="s">
        <v>63</v>
      </c>
      <c r="C515">
        <v>731391.00000000105</v>
      </c>
      <c r="D515">
        <v>731391.00000000105</v>
      </c>
      <c r="G515">
        <v>513</v>
      </c>
      <c r="H515" t="s">
        <v>63</v>
      </c>
      <c r="I515">
        <v>731391.00000000105</v>
      </c>
      <c r="J515">
        <v>3762374</v>
      </c>
      <c r="K515">
        <v>0</v>
      </c>
      <c r="L515">
        <v>731391.00000000105</v>
      </c>
    </row>
    <row r="516" spans="1:12" x14ac:dyDescent="0.35">
      <c r="A516">
        <v>514</v>
      </c>
      <c r="B516" t="s">
        <v>69</v>
      </c>
      <c r="C516">
        <v>731391.00000000105</v>
      </c>
      <c r="D516">
        <v>1462782</v>
      </c>
      <c r="G516">
        <v>514</v>
      </c>
      <c r="H516" t="s">
        <v>69</v>
      </c>
      <c r="I516">
        <v>731391.00000000105</v>
      </c>
      <c r="J516">
        <v>3762374</v>
      </c>
      <c r="K516">
        <v>0</v>
      </c>
      <c r="L516">
        <v>1462782</v>
      </c>
    </row>
    <row r="517" spans="1:12" x14ac:dyDescent="0.35">
      <c r="A517">
        <v>515</v>
      </c>
      <c r="B517" t="s">
        <v>63</v>
      </c>
      <c r="C517">
        <v>731391.00000000105</v>
      </c>
      <c r="D517">
        <v>731391.00000000105</v>
      </c>
      <c r="G517">
        <v>515</v>
      </c>
      <c r="H517" t="s">
        <v>63</v>
      </c>
      <c r="I517">
        <v>731391.00000000105</v>
      </c>
      <c r="J517">
        <v>3762374</v>
      </c>
      <c r="K517">
        <v>76</v>
      </c>
      <c r="L517">
        <v>731391.00000000105</v>
      </c>
    </row>
    <row r="518" spans="1:12" x14ac:dyDescent="0.35">
      <c r="A518">
        <v>516</v>
      </c>
      <c r="B518" t="s">
        <v>69</v>
      </c>
      <c r="C518">
        <v>731421.00000000105</v>
      </c>
      <c r="D518">
        <v>1462812</v>
      </c>
      <c r="G518">
        <v>516</v>
      </c>
      <c r="H518" t="s">
        <v>69</v>
      </c>
      <c r="I518">
        <v>731421.00000000105</v>
      </c>
      <c r="J518">
        <v>3762328</v>
      </c>
      <c r="K518">
        <v>0</v>
      </c>
      <c r="L518">
        <v>1462812</v>
      </c>
    </row>
    <row r="519" spans="1:12" x14ac:dyDescent="0.35">
      <c r="A519">
        <v>517</v>
      </c>
      <c r="B519" t="s">
        <v>63</v>
      </c>
      <c r="C519">
        <v>731421.00000000105</v>
      </c>
      <c r="D519">
        <v>731421.00000000105</v>
      </c>
      <c r="G519">
        <v>517</v>
      </c>
      <c r="H519" t="s">
        <v>63</v>
      </c>
      <c r="I519">
        <v>731421.00000000105</v>
      </c>
      <c r="J519">
        <v>3762328</v>
      </c>
      <c r="K519">
        <v>38.000000002095497</v>
      </c>
      <c r="L519">
        <v>731421.00000000105</v>
      </c>
    </row>
    <row r="520" spans="1:12" x14ac:dyDescent="0.35">
      <c r="A520">
        <v>518</v>
      </c>
      <c r="B520" t="s">
        <v>69</v>
      </c>
      <c r="C520">
        <v>731394.99999999895</v>
      </c>
      <c r="D520">
        <v>1462816</v>
      </c>
      <c r="G520">
        <v>518</v>
      </c>
      <c r="H520" t="s">
        <v>69</v>
      </c>
      <c r="I520">
        <v>731394.99999999895</v>
      </c>
      <c r="J520">
        <v>3762316</v>
      </c>
      <c r="K520">
        <v>0</v>
      </c>
      <c r="L520">
        <v>1462816</v>
      </c>
    </row>
    <row r="521" spans="1:12" x14ac:dyDescent="0.35">
      <c r="A521">
        <v>519</v>
      </c>
      <c r="B521" t="s">
        <v>63</v>
      </c>
      <c r="C521">
        <v>731394.99999999895</v>
      </c>
      <c r="D521">
        <v>731394.99999999895</v>
      </c>
      <c r="G521">
        <v>519</v>
      </c>
      <c r="H521" t="s">
        <v>63</v>
      </c>
      <c r="I521">
        <v>731394.99999999895</v>
      </c>
      <c r="J521">
        <v>3762316</v>
      </c>
      <c r="K521">
        <v>61.000000001047702</v>
      </c>
      <c r="L521">
        <v>731394.99999999895</v>
      </c>
    </row>
    <row r="522" spans="1:12" x14ac:dyDescent="0.35">
      <c r="A522">
        <v>520</v>
      </c>
      <c r="B522" t="s">
        <v>69</v>
      </c>
      <c r="C522">
        <v>731412</v>
      </c>
      <c r="D522">
        <v>1462807</v>
      </c>
      <c r="G522">
        <v>520</v>
      </c>
      <c r="H522" t="s">
        <v>69</v>
      </c>
      <c r="I522">
        <v>731412</v>
      </c>
      <c r="J522">
        <v>3762272</v>
      </c>
      <c r="K522">
        <v>0</v>
      </c>
      <c r="L522">
        <v>1462807</v>
      </c>
    </row>
    <row r="523" spans="1:12" x14ac:dyDescent="0.35">
      <c r="A523">
        <v>521</v>
      </c>
      <c r="B523" t="s">
        <v>63</v>
      </c>
      <c r="C523">
        <v>731412</v>
      </c>
      <c r="D523">
        <v>731412</v>
      </c>
      <c r="G523">
        <v>521</v>
      </c>
      <c r="H523" t="s">
        <v>63</v>
      </c>
      <c r="I523">
        <v>731412</v>
      </c>
      <c r="J523">
        <v>3762272</v>
      </c>
      <c r="K523">
        <v>73.000000001979103</v>
      </c>
      <c r="L523">
        <v>731412</v>
      </c>
    </row>
    <row r="524" spans="1:12" x14ac:dyDescent="0.35">
      <c r="A524">
        <v>522</v>
      </c>
      <c r="B524" t="s">
        <v>69</v>
      </c>
      <c r="C524">
        <v>731426.00000000198</v>
      </c>
      <c r="D524">
        <v>1462838</v>
      </c>
      <c r="G524">
        <v>522</v>
      </c>
      <c r="H524" t="s">
        <v>69</v>
      </c>
      <c r="I524">
        <v>731426.00000000198</v>
      </c>
      <c r="J524">
        <v>3762213</v>
      </c>
      <c r="K524">
        <v>0</v>
      </c>
      <c r="L524">
        <v>1462838</v>
      </c>
    </row>
    <row r="525" spans="1:12" x14ac:dyDescent="0.35">
      <c r="A525">
        <v>523</v>
      </c>
      <c r="B525" t="s">
        <v>63</v>
      </c>
      <c r="C525">
        <v>731426.00000000198</v>
      </c>
      <c r="D525">
        <v>731426.00000000198</v>
      </c>
      <c r="G525">
        <v>523</v>
      </c>
      <c r="H525" t="s">
        <v>63</v>
      </c>
      <c r="I525">
        <v>731426.00000000198</v>
      </c>
      <c r="J525">
        <v>3762213</v>
      </c>
      <c r="K525">
        <v>56.999999998020897</v>
      </c>
      <c r="L525">
        <v>731426.00000000198</v>
      </c>
    </row>
    <row r="526" spans="1:12" x14ac:dyDescent="0.35">
      <c r="A526">
        <v>524</v>
      </c>
      <c r="B526" t="s">
        <v>69</v>
      </c>
      <c r="C526">
        <v>731438</v>
      </c>
      <c r="D526">
        <v>1462864</v>
      </c>
      <c r="G526">
        <v>524</v>
      </c>
      <c r="H526" t="s">
        <v>69</v>
      </c>
      <c r="I526">
        <v>731438</v>
      </c>
      <c r="J526">
        <v>3762168</v>
      </c>
      <c r="K526">
        <v>0</v>
      </c>
      <c r="L526">
        <v>1462864</v>
      </c>
    </row>
    <row r="527" spans="1:12" x14ac:dyDescent="0.35">
      <c r="A527">
        <v>525</v>
      </c>
      <c r="B527" t="s">
        <v>63</v>
      </c>
      <c r="C527">
        <v>731438</v>
      </c>
      <c r="D527">
        <v>731438</v>
      </c>
      <c r="G527">
        <v>525</v>
      </c>
      <c r="H527" t="s">
        <v>63</v>
      </c>
      <c r="I527">
        <v>731438</v>
      </c>
      <c r="J527">
        <v>3762168</v>
      </c>
      <c r="K527">
        <v>60.000000001047702</v>
      </c>
      <c r="L527">
        <v>731438</v>
      </c>
    </row>
    <row r="528" spans="1:12" x14ac:dyDescent="0.35">
      <c r="A528">
        <v>526</v>
      </c>
      <c r="B528" t="s">
        <v>69</v>
      </c>
      <c r="C528">
        <v>731455.00000000105</v>
      </c>
      <c r="D528">
        <v>1462893</v>
      </c>
      <c r="G528">
        <v>526</v>
      </c>
      <c r="H528" t="s">
        <v>69</v>
      </c>
      <c r="I528">
        <v>731455.00000000105</v>
      </c>
      <c r="J528">
        <v>3762125</v>
      </c>
      <c r="K528">
        <v>190.00000000104799</v>
      </c>
      <c r="L528">
        <v>1462893</v>
      </c>
    </row>
    <row r="529" spans="1:12" x14ac:dyDescent="0.35">
      <c r="A529">
        <v>527</v>
      </c>
      <c r="B529" t="s">
        <v>63</v>
      </c>
      <c r="C529">
        <v>731412</v>
      </c>
      <c r="D529">
        <v>731412</v>
      </c>
      <c r="G529">
        <v>527</v>
      </c>
      <c r="H529" t="s">
        <v>63</v>
      </c>
      <c r="I529">
        <v>731412</v>
      </c>
      <c r="J529">
        <v>3762272</v>
      </c>
      <c r="K529">
        <v>35</v>
      </c>
      <c r="L529">
        <v>731412</v>
      </c>
    </row>
    <row r="530" spans="1:12" x14ac:dyDescent="0.35">
      <c r="A530">
        <v>528</v>
      </c>
      <c r="B530" t="s">
        <v>69</v>
      </c>
      <c r="C530">
        <v>731443</v>
      </c>
      <c r="D530">
        <v>1462855</v>
      </c>
      <c r="G530">
        <v>528</v>
      </c>
      <c r="H530" t="s">
        <v>69</v>
      </c>
      <c r="I530">
        <v>731443</v>
      </c>
      <c r="J530">
        <v>3762276</v>
      </c>
      <c r="K530">
        <v>0</v>
      </c>
      <c r="L530">
        <v>1462855</v>
      </c>
    </row>
    <row r="531" spans="1:12" x14ac:dyDescent="0.35">
      <c r="A531">
        <v>529</v>
      </c>
      <c r="B531" t="s">
        <v>63</v>
      </c>
      <c r="C531">
        <v>731443</v>
      </c>
      <c r="D531">
        <v>731443</v>
      </c>
      <c r="G531">
        <v>529</v>
      </c>
      <c r="H531" t="s">
        <v>63</v>
      </c>
      <c r="I531">
        <v>731443</v>
      </c>
      <c r="J531">
        <v>3762276</v>
      </c>
      <c r="K531">
        <v>32.000000001047702</v>
      </c>
      <c r="L531">
        <v>731443</v>
      </c>
    </row>
    <row r="532" spans="1:12" x14ac:dyDescent="0.35">
      <c r="A532">
        <v>530</v>
      </c>
      <c r="B532" t="s">
        <v>69</v>
      </c>
      <c r="C532">
        <v>731444.00000000105</v>
      </c>
      <c r="D532">
        <v>1462887</v>
      </c>
      <c r="G532">
        <v>530</v>
      </c>
      <c r="H532" t="s">
        <v>69</v>
      </c>
      <c r="I532">
        <v>731444.00000000105</v>
      </c>
      <c r="J532">
        <v>3762245</v>
      </c>
      <c r="K532">
        <v>106</v>
      </c>
      <c r="L532">
        <v>1462887</v>
      </c>
    </row>
    <row r="533" spans="1:12" x14ac:dyDescent="0.35">
      <c r="A533">
        <v>531</v>
      </c>
      <c r="B533" t="s">
        <v>63</v>
      </c>
      <c r="C533">
        <v>731421.00000000105</v>
      </c>
      <c r="D533">
        <v>731421.00000000105</v>
      </c>
      <c r="G533">
        <v>531</v>
      </c>
      <c r="H533" t="s">
        <v>63</v>
      </c>
      <c r="I533">
        <v>731421.00000000105</v>
      </c>
      <c r="J533">
        <v>3762328</v>
      </c>
      <c r="K533">
        <v>21.999999998952301</v>
      </c>
      <c r="L533">
        <v>731421.00000000105</v>
      </c>
    </row>
    <row r="534" spans="1:12" x14ac:dyDescent="0.35">
      <c r="A534">
        <v>532</v>
      </c>
      <c r="B534" t="s">
        <v>69</v>
      </c>
      <c r="C534">
        <v>731438</v>
      </c>
      <c r="D534">
        <v>1462859</v>
      </c>
      <c r="G534">
        <v>532</v>
      </c>
      <c r="H534" t="s">
        <v>69</v>
      </c>
      <c r="I534">
        <v>731438</v>
      </c>
      <c r="J534">
        <v>3762333</v>
      </c>
      <c r="K534">
        <v>0</v>
      </c>
      <c r="L534">
        <v>1462859</v>
      </c>
    </row>
    <row r="535" spans="1:12" x14ac:dyDescent="0.35">
      <c r="A535">
        <v>533</v>
      </c>
      <c r="B535" t="s">
        <v>63</v>
      </c>
      <c r="C535">
        <v>731438</v>
      </c>
      <c r="D535">
        <v>731438</v>
      </c>
      <c r="G535">
        <v>533</v>
      </c>
      <c r="H535" t="s">
        <v>63</v>
      </c>
      <c r="I535">
        <v>731438</v>
      </c>
      <c r="J535">
        <v>3762333</v>
      </c>
      <c r="K535">
        <v>34</v>
      </c>
      <c r="L535">
        <v>731438</v>
      </c>
    </row>
    <row r="536" spans="1:12" x14ac:dyDescent="0.35">
      <c r="A536">
        <v>534</v>
      </c>
      <c r="B536" t="s">
        <v>69</v>
      </c>
      <c r="C536">
        <v>731440</v>
      </c>
      <c r="D536">
        <v>1462878</v>
      </c>
      <c r="G536">
        <v>534</v>
      </c>
      <c r="H536" t="s">
        <v>69</v>
      </c>
      <c r="I536">
        <v>731440</v>
      </c>
      <c r="J536">
        <v>3762301</v>
      </c>
      <c r="K536">
        <v>135.99999999895201</v>
      </c>
      <c r="L536">
        <v>1462878</v>
      </c>
    </row>
    <row r="537" spans="1:12" x14ac:dyDescent="0.35">
      <c r="A537">
        <v>535</v>
      </c>
      <c r="B537" t="s">
        <v>63</v>
      </c>
      <c r="C537">
        <v>731358.00000000105</v>
      </c>
      <c r="D537">
        <v>731358.00000000105</v>
      </c>
      <c r="G537">
        <v>535</v>
      </c>
      <c r="H537" t="s">
        <v>63</v>
      </c>
      <c r="I537">
        <v>731358.00000000105</v>
      </c>
      <c r="J537">
        <v>3762355</v>
      </c>
      <c r="K537">
        <v>67</v>
      </c>
      <c r="L537">
        <v>731358.00000000105</v>
      </c>
    </row>
    <row r="538" spans="1:12" x14ac:dyDescent="0.35">
      <c r="A538">
        <v>536</v>
      </c>
      <c r="B538" t="s">
        <v>69</v>
      </c>
      <c r="C538">
        <v>731327.00000000105</v>
      </c>
      <c r="D538">
        <v>1462685</v>
      </c>
      <c r="G538">
        <v>536</v>
      </c>
      <c r="H538" t="s">
        <v>69</v>
      </c>
      <c r="I538">
        <v>731327.00000000105</v>
      </c>
      <c r="J538">
        <v>3762319</v>
      </c>
      <c r="K538">
        <v>0</v>
      </c>
      <c r="L538">
        <v>1462685</v>
      </c>
    </row>
    <row r="539" spans="1:12" x14ac:dyDescent="0.35">
      <c r="A539">
        <v>537</v>
      </c>
      <c r="B539" t="s">
        <v>63</v>
      </c>
      <c r="C539">
        <v>731327.00000000105</v>
      </c>
      <c r="D539">
        <v>731327.00000000105</v>
      </c>
      <c r="G539">
        <v>537</v>
      </c>
      <c r="H539" t="s">
        <v>63</v>
      </c>
      <c r="I539">
        <v>731327.00000000105</v>
      </c>
      <c r="J539">
        <v>3762319</v>
      </c>
      <c r="K539">
        <v>74.000000001047695</v>
      </c>
      <c r="L539">
        <v>731327.00000000105</v>
      </c>
    </row>
    <row r="540" spans="1:12" x14ac:dyDescent="0.35">
      <c r="A540">
        <v>538</v>
      </c>
      <c r="B540" t="s">
        <v>69</v>
      </c>
      <c r="C540">
        <v>731290</v>
      </c>
      <c r="D540">
        <v>1462617</v>
      </c>
      <c r="G540">
        <v>538</v>
      </c>
      <c r="H540" t="s">
        <v>69</v>
      </c>
      <c r="I540">
        <v>731290</v>
      </c>
      <c r="J540">
        <v>3762282</v>
      </c>
      <c r="K540">
        <v>0</v>
      </c>
      <c r="L540">
        <v>1462617</v>
      </c>
    </row>
    <row r="541" spans="1:12" x14ac:dyDescent="0.35">
      <c r="A541">
        <v>539</v>
      </c>
      <c r="B541" t="s">
        <v>63</v>
      </c>
      <c r="C541">
        <v>731290</v>
      </c>
      <c r="D541">
        <v>731290</v>
      </c>
      <c r="G541">
        <v>539</v>
      </c>
      <c r="H541" t="s">
        <v>63</v>
      </c>
      <c r="I541">
        <v>731290</v>
      </c>
      <c r="J541">
        <v>3762282</v>
      </c>
      <c r="K541">
        <v>63</v>
      </c>
      <c r="L541">
        <v>731290</v>
      </c>
    </row>
    <row r="542" spans="1:12" x14ac:dyDescent="0.35">
      <c r="A542">
        <v>540</v>
      </c>
      <c r="B542" t="s">
        <v>69</v>
      </c>
      <c r="C542">
        <v>731259</v>
      </c>
      <c r="D542">
        <v>1462549</v>
      </c>
      <c r="G542">
        <v>540</v>
      </c>
      <c r="H542" t="s">
        <v>69</v>
      </c>
      <c r="I542">
        <v>731259</v>
      </c>
      <c r="J542">
        <v>3762250</v>
      </c>
      <c r="K542">
        <v>425.99999999895198</v>
      </c>
      <c r="L542">
        <v>1462549</v>
      </c>
    </row>
    <row r="543" spans="1:12" x14ac:dyDescent="0.35">
      <c r="A543">
        <v>541</v>
      </c>
      <c r="B543" t="s">
        <v>63</v>
      </c>
      <c r="C543">
        <v>731504.99999999895</v>
      </c>
      <c r="D543">
        <v>731504.99999999895</v>
      </c>
      <c r="G543">
        <v>541</v>
      </c>
      <c r="H543" t="s">
        <v>63</v>
      </c>
      <c r="I543">
        <v>731504.99999999895</v>
      </c>
      <c r="J543">
        <v>3762070</v>
      </c>
      <c r="K543">
        <v>37.999999998952298</v>
      </c>
      <c r="L543">
        <v>731504.99999999895</v>
      </c>
    </row>
    <row r="544" spans="1:12" x14ac:dyDescent="0.35">
      <c r="A544">
        <v>542</v>
      </c>
      <c r="B544" t="s">
        <v>69</v>
      </c>
      <c r="C544">
        <v>731481</v>
      </c>
      <c r="D544">
        <v>1462986</v>
      </c>
      <c r="G544">
        <v>542</v>
      </c>
      <c r="H544" t="s">
        <v>69</v>
      </c>
      <c r="I544">
        <v>731481</v>
      </c>
      <c r="J544">
        <v>3762084</v>
      </c>
      <c r="K544">
        <v>37.999999998952298</v>
      </c>
      <c r="L544">
        <v>1462986</v>
      </c>
    </row>
    <row r="545" spans="1:12" x14ac:dyDescent="0.35">
      <c r="A545">
        <v>543</v>
      </c>
      <c r="B545" t="s">
        <v>63</v>
      </c>
      <c r="C545">
        <v>731504.99999999895</v>
      </c>
      <c r="D545">
        <v>731504.99999999895</v>
      </c>
      <c r="G545">
        <v>543</v>
      </c>
      <c r="H545" t="s">
        <v>63</v>
      </c>
      <c r="I545">
        <v>731504.99999999895</v>
      </c>
      <c r="J545">
        <v>3762070</v>
      </c>
      <c r="K545">
        <v>59.000000001047702</v>
      </c>
      <c r="L545">
        <v>731504.99999999895</v>
      </c>
    </row>
    <row r="546" spans="1:12" x14ac:dyDescent="0.35">
      <c r="A546">
        <v>544</v>
      </c>
      <c r="B546" t="s">
        <v>69</v>
      </c>
      <c r="C546">
        <v>731533</v>
      </c>
      <c r="D546">
        <v>1463038</v>
      </c>
      <c r="G546">
        <v>544</v>
      </c>
      <c r="H546" t="s">
        <v>69</v>
      </c>
      <c r="I546">
        <v>731533</v>
      </c>
      <c r="J546">
        <v>3762039</v>
      </c>
      <c r="K546">
        <v>0</v>
      </c>
      <c r="L546">
        <v>1463038</v>
      </c>
    </row>
    <row r="547" spans="1:12" x14ac:dyDescent="0.35">
      <c r="A547">
        <v>545</v>
      </c>
      <c r="B547" t="s">
        <v>63</v>
      </c>
      <c r="C547">
        <v>731533</v>
      </c>
      <c r="D547">
        <v>731533</v>
      </c>
      <c r="G547">
        <v>545</v>
      </c>
      <c r="H547" t="s">
        <v>63</v>
      </c>
      <c r="I547">
        <v>731533</v>
      </c>
      <c r="J547">
        <v>3762039</v>
      </c>
      <c r="K547">
        <v>61</v>
      </c>
      <c r="L547">
        <v>731533</v>
      </c>
    </row>
    <row r="548" spans="1:12" x14ac:dyDescent="0.35">
      <c r="A548">
        <v>546</v>
      </c>
      <c r="B548" t="s">
        <v>69</v>
      </c>
      <c r="C548">
        <v>731558</v>
      </c>
      <c r="D548">
        <v>1463091</v>
      </c>
      <c r="G548">
        <v>546</v>
      </c>
      <c r="H548" t="s">
        <v>69</v>
      </c>
      <c r="I548">
        <v>731558</v>
      </c>
      <c r="J548">
        <v>3762003</v>
      </c>
      <c r="K548">
        <v>83</v>
      </c>
      <c r="L548">
        <v>1463091</v>
      </c>
    </row>
    <row r="549" spans="1:12" x14ac:dyDescent="0.35">
      <c r="A549">
        <v>547</v>
      </c>
      <c r="B549" t="s">
        <v>63</v>
      </c>
      <c r="C549">
        <v>731602</v>
      </c>
      <c r="D549">
        <v>731602</v>
      </c>
      <c r="G549">
        <v>547</v>
      </c>
      <c r="H549" t="s">
        <v>63</v>
      </c>
      <c r="I549">
        <v>731602</v>
      </c>
      <c r="J549">
        <v>3761964</v>
      </c>
      <c r="K549">
        <v>0</v>
      </c>
      <c r="L549">
        <v>731602</v>
      </c>
    </row>
    <row r="550" spans="1:12" x14ac:dyDescent="0.35">
      <c r="A550">
        <v>548</v>
      </c>
      <c r="B550" t="s">
        <v>69</v>
      </c>
      <c r="C550">
        <v>731602</v>
      </c>
      <c r="D550">
        <v>1463204</v>
      </c>
      <c r="G550">
        <v>548</v>
      </c>
      <c r="H550" t="s">
        <v>69</v>
      </c>
      <c r="I550">
        <v>731602</v>
      </c>
      <c r="J550">
        <v>3761964</v>
      </c>
      <c r="K550">
        <v>0</v>
      </c>
      <c r="L550">
        <v>1463204</v>
      </c>
    </row>
    <row r="551" spans="1:12" x14ac:dyDescent="0.35">
      <c r="A551">
        <v>549</v>
      </c>
      <c r="B551" t="s">
        <v>63</v>
      </c>
      <c r="C551">
        <v>731602</v>
      </c>
      <c r="D551">
        <v>731602</v>
      </c>
      <c r="G551">
        <v>549</v>
      </c>
      <c r="H551" t="s">
        <v>63</v>
      </c>
      <c r="I551">
        <v>731602</v>
      </c>
      <c r="J551">
        <v>3761964</v>
      </c>
      <c r="K551">
        <v>57.999999998952298</v>
      </c>
      <c r="L551">
        <v>731602</v>
      </c>
    </row>
    <row r="552" spans="1:12" x14ac:dyDescent="0.35">
      <c r="A552">
        <v>550</v>
      </c>
      <c r="B552" t="s">
        <v>69</v>
      </c>
      <c r="C552">
        <v>731580.00000000105</v>
      </c>
      <c r="D552">
        <v>1463182</v>
      </c>
      <c r="G552">
        <v>550</v>
      </c>
      <c r="H552" t="s">
        <v>69</v>
      </c>
      <c r="I552">
        <v>731580.00000000105</v>
      </c>
      <c r="J552">
        <v>3761928</v>
      </c>
      <c r="K552">
        <v>295</v>
      </c>
      <c r="L552">
        <v>1463182</v>
      </c>
    </row>
    <row r="553" spans="1:12" x14ac:dyDescent="0.35">
      <c r="A553">
        <v>551</v>
      </c>
      <c r="B553" t="s">
        <v>63</v>
      </c>
      <c r="C553">
        <v>731746.00000000105</v>
      </c>
      <c r="D553">
        <v>731746.00000000105</v>
      </c>
      <c r="G553">
        <v>551</v>
      </c>
      <c r="H553" t="s">
        <v>63</v>
      </c>
      <c r="I553">
        <v>731746.00000000105</v>
      </c>
      <c r="J553">
        <v>3761799</v>
      </c>
      <c r="K553">
        <v>50.000000001047702</v>
      </c>
      <c r="L553">
        <v>731746.00000000105</v>
      </c>
    </row>
    <row r="554" spans="1:12" x14ac:dyDescent="0.35">
      <c r="A554">
        <v>552</v>
      </c>
      <c r="B554" t="s">
        <v>69</v>
      </c>
      <c r="C554">
        <v>731737</v>
      </c>
      <c r="D554">
        <v>1463483</v>
      </c>
      <c r="G554">
        <v>552</v>
      </c>
      <c r="H554" t="s">
        <v>69</v>
      </c>
      <c r="I554">
        <v>731737</v>
      </c>
      <c r="J554">
        <v>3761758</v>
      </c>
      <c r="K554">
        <v>0</v>
      </c>
      <c r="L554">
        <v>1463483</v>
      </c>
    </row>
    <row r="555" spans="1:12" x14ac:dyDescent="0.35">
      <c r="A555">
        <v>553</v>
      </c>
      <c r="B555" t="s">
        <v>63</v>
      </c>
      <c r="C555">
        <v>731737</v>
      </c>
      <c r="D555">
        <v>731737</v>
      </c>
      <c r="G555">
        <v>553</v>
      </c>
      <c r="H555" t="s">
        <v>63</v>
      </c>
      <c r="I555">
        <v>731737</v>
      </c>
      <c r="J555">
        <v>3761758</v>
      </c>
      <c r="K555">
        <v>84.999999998952305</v>
      </c>
      <c r="L555">
        <v>731737</v>
      </c>
    </row>
    <row r="556" spans="1:12" x14ac:dyDescent="0.35">
      <c r="A556">
        <v>554</v>
      </c>
      <c r="B556" t="s">
        <v>69</v>
      </c>
      <c r="C556">
        <v>731682.00000000105</v>
      </c>
      <c r="D556">
        <v>1463419</v>
      </c>
      <c r="G556">
        <v>554</v>
      </c>
      <c r="H556" t="s">
        <v>69</v>
      </c>
      <c r="I556">
        <v>731682.00000000105</v>
      </c>
      <c r="J556">
        <v>3761788</v>
      </c>
      <c r="K556">
        <v>0</v>
      </c>
      <c r="L556">
        <v>1463419</v>
      </c>
    </row>
    <row r="557" spans="1:12" x14ac:dyDescent="0.35">
      <c r="A557">
        <v>555</v>
      </c>
      <c r="B557" t="s">
        <v>63</v>
      </c>
      <c r="C557">
        <v>731682.00000000105</v>
      </c>
      <c r="D557">
        <v>731682.00000000105</v>
      </c>
      <c r="G557">
        <v>555</v>
      </c>
      <c r="H557" t="s">
        <v>63</v>
      </c>
      <c r="I557">
        <v>731682.00000000105</v>
      </c>
      <c r="J557">
        <v>3761788</v>
      </c>
      <c r="K557">
        <v>82.000000001047695</v>
      </c>
      <c r="L557">
        <v>731682.00000000105</v>
      </c>
    </row>
    <row r="558" spans="1:12" x14ac:dyDescent="0.35">
      <c r="A558">
        <v>556</v>
      </c>
      <c r="B558" t="s">
        <v>69</v>
      </c>
      <c r="C558">
        <v>731650</v>
      </c>
      <c r="D558">
        <v>1463332</v>
      </c>
      <c r="G558">
        <v>556</v>
      </c>
      <c r="H558" t="s">
        <v>69</v>
      </c>
      <c r="I558">
        <v>731650</v>
      </c>
      <c r="J558">
        <v>3761738</v>
      </c>
      <c r="K558">
        <v>0</v>
      </c>
      <c r="L558">
        <v>1463332</v>
      </c>
    </row>
    <row r="559" spans="1:12" x14ac:dyDescent="0.35">
      <c r="A559">
        <v>557</v>
      </c>
      <c r="B559" t="s">
        <v>63</v>
      </c>
      <c r="C559">
        <v>731650</v>
      </c>
      <c r="D559">
        <v>731650</v>
      </c>
      <c r="G559">
        <v>557</v>
      </c>
      <c r="H559" t="s">
        <v>63</v>
      </c>
      <c r="I559">
        <v>731650</v>
      </c>
      <c r="J559">
        <v>3761738</v>
      </c>
      <c r="K559">
        <v>99</v>
      </c>
      <c r="L559">
        <v>731650</v>
      </c>
    </row>
    <row r="560" spans="1:12" x14ac:dyDescent="0.35">
      <c r="A560">
        <v>558</v>
      </c>
      <c r="B560" t="s">
        <v>69</v>
      </c>
      <c r="C560">
        <v>731604</v>
      </c>
      <c r="D560">
        <v>1463254</v>
      </c>
      <c r="G560">
        <v>558</v>
      </c>
      <c r="H560" t="s">
        <v>69</v>
      </c>
      <c r="I560">
        <v>731604</v>
      </c>
      <c r="J560">
        <v>3761685</v>
      </c>
      <c r="K560">
        <v>256.00000000104802</v>
      </c>
      <c r="L560">
        <v>1463254</v>
      </c>
    </row>
    <row r="561" spans="1:12" x14ac:dyDescent="0.35">
      <c r="A561">
        <v>559</v>
      </c>
      <c r="B561" t="s">
        <v>63</v>
      </c>
      <c r="C561">
        <v>731746.00000000105</v>
      </c>
      <c r="D561">
        <v>731746.00000000105</v>
      </c>
      <c r="G561">
        <v>559</v>
      </c>
      <c r="H561" t="s">
        <v>63</v>
      </c>
      <c r="I561">
        <v>731746.00000000105</v>
      </c>
      <c r="J561">
        <v>3761799</v>
      </c>
      <c r="K561">
        <v>34.000000001047702</v>
      </c>
      <c r="L561">
        <v>731746.00000000105</v>
      </c>
    </row>
    <row r="562" spans="1:12" x14ac:dyDescent="0.35">
      <c r="A562">
        <v>560</v>
      </c>
      <c r="B562" t="s">
        <v>69</v>
      </c>
      <c r="C562">
        <v>731745</v>
      </c>
      <c r="D562">
        <v>1463491</v>
      </c>
      <c r="G562">
        <v>560</v>
      </c>
      <c r="H562" t="s">
        <v>69</v>
      </c>
      <c r="I562">
        <v>731745</v>
      </c>
      <c r="J562">
        <v>3761832</v>
      </c>
      <c r="K562">
        <v>0</v>
      </c>
      <c r="L562">
        <v>1463491</v>
      </c>
    </row>
    <row r="563" spans="1:12" x14ac:dyDescent="0.35">
      <c r="A563">
        <v>561</v>
      </c>
      <c r="B563" t="s">
        <v>63</v>
      </c>
      <c r="C563">
        <v>731745</v>
      </c>
      <c r="D563">
        <v>731745</v>
      </c>
      <c r="G563">
        <v>561</v>
      </c>
      <c r="H563" t="s">
        <v>63</v>
      </c>
      <c r="I563">
        <v>731745</v>
      </c>
      <c r="J563">
        <v>3761832</v>
      </c>
      <c r="K563">
        <v>1.0000000010477399</v>
      </c>
      <c r="L563">
        <v>731745</v>
      </c>
    </row>
    <row r="564" spans="1:12" x14ac:dyDescent="0.35">
      <c r="A564">
        <v>562</v>
      </c>
      <c r="B564" t="s">
        <v>69</v>
      </c>
      <c r="C564">
        <v>731746.00000000105</v>
      </c>
      <c r="D564">
        <v>1463491</v>
      </c>
      <c r="G564">
        <v>562</v>
      </c>
      <c r="H564" t="s">
        <v>69</v>
      </c>
      <c r="I564">
        <v>731746.00000000105</v>
      </c>
      <c r="J564">
        <v>3761832</v>
      </c>
      <c r="K564">
        <v>0</v>
      </c>
      <c r="L564">
        <v>1463491</v>
      </c>
    </row>
    <row r="565" spans="1:12" x14ac:dyDescent="0.35">
      <c r="A565">
        <v>563</v>
      </c>
      <c r="B565" t="s">
        <v>63</v>
      </c>
      <c r="C565">
        <v>731746.00000000105</v>
      </c>
      <c r="D565">
        <v>731746.00000000105</v>
      </c>
      <c r="G565">
        <v>563</v>
      </c>
      <c r="H565" t="s">
        <v>63</v>
      </c>
      <c r="I565">
        <v>731746.00000000105</v>
      </c>
      <c r="J565">
        <v>3761832</v>
      </c>
      <c r="K565">
        <v>88.000000001047695</v>
      </c>
      <c r="L565">
        <v>731746.00000000105</v>
      </c>
    </row>
    <row r="566" spans="1:12" x14ac:dyDescent="0.35">
      <c r="A566">
        <v>564</v>
      </c>
      <c r="B566" t="s">
        <v>69</v>
      </c>
      <c r="C566">
        <v>731745</v>
      </c>
      <c r="D566">
        <v>1463491</v>
      </c>
      <c r="G566">
        <v>564</v>
      </c>
      <c r="H566" t="s">
        <v>69</v>
      </c>
      <c r="I566">
        <v>731745</v>
      </c>
      <c r="J566">
        <v>3761919</v>
      </c>
      <c r="K566">
        <v>224.999999998021</v>
      </c>
      <c r="L566">
        <v>1463491</v>
      </c>
    </row>
    <row r="567" spans="1:12" x14ac:dyDescent="0.35">
      <c r="A567">
        <v>565</v>
      </c>
      <c r="B567" t="s">
        <v>63</v>
      </c>
      <c r="C567">
        <v>731715.00000000198</v>
      </c>
      <c r="D567">
        <v>731715.00000000198</v>
      </c>
      <c r="G567">
        <v>565</v>
      </c>
      <c r="H567" t="s">
        <v>63</v>
      </c>
      <c r="I567">
        <v>731715.00000000198</v>
      </c>
      <c r="J567">
        <v>3761724</v>
      </c>
      <c r="K567">
        <v>68.999999999068706</v>
      </c>
      <c r="L567">
        <v>731715.00000000198</v>
      </c>
    </row>
    <row r="568" spans="1:12" x14ac:dyDescent="0.35">
      <c r="A568">
        <v>566</v>
      </c>
      <c r="B568" t="s">
        <v>69</v>
      </c>
      <c r="C568">
        <v>731764.00000000105</v>
      </c>
      <c r="D568">
        <v>1463479</v>
      </c>
      <c r="G568">
        <v>566</v>
      </c>
      <c r="H568" t="s">
        <v>69</v>
      </c>
      <c r="I568">
        <v>731764.00000000105</v>
      </c>
      <c r="J568">
        <v>3761704</v>
      </c>
      <c r="K568">
        <v>0</v>
      </c>
      <c r="L568">
        <v>1463479</v>
      </c>
    </row>
    <row r="569" spans="1:12" x14ac:dyDescent="0.35">
      <c r="A569">
        <v>567</v>
      </c>
      <c r="B569" t="s">
        <v>63</v>
      </c>
      <c r="C569">
        <v>731764.00000000105</v>
      </c>
      <c r="D569">
        <v>731764.00000000105</v>
      </c>
      <c r="G569">
        <v>567</v>
      </c>
      <c r="H569" t="s">
        <v>63</v>
      </c>
      <c r="I569">
        <v>731764.00000000105</v>
      </c>
      <c r="J569">
        <v>3761704</v>
      </c>
      <c r="K569">
        <v>91.999999998952305</v>
      </c>
      <c r="L569">
        <v>731764.00000000105</v>
      </c>
    </row>
    <row r="570" spans="1:12" x14ac:dyDescent="0.35">
      <c r="A570">
        <v>568</v>
      </c>
      <c r="B570" t="s">
        <v>69</v>
      </c>
      <c r="C570">
        <v>731819</v>
      </c>
      <c r="D570">
        <v>1463583</v>
      </c>
      <c r="G570">
        <v>568</v>
      </c>
      <c r="H570" t="s">
        <v>69</v>
      </c>
      <c r="I570">
        <v>731819</v>
      </c>
      <c r="J570">
        <v>3761667</v>
      </c>
      <c r="K570">
        <v>224.99999999895201</v>
      </c>
      <c r="L570">
        <v>1463583</v>
      </c>
    </row>
    <row r="571" spans="1:12" x14ac:dyDescent="0.35">
      <c r="A571">
        <v>569</v>
      </c>
      <c r="B571" t="s">
        <v>63</v>
      </c>
      <c r="C571">
        <v>731621.00000000105</v>
      </c>
      <c r="D571">
        <v>731621.00000000105</v>
      </c>
      <c r="G571">
        <v>569</v>
      </c>
      <c r="H571" t="s">
        <v>63</v>
      </c>
      <c r="I571">
        <v>731621.00000000105</v>
      </c>
      <c r="J571">
        <v>3761640</v>
      </c>
      <c r="K571">
        <v>72</v>
      </c>
      <c r="L571">
        <v>731621.00000000105</v>
      </c>
    </row>
    <row r="572" spans="1:12" x14ac:dyDescent="0.35">
      <c r="A572">
        <v>570</v>
      </c>
      <c r="B572" t="s">
        <v>69</v>
      </c>
      <c r="C572">
        <v>731664.00000000105</v>
      </c>
      <c r="D572">
        <v>1463285</v>
      </c>
      <c r="G572">
        <v>570</v>
      </c>
      <c r="H572" t="s">
        <v>69</v>
      </c>
      <c r="I572">
        <v>731664.00000000105</v>
      </c>
      <c r="J572">
        <v>3761669</v>
      </c>
      <c r="K572">
        <v>72</v>
      </c>
      <c r="L572">
        <v>1463285</v>
      </c>
    </row>
    <row r="573" spans="1:12" x14ac:dyDescent="0.35">
      <c r="A573">
        <v>571</v>
      </c>
      <c r="B573" t="s">
        <v>63</v>
      </c>
      <c r="C573">
        <v>731621.00000000105</v>
      </c>
      <c r="D573">
        <v>731621.00000000105</v>
      </c>
      <c r="G573">
        <v>571</v>
      </c>
      <c r="H573" t="s">
        <v>63</v>
      </c>
      <c r="I573">
        <v>731621.00000000105</v>
      </c>
      <c r="J573">
        <v>3761640</v>
      </c>
      <c r="K573">
        <v>52.000000001047702</v>
      </c>
      <c r="L573">
        <v>731621.00000000105</v>
      </c>
    </row>
    <row r="574" spans="1:12" x14ac:dyDescent="0.35">
      <c r="A574">
        <v>572</v>
      </c>
      <c r="B574" t="s">
        <v>69</v>
      </c>
      <c r="C574">
        <v>731589</v>
      </c>
      <c r="D574">
        <v>1463210</v>
      </c>
      <c r="G574">
        <v>572</v>
      </c>
      <c r="H574" t="s">
        <v>69</v>
      </c>
      <c r="I574">
        <v>731589</v>
      </c>
      <c r="J574">
        <v>3761620</v>
      </c>
      <c r="K574">
        <v>0</v>
      </c>
      <c r="L574">
        <v>1463210</v>
      </c>
    </row>
    <row r="575" spans="1:12" x14ac:dyDescent="0.35">
      <c r="A575">
        <v>573</v>
      </c>
      <c r="B575" t="s">
        <v>63</v>
      </c>
      <c r="C575">
        <v>731589</v>
      </c>
      <c r="D575">
        <v>731589</v>
      </c>
      <c r="G575">
        <v>573</v>
      </c>
      <c r="H575" t="s">
        <v>63</v>
      </c>
      <c r="I575">
        <v>731589</v>
      </c>
      <c r="J575">
        <v>3761620</v>
      </c>
      <c r="K575">
        <v>39.999999998020897</v>
      </c>
      <c r="L575">
        <v>731589</v>
      </c>
    </row>
    <row r="576" spans="1:12" x14ac:dyDescent="0.35">
      <c r="A576">
        <v>574</v>
      </c>
      <c r="B576" t="s">
        <v>69</v>
      </c>
      <c r="C576">
        <v>731582.00000000198</v>
      </c>
      <c r="D576">
        <v>1463171</v>
      </c>
      <c r="G576">
        <v>574</v>
      </c>
      <c r="H576" t="s">
        <v>69</v>
      </c>
      <c r="I576">
        <v>731582.00000000198</v>
      </c>
      <c r="J576">
        <v>3761587</v>
      </c>
      <c r="K576">
        <v>0</v>
      </c>
      <c r="L576">
        <v>1463171</v>
      </c>
    </row>
    <row r="577" spans="1:12" x14ac:dyDescent="0.35">
      <c r="A577">
        <v>575</v>
      </c>
      <c r="B577" t="s">
        <v>63</v>
      </c>
      <c r="C577">
        <v>731582.00000000198</v>
      </c>
      <c r="D577">
        <v>731582.00000000198</v>
      </c>
      <c r="G577">
        <v>575</v>
      </c>
      <c r="H577" t="s">
        <v>63</v>
      </c>
      <c r="I577">
        <v>731582.00000000198</v>
      </c>
      <c r="J577">
        <v>3761587</v>
      </c>
      <c r="K577">
        <v>33.000000000931301</v>
      </c>
      <c r="L577">
        <v>731582.00000000198</v>
      </c>
    </row>
    <row r="578" spans="1:12" x14ac:dyDescent="0.35">
      <c r="A578">
        <v>576</v>
      </c>
      <c r="B578" t="s">
        <v>69</v>
      </c>
      <c r="C578">
        <v>731572.00000000105</v>
      </c>
      <c r="D578">
        <v>1463154</v>
      </c>
      <c r="G578">
        <v>576</v>
      </c>
      <c r="H578" t="s">
        <v>69</v>
      </c>
      <c r="I578">
        <v>731572.00000000105</v>
      </c>
      <c r="J578">
        <v>3761564</v>
      </c>
      <c r="K578">
        <v>0</v>
      </c>
      <c r="L578">
        <v>1463154</v>
      </c>
    </row>
    <row r="579" spans="1:12" x14ac:dyDescent="0.35">
      <c r="A579">
        <v>577</v>
      </c>
      <c r="B579" t="s">
        <v>63</v>
      </c>
      <c r="C579">
        <v>731572.00000000105</v>
      </c>
      <c r="D579">
        <v>731572.00000000105</v>
      </c>
      <c r="G579">
        <v>577</v>
      </c>
      <c r="H579" t="s">
        <v>63</v>
      </c>
      <c r="I579">
        <v>731572.00000000105</v>
      </c>
      <c r="J579">
        <v>3761564</v>
      </c>
      <c r="K579">
        <v>10.999999999068701</v>
      </c>
      <c r="L579">
        <v>731572.00000000105</v>
      </c>
    </row>
    <row r="580" spans="1:12" x14ac:dyDescent="0.35">
      <c r="A580">
        <v>578</v>
      </c>
      <c r="B580" t="s">
        <v>69</v>
      </c>
      <c r="C580">
        <v>731569.00000000198</v>
      </c>
      <c r="D580">
        <v>1463141</v>
      </c>
      <c r="G580">
        <v>578</v>
      </c>
      <c r="H580" t="s">
        <v>69</v>
      </c>
      <c r="I580">
        <v>731569.00000000198</v>
      </c>
      <c r="J580">
        <v>3761556</v>
      </c>
      <c r="K580">
        <v>0</v>
      </c>
      <c r="L580">
        <v>1463141</v>
      </c>
    </row>
    <row r="581" spans="1:12" x14ac:dyDescent="0.35">
      <c r="A581">
        <v>579</v>
      </c>
      <c r="B581" t="s">
        <v>63</v>
      </c>
      <c r="C581">
        <v>731569.00000000198</v>
      </c>
      <c r="D581">
        <v>731569.00000000198</v>
      </c>
      <c r="G581">
        <v>579</v>
      </c>
      <c r="H581" t="s">
        <v>63</v>
      </c>
      <c r="I581">
        <v>731569.00000000198</v>
      </c>
      <c r="J581">
        <v>3761556</v>
      </c>
      <c r="K581">
        <v>44.999999999068699</v>
      </c>
      <c r="L581">
        <v>731569.00000000198</v>
      </c>
    </row>
    <row r="582" spans="1:12" x14ac:dyDescent="0.35">
      <c r="A582">
        <v>580</v>
      </c>
      <c r="B582" t="s">
        <v>69</v>
      </c>
      <c r="C582">
        <v>731590.00000000105</v>
      </c>
      <c r="D582">
        <v>1463159</v>
      </c>
      <c r="G582">
        <v>580</v>
      </c>
      <c r="H582" t="s">
        <v>69</v>
      </c>
      <c r="I582">
        <v>731590.00000000105</v>
      </c>
      <c r="J582">
        <v>3761532</v>
      </c>
      <c r="K582">
        <v>54.000000001047702</v>
      </c>
      <c r="L582">
        <v>1463159</v>
      </c>
    </row>
    <row r="583" spans="1:12" x14ac:dyDescent="0.35">
      <c r="A583">
        <v>581</v>
      </c>
      <c r="B583" t="s">
        <v>63</v>
      </c>
      <c r="C583">
        <v>731573</v>
      </c>
      <c r="D583">
        <v>731573</v>
      </c>
      <c r="G583">
        <v>581</v>
      </c>
      <c r="H583" t="s">
        <v>63</v>
      </c>
      <c r="I583">
        <v>731573</v>
      </c>
      <c r="J583">
        <v>3761569</v>
      </c>
      <c r="K583">
        <v>105.999999998021</v>
      </c>
      <c r="L583">
        <v>731573</v>
      </c>
    </row>
    <row r="584" spans="1:12" x14ac:dyDescent="0.35">
      <c r="A584">
        <v>582</v>
      </c>
      <c r="B584" t="s">
        <v>69</v>
      </c>
      <c r="C584">
        <v>731536.00000000198</v>
      </c>
      <c r="D584">
        <v>1463109</v>
      </c>
      <c r="G584">
        <v>582</v>
      </c>
      <c r="H584" t="s">
        <v>69</v>
      </c>
      <c r="I584">
        <v>731536.00000000198</v>
      </c>
      <c r="J584">
        <v>3761638</v>
      </c>
      <c r="K584">
        <v>0</v>
      </c>
      <c r="L584">
        <v>1463109</v>
      </c>
    </row>
    <row r="585" spans="1:12" x14ac:dyDescent="0.35">
      <c r="A585">
        <v>583</v>
      </c>
      <c r="B585" t="s">
        <v>63</v>
      </c>
      <c r="C585">
        <v>731536.00000000198</v>
      </c>
      <c r="D585">
        <v>731536.00000000198</v>
      </c>
      <c r="G585">
        <v>583</v>
      </c>
      <c r="H585" t="s">
        <v>63</v>
      </c>
      <c r="I585">
        <v>731536.00000000198</v>
      </c>
      <c r="J585">
        <v>3761638</v>
      </c>
      <c r="K585">
        <v>50.000000001979103</v>
      </c>
      <c r="L585">
        <v>731536.00000000198</v>
      </c>
    </row>
    <row r="586" spans="1:12" x14ac:dyDescent="0.35">
      <c r="A586">
        <v>584</v>
      </c>
      <c r="B586" t="s">
        <v>69</v>
      </c>
      <c r="C586">
        <v>731522</v>
      </c>
      <c r="D586">
        <v>1463058</v>
      </c>
      <c r="G586">
        <v>584</v>
      </c>
      <c r="H586" t="s">
        <v>69</v>
      </c>
      <c r="I586">
        <v>731522</v>
      </c>
      <c r="J586">
        <v>3761674</v>
      </c>
      <c r="K586">
        <v>0</v>
      </c>
      <c r="L586">
        <v>1463058</v>
      </c>
    </row>
    <row r="587" spans="1:12" x14ac:dyDescent="0.35">
      <c r="A587">
        <v>585</v>
      </c>
      <c r="B587" t="s">
        <v>63</v>
      </c>
      <c r="C587">
        <v>731522</v>
      </c>
      <c r="D587">
        <v>731522</v>
      </c>
      <c r="G587">
        <v>585</v>
      </c>
      <c r="H587" t="s">
        <v>63</v>
      </c>
      <c r="I587">
        <v>731522</v>
      </c>
      <c r="J587">
        <v>3761674</v>
      </c>
      <c r="K587">
        <v>52.999999998952298</v>
      </c>
      <c r="L587">
        <v>731522</v>
      </c>
    </row>
    <row r="588" spans="1:12" x14ac:dyDescent="0.35">
      <c r="A588">
        <v>586</v>
      </c>
      <c r="B588" t="s">
        <v>69</v>
      </c>
      <c r="C588">
        <v>731496.00000000105</v>
      </c>
      <c r="D588">
        <v>1463018</v>
      </c>
      <c r="G588">
        <v>586</v>
      </c>
      <c r="H588" t="s">
        <v>69</v>
      </c>
      <c r="I588">
        <v>731496.00000000105</v>
      </c>
      <c r="J588">
        <v>3761701</v>
      </c>
      <c r="K588">
        <v>302</v>
      </c>
      <c r="L588">
        <v>1463018</v>
      </c>
    </row>
    <row r="589" spans="1:12" x14ac:dyDescent="0.35">
      <c r="A589">
        <v>587</v>
      </c>
      <c r="B589" t="s">
        <v>63</v>
      </c>
      <c r="C589">
        <v>731549.00000000105</v>
      </c>
      <c r="D589">
        <v>731549.00000000105</v>
      </c>
      <c r="G589">
        <v>587</v>
      </c>
      <c r="H589" t="s">
        <v>63</v>
      </c>
      <c r="I589">
        <v>731549.00000000105</v>
      </c>
      <c r="J589">
        <v>3761452</v>
      </c>
      <c r="K589">
        <v>0</v>
      </c>
      <c r="L589">
        <v>731549.00000000105</v>
      </c>
    </row>
    <row r="590" spans="1:12" x14ac:dyDescent="0.35">
      <c r="A590">
        <v>588</v>
      </c>
      <c r="B590" t="s">
        <v>69</v>
      </c>
      <c r="C590">
        <v>731549.00000000105</v>
      </c>
      <c r="D590">
        <v>1463098</v>
      </c>
      <c r="G590">
        <v>588</v>
      </c>
      <c r="H590" t="s">
        <v>69</v>
      </c>
      <c r="I590">
        <v>731549.00000000105</v>
      </c>
      <c r="J590">
        <v>3761452</v>
      </c>
      <c r="K590">
        <v>0</v>
      </c>
      <c r="L590">
        <v>1463098</v>
      </c>
    </row>
    <row r="591" spans="1:12" x14ac:dyDescent="0.35">
      <c r="A591">
        <v>589</v>
      </c>
      <c r="B591" t="s">
        <v>63</v>
      </c>
      <c r="C591">
        <v>731549.00000000105</v>
      </c>
      <c r="D591">
        <v>731549.00000000105</v>
      </c>
      <c r="G591">
        <v>589</v>
      </c>
      <c r="H591" t="s">
        <v>63</v>
      </c>
      <c r="I591">
        <v>731549.00000000105</v>
      </c>
      <c r="J591">
        <v>3761452</v>
      </c>
      <c r="K591">
        <v>71.000000002095504</v>
      </c>
      <c r="L591">
        <v>731549.00000000105</v>
      </c>
    </row>
    <row r="592" spans="1:12" x14ac:dyDescent="0.35">
      <c r="A592">
        <v>590</v>
      </c>
      <c r="B592" t="s">
        <v>69</v>
      </c>
      <c r="C592">
        <v>731527.99999999895</v>
      </c>
      <c r="D592">
        <v>1463077</v>
      </c>
      <c r="G592">
        <v>590</v>
      </c>
      <c r="H592" t="s">
        <v>69</v>
      </c>
      <c r="I592">
        <v>731527.99999999895</v>
      </c>
      <c r="J592">
        <v>3761402</v>
      </c>
      <c r="K592">
        <v>0</v>
      </c>
      <c r="L592">
        <v>1463077</v>
      </c>
    </row>
    <row r="593" spans="1:12" x14ac:dyDescent="0.35">
      <c r="A593">
        <v>591</v>
      </c>
      <c r="B593" t="s">
        <v>63</v>
      </c>
      <c r="C593">
        <v>731527.99999999895</v>
      </c>
      <c r="D593">
        <v>731527.99999999895</v>
      </c>
      <c r="G593">
        <v>591</v>
      </c>
      <c r="H593" t="s">
        <v>63</v>
      </c>
      <c r="I593">
        <v>731527.99999999895</v>
      </c>
      <c r="J593">
        <v>3761402</v>
      </c>
      <c r="K593">
        <v>69.999999996973202</v>
      </c>
      <c r="L593">
        <v>731527.99999999895</v>
      </c>
    </row>
    <row r="594" spans="1:12" x14ac:dyDescent="0.35">
      <c r="A594">
        <v>592</v>
      </c>
      <c r="B594" t="s">
        <v>69</v>
      </c>
      <c r="C594">
        <v>731500.00000000198</v>
      </c>
      <c r="D594">
        <v>1463028</v>
      </c>
      <c r="G594">
        <v>592</v>
      </c>
      <c r="H594" t="s">
        <v>69</v>
      </c>
      <c r="I594">
        <v>731500.00000000198</v>
      </c>
      <c r="J594">
        <v>3761360</v>
      </c>
      <c r="K594">
        <v>721.99999999802105</v>
      </c>
      <c r="L594">
        <v>1463028</v>
      </c>
    </row>
    <row r="595" spans="1:12" x14ac:dyDescent="0.35">
      <c r="A595">
        <v>593</v>
      </c>
      <c r="B595" t="s">
        <v>63</v>
      </c>
      <c r="C595">
        <v>731845</v>
      </c>
      <c r="D595">
        <v>731845</v>
      </c>
      <c r="G595">
        <v>593</v>
      </c>
      <c r="H595" t="s">
        <v>63</v>
      </c>
      <c r="I595">
        <v>731845</v>
      </c>
      <c r="J595">
        <v>3761737</v>
      </c>
      <c r="K595">
        <v>0</v>
      </c>
      <c r="L595">
        <v>731845</v>
      </c>
    </row>
    <row r="596" spans="1:12" x14ac:dyDescent="0.35">
      <c r="A596">
        <v>594</v>
      </c>
      <c r="B596" t="s">
        <v>69</v>
      </c>
      <c r="C596">
        <v>731845</v>
      </c>
      <c r="D596">
        <v>1463690</v>
      </c>
      <c r="G596">
        <v>594</v>
      </c>
      <c r="H596" t="s">
        <v>69</v>
      </c>
      <c r="I596">
        <v>731845</v>
      </c>
      <c r="J596">
        <v>3761737</v>
      </c>
      <c r="K596">
        <v>0</v>
      </c>
      <c r="L596">
        <v>1463690</v>
      </c>
    </row>
    <row r="597" spans="1:12" x14ac:dyDescent="0.35">
      <c r="A597">
        <v>595</v>
      </c>
      <c r="B597" t="s">
        <v>63</v>
      </c>
      <c r="C597">
        <v>731845</v>
      </c>
      <c r="D597">
        <v>731845</v>
      </c>
      <c r="G597">
        <v>595</v>
      </c>
      <c r="H597" t="s">
        <v>63</v>
      </c>
      <c r="I597">
        <v>731845</v>
      </c>
      <c r="J597">
        <v>3761737</v>
      </c>
      <c r="K597">
        <v>48.000000001047702</v>
      </c>
      <c r="L597">
        <v>731845</v>
      </c>
    </row>
    <row r="598" spans="1:12" x14ac:dyDescent="0.35">
      <c r="A598">
        <v>596</v>
      </c>
      <c r="B598" t="s">
        <v>69</v>
      </c>
      <c r="C598">
        <v>731864.00000000105</v>
      </c>
      <c r="D598">
        <v>1463709</v>
      </c>
      <c r="G598">
        <v>596</v>
      </c>
      <c r="H598" t="s">
        <v>69</v>
      </c>
      <c r="I598">
        <v>731864.00000000105</v>
      </c>
      <c r="J598">
        <v>3761708</v>
      </c>
      <c r="K598">
        <v>1183.00000000105</v>
      </c>
      <c r="L598">
        <v>1463709</v>
      </c>
    </row>
    <row r="599" spans="1:12" x14ac:dyDescent="0.35">
      <c r="A599">
        <v>597</v>
      </c>
      <c r="B599" t="s">
        <v>63</v>
      </c>
      <c r="C599">
        <v>731602</v>
      </c>
      <c r="D599">
        <v>731602</v>
      </c>
      <c r="G599">
        <v>597</v>
      </c>
      <c r="H599" t="s">
        <v>63</v>
      </c>
      <c r="I599">
        <v>731602</v>
      </c>
      <c r="J599">
        <v>3762629</v>
      </c>
      <c r="K599">
        <v>0</v>
      </c>
      <c r="L599">
        <v>731602</v>
      </c>
    </row>
    <row r="600" spans="1:12" x14ac:dyDescent="0.35">
      <c r="A600">
        <v>598</v>
      </c>
      <c r="B600" t="s">
        <v>69</v>
      </c>
      <c r="C600">
        <v>731602</v>
      </c>
      <c r="D600">
        <v>1463204</v>
      </c>
      <c r="G600">
        <v>598</v>
      </c>
      <c r="H600" t="s">
        <v>69</v>
      </c>
      <c r="I600">
        <v>731602</v>
      </c>
      <c r="J600">
        <v>3762629</v>
      </c>
      <c r="K600">
        <v>0</v>
      </c>
      <c r="L600">
        <v>1463204</v>
      </c>
    </row>
    <row r="601" spans="1:12" x14ac:dyDescent="0.35">
      <c r="A601">
        <v>599</v>
      </c>
      <c r="B601" t="s">
        <v>63</v>
      </c>
      <c r="C601">
        <v>731602</v>
      </c>
      <c r="D601">
        <v>731602</v>
      </c>
      <c r="G601">
        <v>599</v>
      </c>
      <c r="H601" t="s">
        <v>63</v>
      </c>
      <c r="I601">
        <v>731602</v>
      </c>
      <c r="J601">
        <v>3762629</v>
      </c>
      <c r="K601">
        <v>31.000000001047699</v>
      </c>
      <c r="L601">
        <v>731602</v>
      </c>
    </row>
    <row r="602" spans="1:12" x14ac:dyDescent="0.35">
      <c r="A602">
        <v>600</v>
      </c>
      <c r="B602" t="s">
        <v>69</v>
      </c>
      <c r="C602">
        <v>731629.00000000105</v>
      </c>
      <c r="D602">
        <v>1463231</v>
      </c>
      <c r="G602">
        <v>600</v>
      </c>
      <c r="H602" t="s">
        <v>69</v>
      </c>
      <c r="I602">
        <v>731629.00000000105</v>
      </c>
      <c r="J602">
        <v>3762625</v>
      </c>
      <c r="K602">
        <v>0</v>
      </c>
      <c r="L602">
        <v>1463231</v>
      </c>
    </row>
    <row r="603" spans="1:12" x14ac:dyDescent="0.35">
      <c r="A603">
        <v>601</v>
      </c>
      <c r="B603" t="s">
        <v>63</v>
      </c>
      <c r="C603">
        <v>731629.00000000105</v>
      </c>
      <c r="D603">
        <v>731629.00000000105</v>
      </c>
      <c r="G603">
        <v>601</v>
      </c>
      <c r="H603" t="s">
        <v>63</v>
      </c>
      <c r="I603">
        <v>731629.00000000105</v>
      </c>
      <c r="J603">
        <v>3762625</v>
      </c>
      <c r="K603">
        <v>22.000000001047699</v>
      </c>
      <c r="L603">
        <v>731629.00000000105</v>
      </c>
    </row>
    <row r="604" spans="1:12" x14ac:dyDescent="0.35">
      <c r="A604">
        <v>602</v>
      </c>
      <c r="B604" t="s">
        <v>69</v>
      </c>
      <c r="C604">
        <v>731622</v>
      </c>
      <c r="D604">
        <v>1463251</v>
      </c>
      <c r="G604">
        <v>602</v>
      </c>
      <c r="H604" t="s">
        <v>69</v>
      </c>
      <c r="I604">
        <v>731622</v>
      </c>
      <c r="J604">
        <v>3762610</v>
      </c>
      <c r="K604">
        <v>0</v>
      </c>
      <c r="L604">
        <v>1463251</v>
      </c>
    </row>
    <row r="605" spans="1:12" x14ac:dyDescent="0.35">
      <c r="A605">
        <v>603</v>
      </c>
      <c r="B605" t="s">
        <v>63</v>
      </c>
      <c r="C605">
        <v>731622</v>
      </c>
      <c r="D605">
        <v>731622</v>
      </c>
      <c r="G605">
        <v>603</v>
      </c>
      <c r="H605" t="s">
        <v>63</v>
      </c>
      <c r="I605">
        <v>731622</v>
      </c>
      <c r="J605">
        <v>3762610</v>
      </c>
      <c r="K605">
        <v>49.000000001979103</v>
      </c>
      <c r="L605">
        <v>731622</v>
      </c>
    </row>
    <row r="606" spans="1:12" x14ac:dyDescent="0.35">
      <c r="A606">
        <v>604</v>
      </c>
      <c r="B606" t="s">
        <v>69</v>
      </c>
      <c r="C606">
        <v>731633.00000000198</v>
      </c>
      <c r="D606">
        <v>1463255</v>
      </c>
      <c r="G606">
        <v>604</v>
      </c>
      <c r="H606" t="s">
        <v>69</v>
      </c>
      <c r="I606">
        <v>731633.00000000198</v>
      </c>
      <c r="J606">
        <v>3762572</v>
      </c>
      <c r="K606">
        <v>0</v>
      </c>
      <c r="L606">
        <v>1463255</v>
      </c>
    </row>
    <row r="607" spans="1:12" x14ac:dyDescent="0.35">
      <c r="A607">
        <v>605</v>
      </c>
      <c r="B607" t="s">
        <v>63</v>
      </c>
      <c r="C607">
        <v>731633.00000000198</v>
      </c>
      <c r="D607">
        <v>731633.00000000198</v>
      </c>
      <c r="G607">
        <v>605</v>
      </c>
      <c r="H607" t="s">
        <v>63</v>
      </c>
      <c r="I607">
        <v>731633.00000000198</v>
      </c>
      <c r="J607">
        <v>3762572</v>
      </c>
      <c r="K607">
        <v>10.000000000931299</v>
      </c>
      <c r="L607">
        <v>731633.00000000198</v>
      </c>
    </row>
    <row r="608" spans="1:12" x14ac:dyDescent="0.35">
      <c r="A608">
        <v>606</v>
      </c>
      <c r="B608" t="s">
        <v>69</v>
      </c>
      <c r="C608">
        <v>731626.00000000105</v>
      </c>
      <c r="D608">
        <v>1463259</v>
      </c>
      <c r="G608">
        <v>606</v>
      </c>
      <c r="H608" t="s">
        <v>69</v>
      </c>
      <c r="I608">
        <v>731626.00000000105</v>
      </c>
      <c r="J608">
        <v>3762569</v>
      </c>
      <c r="K608">
        <v>0</v>
      </c>
      <c r="L608">
        <v>1463259</v>
      </c>
    </row>
    <row r="609" spans="1:12" x14ac:dyDescent="0.35">
      <c r="A609">
        <v>607</v>
      </c>
      <c r="B609" t="s">
        <v>63</v>
      </c>
      <c r="C609">
        <v>731626.00000000105</v>
      </c>
      <c r="D609">
        <v>731626.00000000105</v>
      </c>
      <c r="G609">
        <v>607</v>
      </c>
      <c r="H609" t="s">
        <v>63</v>
      </c>
      <c r="I609">
        <v>731626.00000000105</v>
      </c>
      <c r="J609">
        <v>3762569</v>
      </c>
      <c r="K609">
        <v>47.000000001047702</v>
      </c>
      <c r="L609">
        <v>731626.00000000105</v>
      </c>
    </row>
    <row r="610" spans="1:12" x14ac:dyDescent="0.35">
      <c r="A610">
        <v>608</v>
      </c>
      <c r="B610" t="s">
        <v>69</v>
      </c>
      <c r="C610">
        <v>731609</v>
      </c>
      <c r="D610">
        <v>1463235</v>
      </c>
      <c r="G610">
        <v>608</v>
      </c>
      <c r="H610" t="s">
        <v>69</v>
      </c>
      <c r="I610">
        <v>731609</v>
      </c>
      <c r="J610">
        <v>3762539</v>
      </c>
      <c r="K610">
        <v>0</v>
      </c>
      <c r="L610">
        <v>1463235</v>
      </c>
    </row>
    <row r="611" spans="1:12" x14ac:dyDescent="0.35">
      <c r="A611">
        <v>609</v>
      </c>
      <c r="B611" t="s">
        <v>63</v>
      </c>
      <c r="C611">
        <v>731609</v>
      </c>
      <c r="D611">
        <v>731609</v>
      </c>
      <c r="G611">
        <v>609</v>
      </c>
      <c r="H611" t="s">
        <v>63</v>
      </c>
      <c r="I611">
        <v>731609</v>
      </c>
      <c r="J611">
        <v>3762539</v>
      </c>
      <c r="K611">
        <v>4.9999999989522603</v>
      </c>
      <c r="L611">
        <v>731609</v>
      </c>
    </row>
    <row r="612" spans="1:12" x14ac:dyDescent="0.35">
      <c r="A612">
        <v>610</v>
      </c>
      <c r="B612" t="s">
        <v>69</v>
      </c>
      <c r="C612">
        <v>731608.00000000105</v>
      </c>
      <c r="D612">
        <v>1463217</v>
      </c>
      <c r="G612">
        <v>610</v>
      </c>
      <c r="H612" t="s">
        <v>69</v>
      </c>
      <c r="I612">
        <v>731608.00000000105</v>
      </c>
      <c r="J612">
        <v>3762535</v>
      </c>
      <c r="K612">
        <v>100.00000000104799</v>
      </c>
      <c r="L612">
        <v>1463217</v>
      </c>
    </row>
    <row r="613" spans="1:12" x14ac:dyDescent="0.35">
      <c r="A613">
        <v>611</v>
      </c>
      <c r="B613" t="s">
        <v>63</v>
      </c>
      <c r="C613">
        <v>731602</v>
      </c>
      <c r="D613">
        <v>731602</v>
      </c>
      <c r="G613">
        <v>611</v>
      </c>
      <c r="H613" t="s">
        <v>63</v>
      </c>
      <c r="I613">
        <v>731602</v>
      </c>
      <c r="J613">
        <v>3762629</v>
      </c>
      <c r="K613">
        <v>65.000000001047695</v>
      </c>
      <c r="L613">
        <v>731602</v>
      </c>
    </row>
    <row r="614" spans="1:12" x14ac:dyDescent="0.35">
      <c r="A614">
        <v>612</v>
      </c>
      <c r="B614" t="s">
        <v>69</v>
      </c>
      <c r="C614">
        <v>731573.99999999895</v>
      </c>
      <c r="D614">
        <v>1463176</v>
      </c>
      <c r="G614">
        <v>612</v>
      </c>
      <c r="H614" t="s">
        <v>69</v>
      </c>
      <c r="I614">
        <v>731573.99999999895</v>
      </c>
      <c r="J614">
        <v>3762592</v>
      </c>
      <c r="K614">
        <v>239.99999999895201</v>
      </c>
      <c r="L614">
        <v>1463176</v>
      </c>
    </row>
    <row r="615" spans="1:12" x14ac:dyDescent="0.35">
      <c r="A615">
        <v>613</v>
      </c>
      <c r="B615" t="s">
        <v>63</v>
      </c>
      <c r="C615">
        <v>731520</v>
      </c>
      <c r="D615">
        <v>731520</v>
      </c>
      <c r="G615">
        <v>613</v>
      </c>
      <c r="H615" t="s">
        <v>63</v>
      </c>
      <c r="I615">
        <v>731520</v>
      </c>
      <c r="J615">
        <v>3762406</v>
      </c>
      <c r="K615">
        <v>101.99999999895201</v>
      </c>
      <c r="L615">
        <v>731520</v>
      </c>
    </row>
    <row r="616" spans="1:12" x14ac:dyDescent="0.35">
      <c r="A616">
        <v>614</v>
      </c>
      <c r="B616" t="s">
        <v>69</v>
      </c>
      <c r="C616">
        <v>731493.00000000105</v>
      </c>
      <c r="D616">
        <v>1463013</v>
      </c>
      <c r="G616">
        <v>614</v>
      </c>
      <c r="H616" t="s">
        <v>69</v>
      </c>
      <c r="I616">
        <v>731493.00000000105</v>
      </c>
      <c r="J616">
        <v>3762481</v>
      </c>
      <c r="K616">
        <v>0</v>
      </c>
      <c r="L616">
        <v>1463013</v>
      </c>
    </row>
    <row r="617" spans="1:12" x14ac:dyDescent="0.35">
      <c r="A617">
        <v>615</v>
      </c>
      <c r="B617" t="s">
        <v>63</v>
      </c>
      <c r="C617">
        <v>731493.00000000105</v>
      </c>
      <c r="D617">
        <v>731493.00000000105</v>
      </c>
      <c r="G617">
        <v>615</v>
      </c>
      <c r="H617" t="s">
        <v>63</v>
      </c>
      <c r="I617">
        <v>731493.00000000105</v>
      </c>
      <c r="J617">
        <v>3762481</v>
      </c>
      <c r="K617">
        <v>76</v>
      </c>
      <c r="L617">
        <v>731493.00000000105</v>
      </c>
    </row>
    <row r="618" spans="1:12" x14ac:dyDescent="0.35">
      <c r="A618">
        <v>616</v>
      </c>
      <c r="B618" t="s">
        <v>69</v>
      </c>
      <c r="C618">
        <v>731457.00000000105</v>
      </c>
      <c r="D618">
        <v>1462950</v>
      </c>
      <c r="G618">
        <v>616</v>
      </c>
      <c r="H618" t="s">
        <v>69</v>
      </c>
      <c r="I618">
        <v>731457.00000000105</v>
      </c>
      <c r="J618">
        <v>3762441</v>
      </c>
      <c r="K618">
        <v>0</v>
      </c>
      <c r="L618">
        <v>1462950</v>
      </c>
    </row>
    <row r="619" spans="1:12" x14ac:dyDescent="0.35">
      <c r="A619">
        <v>617</v>
      </c>
      <c r="B619" t="s">
        <v>63</v>
      </c>
      <c r="C619">
        <v>731457.00000000105</v>
      </c>
      <c r="D619">
        <v>731457.00000000105</v>
      </c>
      <c r="G619">
        <v>617</v>
      </c>
      <c r="H619" t="s">
        <v>63</v>
      </c>
      <c r="I619">
        <v>731457.00000000105</v>
      </c>
      <c r="J619">
        <v>3762441</v>
      </c>
      <c r="K619">
        <v>74.000000001047695</v>
      </c>
      <c r="L619">
        <v>731457.00000000105</v>
      </c>
    </row>
    <row r="620" spans="1:12" x14ac:dyDescent="0.35">
      <c r="A620">
        <v>618</v>
      </c>
      <c r="B620" t="s">
        <v>69</v>
      </c>
      <c r="C620">
        <v>731420</v>
      </c>
      <c r="D620">
        <v>1462877</v>
      </c>
      <c r="G620">
        <v>618</v>
      </c>
      <c r="H620" t="s">
        <v>69</v>
      </c>
      <c r="I620">
        <v>731420</v>
      </c>
      <c r="J620">
        <v>3762404</v>
      </c>
      <c r="K620">
        <v>102</v>
      </c>
      <c r="L620">
        <v>1462877</v>
      </c>
    </row>
    <row r="621" spans="1:12" x14ac:dyDescent="0.35">
      <c r="A621">
        <v>619</v>
      </c>
      <c r="B621" t="s">
        <v>63</v>
      </c>
      <c r="C621">
        <v>731520</v>
      </c>
      <c r="D621">
        <v>731520</v>
      </c>
      <c r="G621">
        <v>619</v>
      </c>
      <c r="H621" t="s">
        <v>63</v>
      </c>
      <c r="I621">
        <v>731520</v>
      </c>
      <c r="J621">
        <v>3762406</v>
      </c>
      <c r="K621">
        <v>64.000000001047695</v>
      </c>
      <c r="L621">
        <v>731520</v>
      </c>
    </row>
    <row r="622" spans="1:12" x14ac:dyDescent="0.35">
      <c r="A622">
        <v>620</v>
      </c>
      <c r="B622" t="s">
        <v>69</v>
      </c>
      <c r="C622">
        <v>731562.00000000105</v>
      </c>
      <c r="D622">
        <v>1463082</v>
      </c>
      <c r="G622">
        <v>620</v>
      </c>
      <c r="H622" t="s">
        <v>69</v>
      </c>
      <c r="I622">
        <v>731562.00000000105</v>
      </c>
      <c r="J622">
        <v>3762428</v>
      </c>
      <c r="K622">
        <v>0</v>
      </c>
      <c r="L622">
        <v>1463082</v>
      </c>
    </row>
    <row r="623" spans="1:12" x14ac:dyDescent="0.35">
      <c r="A623">
        <v>621</v>
      </c>
      <c r="B623" t="s">
        <v>63</v>
      </c>
      <c r="C623">
        <v>731562.00000000105</v>
      </c>
      <c r="D623">
        <v>731562.00000000105</v>
      </c>
      <c r="G623">
        <v>621</v>
      </c>
      <c r="H623" t="s">
        <v>63</v>
      </c>
      <c r="I623">
        <v>731562.00000000105</v>
      </c>
      <c r="J623">
        <v>3762428</v>
      </c>
      <c r="K623">
        <v>72</v>
      </c>
      <c r="L623">
        <v>731562.00000000105</v>
      </c>
    </row>
    <row r="624" spans="1:12" x14ac:dyDescent="0.35">
      <c r="A624">
        <v>622</v>
      </c>
      <c r="B624" t="s">
        <v>69</v>
      </c>
      <c r="C624">
        <v>731634.00000000105</v>
      </c>
      <c r="D624">
        <v>1463196</v>
      </c>
      <c r="G624">
        <v>622</v>
      </c>
      <c r="H624" t="s">
        <v>69</v>
      </c>
      <c r="I624">
        <v>731634.00000000105</v>
      </c>
      <c r="J624">
        <v>3762428</v>
      </c>
      <c r="K624">
        <v>181.00000000104799</v>
      </c>
      <c r="L624">
        <v>1463196</v>
      </c>
    </row>
    <row r="625" spans="1:12" x14ac:dyDescent="0.35">
      <c r="A625">
        <v>623</v>
      </c>
      <c r="B625" t="s">
        <v>63</v>
      </c>
      <c r="C625">
        <v>731550</v>
      </c>
      <c r="D625">
        <v>731550</v>
      </c>
      <c r="G625">
        <v>623</v>
      </c>
      <c r="H625" t="s">
        <v>63</v>
      </c>
      <c r="I625">
        <v>731550</v>
      </c>
      <c r="J625">
        <v>3762331</v>
      </c>
      <c r="K625">
        <v>0</v>
      </c>
      <c r="L625">
        <v>731550</v>
      </c>
    </row>
    <row r="626" spans="1:12" x14ac:dyDescent="0.35">
      <c r="A626">
        <v>624</v>
      </c>
      <c r="B626" t="s">
        <v>69</v>
      </c>
      <c r="C626">
        <v>731550</v>
      </c>
      <c r="D626">
        <v>1463100</v>
      </c>
      <c r="G626">
        <v>624</v>
      </c>
      <c r="H626" t="s">
        <v>69</v>
      </c>
      <c r="I626">
        <v>731550</v>
      </c>
      <c r="J626">
        <v>3762331</v>
      </c>
      <c r="K626">
        <v>0</v>
      </c>
      <c r="L626">
        <v>1463100</v>
      </c>
    </row>
    <row r="627" spans="1:12" x14ac:dyDescent="0.35">
      <c r="A627">
        <v>625</v>
      </c>
      <c r="B627" t="s">
        <v>63</v>
      </c>
      <c r="C627">
        <v>731550</v>
      </c>
      <c r="D627">
        <v>731550</v>
      </c>
      <c r="G627">
        <v>625</v>
      </c>
      <c r="H627" t="s">
        <v>63</v>
      </c>
      <c r="I627">
        <v>731550</v>
      </c>
      <c r="J627">
        <v>3762331</v>
      </c>
      <c r="K627">
        <v>59</v>
      </c>
      <c r="L627">
        <v>731550</v>
      </c>
    </row>
    <row r="628" spans="1:12" x14ac:dyDescent="0.35">
      <c r="A628">
        <v>626</v>
      </c>
      <c r="B628" t="s">
        <v>69</v>
      </c>
      <c r="C628">
        <v>731533</v>
      </c>
      <c r="D628">
        <v>1463083</v>
      </c>
      <c r="G628">
        <v>626</v>
      </c>
      <c r="H628" t="s">
        <v>69</v>
      </c>
      <c r="I628">
        <v>731533</v>
      </c>
      <c r="J628">
        <v>3762373</v>
      </c>
      <c r="K628">
        <v>0</v>
      </c>
      <c r="L628">
        <v>1463083</v>
      </c>
    </row>
    <row r="629" spans="1:12" x14ac:dyDescent="0.35">
      <c r="A629">
        <v>627</v>
      </c>
      <c r="B629" t="s">
        <v>63</v>
      </c>
      <c r="C629">
        <v>731533</v>
      </c>
      <c r="D629">
        <v>731533</v>
      </c>
      <c r="G629">
        <v>627</v>
      </c>
      <c r="H629" t="s">
        <v>63</v>
      </c>
      <c r="I629">
        <v>731533</v>
      </c>
      <c r="J629">
        <v>3762373</v>
      </c>
      <c r="K629">
        <v>46.999999998020897</v>
      </c>
      <c r="L629">
        <v>731533</v>
      </c>
    </row>
    <row r="630" spans="1:12" x14ac:dyDescent="0.35">
      <c r="A630">
        <v>628</v>
      </c>
      <c r="B630" t="s">
        <v>69</v>
      </c>
      <c r="C630">
        <v>731518.00000000198</v>
      </c>
      <c r="D630">
        <v>1463051</v>
      </c>
      <c r="G630">
        <v>628</v>
      </c>
      <c r="H630" t="s">
        <v>69</v>
      </c>
      <c r="I630">
        <v>731518.00000000198</v>
      </c>
      <c r="J630">
        <v>3762405</v>
      </c>
      <c r="K630">
        <v>292.999999998021</v>
      </c>
      <c r="L630">
        <v>1463051</v>
      </c>
    </row>
    <row r="631" spans="1:12" x14ac:dyDescent="0.35">
      <c r="A631">
        <v>629</v>
      </c>
      <c r="B631" t="s">
        <v>63</v>
      </c>
      <c r="C631">
        <v>731625</v>
      </c>
      <c r="D631">
        <v>731625</v>
      </c>
      <c r="G631">
        <v>629</v>
      </c>
      <c r="H631" t="s">
        <v>63</v>
      </c>
      <c r="I631">
        <v>731625</v>
      </c>
      <c r="J631">
        <v>3762219</v>
      </c>
      <c r="K631">
        <v>46</v>
      </c>
      <c r="L631">
        <v>731625</v>
      </c>
    </row>
    <row r="632" spans="1:12" x14ac:dyDescent="0.35">
      <c r="A632">
        <v>630</v>
      </c>
      <c r="B632" t="s">
        <v>69</v>
      </c>
      <c r="C632">
        <v>731665</v>
      </c>
      <c r="D632">
        <v>1463290</v>
      </c>
      <c r="G632">
        <v>630</v>
      </c>
      <c r="H632" t="s">
        <v>69</v>
      </c>
      <c r="I632">
        <v>731665</v>
      </c>
      <c r="J632">
        <v>3762225</v>
      </c>
      <c r="K632">
        <v>0</v>
      </c>
      <c r="L632">
        <v>1463290</v>
      </c>
    </row>
    <row r="633" spans="1:12" x14ac:dyDescent="0.35">
      <c r="A633">
        <v>631</v>
      </c>
      <c r="B633" t="s">
        <v>63</v>
      </c>
      <c r="C633">
        <v>731665</v>
      </c>
      <c r="D633">
        <v>731665</v>
      </c>
      <c r="G633">
        <v>631</v>
      </c>
      <c r="H633" t="s">
        <v>63</v>
      </c>
      <c r="I633">
        <v>731665</v>
      </c>
      <c r="J633">
        <v>3762225</v>
      </c>
      <c r="K633">
        <v>40</v>
      </c>
      <c r="L633">
        <v>731665</v>
      </c>
    </row>
    <row r="634" spans="1:12" x14ac:dyDescent="0.35">
      <c r="A634">
        <v>632</v>
      </c>
      <c r="B634" t="s">
        <v>69</v>
      </c>
      <c r="C634">
        <v>731668</v>
      </c>
      <c r="D634">
        <v>1463333</v>
      </c>
      <c r="G634">
        <v>632</v>
      </c>
      <c r="H634" t="s">
        <v>69</v>
      </c>
      <c r="I634">
        <v>731668</v>
      </c>
      <c r="J634">
        <v>3762262</v>
      </c>
      <c r="K634">
        <v>0</v>
      </c>
      <c r="L634">
        <v>1463333</v>
      </c>
    </row>
    <row r="635" spans="1:12" x14ac:dyDescent="0.35">
      <c r="A635">
        <v>633</v>
      </c>
      <c r="B635" t="s">
        <v>63</v>
      </c>
      <c r="C635">
        <v>731668</v>
      </c>
      <c r="D635">
        <v>731668</v>
      </c>
      <c r="G635">
        <v>633</v>
      </c>
      <c r="H635" t="s">
        <v>63</v>
      </c>
      <c r="I635">
        <v>731668</v>
      </c>
      <c r="J635">
        <v>3762262</v>
      </c>
      <c r="K635">
        <v>40.000000001047702</v>
      </c>
      <c r="L635">
        <v>731668</v>
      </c>
    </row>
    <row r="636" spans="1:12" x14ac:dyDescent="0.35">
      <c r="A636">
        <v>634</v>
      </c>
      <c r="B636" t="s">
        <v>69</v>
      </c>
      <c r="C636">
        <v>731670.00000000105</v>
      </c>
      <c r="D636">
        <v>1463338</v>
      </c>
      <c r="G636">
        <v>634</v>
      </c>
      <c r="H636" t="s">
        <v>69</v>
      </c>
      <c r="I636">
        <v>731670.00000000105</v>
      </c>
      <c r="J636">
        <v>3762300</v>
      </c>
      <c r="K636">
        <v>80.000000001047695</v>
      </c>
      <c r="L636">
        <v>1463338</v>
      </c>
    </row>
    <row r="637" spans="1:12" x14ac:dyDescent="0.35">
      <c r="A637">
        <v>635</v>
      </c>
      <c r="B637" t="s">
        <v>63</v>
      </c>
      <c r="C637">
        <v>731665</v>
      </c>
      <c r="D637">
        <v>731665</v>
      </c>
      <c r="G637">
        <v>635</v>
      </c>
      <c r="H637" t="s">
        <v>63</v>
      </c>
      <c r="I637">
        <v>731665</v>
      </c>
      <c r="J637">
        <v>3762225</v>
      </c>
      <c r="K637">
        <v>36</v>
      </c>
      <c r="L637">
        <v>731665</v>
      </c>
    </row>
    <row r="638" spans="1:12" x14ac:dyDescent="0.35">
      <c r="A638">
        <v>636</v>
      </c>
      <c r="B638" t="s">
        <v>69</v>
      </c>
      <c r="C638">
        <v>731668</v>
      </c>
      <c r="D638">
        <v>1463333</v>
      </c>
      <c r="G638">
        <v>636</v>
      </c>
      <c r="H638" t="s">
        <v>69</v>
      </c>
      <c r="I638">
        <v>731668</v>
      </c>
      <c r="J638">
        <v>3762192</v>
      </c>
      <c r="K638">
        <v>70</v>
      </c>
      <c r="L638">
        <v>1463333</v>
      </c>
    </row>
    <row r="639" spans="1:12" x14ac:dyDescent="0.35">
      <c r="A639">
        <v>637</v>
      </c>
      <c r="B639" t="s">
        <v>63</v>
      </c>
      <c r="C639">
        <v>731625</v>
      </c>
      <c r="D639">
        <v>731625</v>
      </c>
      <c r="G639">
        <v>637</v>
      </c>
      <c r="H639" t="s">
        <v>63</v>
      </c>
      <c r="I639">
        <v>731625</v>
      </c>
      <c r="J639">
        <v>3762219</v>
      </c>
      <c r="K639">
        <v>33</v>
      </c>
      <c r="L639">
        <v>731625</v>
      </c>
    </row>
    <row r="640" spans="1:12" x14ac:dyDescent="0.35">
      <c r="A640">
        <v>638</v>
      </c>
      <c r="B640" t="s">
        <v>69</v>
      </c>
      <c r="C640">
        <v>731594</v>
      </c>
      <c r="D640">
        <v>1463219</v>
      </c>
      <c r="G640">
        <v>638</v>
      </c>
      <c r="H640" t="s">
        <v>69</v>
      </c>
      <c r="I640">
        <v>731594</v>
      </c>
      <c r="J640">
        <v>3762217</v>
      </c>
      <c r="K640">
        <v>0</v>
      </c>
      <c r="L640">
        <v>1463219</v>
      </c>
    </row>
    <row r="641" spans="1:12" x14ac:dyDescent="0.35">
      <c r="A641">
        <v>639</v>
      </c>
      <c r="B641" t="s">
        <v>63</v>
      </c>
      <c r="C641">
        <v>731594</v>
      </c>
      <c r="D641">
        <v>731594</v>
      </c>
      <c r="G641">
        <v>639</v>
      </c>
      <c r="H641" t="s">
        <v>63</v>
      </c>
      <c r="I641">
        <v>731594</v>
      </c>
      <c r="J641">
        <v>3762217</v>
      </c>
      <c r="K641">
        <v>49.999999998020897</v>
      </c>
      <c r="L641">
        <v>731594</v>
      </c>
    </row>
    <row r="642" spans="1:12" x14ac:dyDescent="0.35">
      <c r="A642">
        <v>640</v>
      </c>
      <c r="B642" t="s">
        <v>69</v>
      </c>
      <c r="C642">
        <v>731559.00000000198</v>
      </c>
      <c r="D642">
        <v>1463153</v>
      </c>
      <c r="G642">
        <v>640</v>
      </c>
      <c r="H642" t="s">
        <v>69</v>
      </c>
      <c r="I642">
        <v>731559.00000000198</v>
      </c>
      <c r="J642">
        <v>3762202</v>
      </c>
      <c r="K642">
        <v>0</v>
      </c>
      <c r="L642">
        <v>1463153</v>
      </c>
    </row>
    <row r="643" spans="1:12" x14ac:dyDescent="0.35">
      <c r="A643">
        <v>641</v>
      </c>
      <c r="B643" t="s">
        <v>63</v>
      </c>
      <c r="C643">
        <v>731559.00000000198</v>
      </c>
      <c r="D643">
        <v>731559.00000000198</v>
      </c>
      <c r="G643">
        <v>641</v>
      </c>
      <c r="H643" t="s">
        <v>63</v>
      </c>
      <c r="I643">
        <v>731559.00000000198</v>
      </c>
      <c r="J643">
        <v>3762202</v>
      </c>
      <c r="K643">
        <v>50.000000000931301</v>
      </c>
      <c r="L643">
        <v>731559.00000000198</v>
      </c>
    </row>
    <row r="644" spans="1:12" x14ac:dyDescent="0.35">
      <c r="A644">
        <v>642</v>
      </c>
      <c r="B644" t="s">
        <v>69</v>
      </c>
      <c r="C644">
        <v>731521.00000000105</v>
      </c>
      <c r="D644">
        <v>1463080</v>
      </c>
      <c r="G644">
        <v>642</v>
      </c>
      <c r="H644" t="s">
        <v>69</v>
      </c>
      <c r="I644">
        <v>731521.00000000105</v>
      </c>
      <c r="J644">
        <v>3762190</v>
      </c>
      <c r="K644">
        <v>99.999999998952305</v>
      </c>
      <c r="L644">
        <v>1463080</v>
      </c>
    </row>
    <row r="645" spans="1:12" x14ac:dyDescent="0.35">
      <c r="A645">
        <v>643</v>
      </c>
      <c r="B645" t="s">
        <v>63</v>
      </c>
      <c r="C645">
        <v>731594</v>
      </c>
      <c r="D645">
        <v>731594</v>
      </c>
      <c r="G645">
        <v>643</v>
      </c>
      <c r="H645" t="s">
        <v>63</v>
      </c>
      <c r="I645">
        <v>731594</v>
      </c>
      <c r="J645">
        <v>3762217</v>
      </c>
      <c r="K645">
        <v>26</v>
      </c>
      <c r="L645">
        <v>731594</v>
      </c>
    </row>
    <row r="646" spans="1:12" x14ac:dyDescent="0.35">
      <c r="A646">
        <v>644</v>
      </c>
      <c r="B646" t="s">
        <v>69</v>
      </c>
      <c r="C646">
        <v>731589</v>
      </c>
      <c r="D646">
        <v>1463183</v>
      </c>
      <c r="G646">
        <v>644</v>
      </c>
      <c r="H646" t="s">
        <v>69</v>
      </c>
      <c r="I646">
        <v>731589</v>
      </c>
      <c r="J646">
        <v>3762196</v>
      </c>
      <c r="K646">
        <v>26</v>
      </c>
      <c r="L646">
        <v>1463183</v>
      </c>
    </row>
    <row r="647" spans="1:12" x14ac:dyDescent="0.35">
      <c r="A647">
        <v>645</v>
      </c>
      <c r="B647" t="s">
        <v>63</v>
      </c>
      <c r="C647">
        <v>731594</v>
      </c>
      <c r="D647">
        <v>731594</v>
      </c>
      <c r="G647">
        <v>645</v>
      </c>
      <c r="H647" t="s">
        <v>63</v>
      </c>
      <c r="I647">
        <v>731594</v>
      </c>
      <c r="J647">
        <v>3762217</v>
      </c>
      <c r="K647">
        <v>62.999999998952298</v>
      </c>
      <c r="L647">
        <v>731594</v>
      </c>
    </row>
    <row r="648" spans="1:12" x14ac:dyDescent="0.35">
      <c r="A648">
        <v>646</v>
      </c>
      <c r="B648" t="s">
        <v>69</v>
      </c>
      <c r="C648">
        <v>731567.00000000105</v>
      </c>
      <c r="D648">
        <v>1463161</v>
      </c>
      <c r="G648">
        <v>646</v>
      </c>
      <c r="H648" t="s">
        <v>69</v>
      </c>
      <c r="I648">
        <v>731567.00000000105</v>
      </c>
      <c r="J648">
        <v>3762253</v>
      </c>
      <c r="K648">
        <v>0</v>
      </c>
      <c r="L648">
        <v>1463161</v>
      </c>
    </row>
    <row r="649" spans="1:12" x14ac:dyDescent="0.35">
      <c r="A649">
        <v>647</v>
      </c>
      <c r="B649" t="s">
        <v>63</v>
      </c>
      <c r="C649">
        <v>731567.00000000105</v>
      </c>
      <c r="D649">
        <v>731567.00000000105</v>
      </c>
      <c r="G649">
        <v>647</v>
      </c>
      <c r="H649" t="s">
        <v>63</v>
      </c>
      <c r="I649">
        <v>731567.00000000105</v>
      </c>
      <c r="J649">
        <v>3762253</v>
      </c>
      <c r="K649">
        <v>26</v>
      </c>
      <c r="L649">
        <v>731567.00000000105</v>
      </c>
    </row>
    <row r="650" spans="1:12" x14ac:dyDescent="0.35">
      <c r="A650">
        <v>648</v>
      </c>
      <c r="B650" t="s">
        <v>69</v>
      </c>
      <c r="C650">
        <v>731542.00000000105</v>
      </c>
      <c r="D650">
        <v>1463109</v>
      </c>
      <c r="G650">
        <v>648</v>
      </c>
      <c r="H650" t="s">
        <v>69</v>
      </c>
      <c r="I650">
        <v>731542.00000000105</v>
      </c>
      <c r="J650">
        <v>3762254</v>
      </c>
      <c r="K650">
        <v>26</v>
      </c>
      <c r="L650">
        <v>1463109</v>
      </c>
    </row>
    <row r="651" spans="1:12" x14ac:dyDescent="0.35">
      <c r="A651">
        <v>649</v>
      </c>
      <c r="B651" t="s">
        <v>63</v>
      </c>
      <c r="C651">
        <v>731567.00000000105</v>
      </c>
      <c r="D651">
        <v>731567.00000000105</v>
      </c>
      <c r="G651">
        <v>649</v>
      </c>
      <c r="H651" t="s">
        <v>63</v>
      </c>
      <c r="I651">
        <v>731567.00000000105</v>
      </c>
      <c r="J651">
        <v>3762253</v>
      </c>
      <c r="K651">
        <v>23</v>
      </c>
      <c r="L651">
        <v>731567.00000000105</v>
      </c>
    </row>
    <row r="652" spans="1:12" x14ac:dyDescent="0.35">
      <c r="A652">
        <v>650</v>
      </c>
      <c r="B652" t="s">
        <v>69</v>
      </c>
      <c r="C652">
        <v>731565.00000000105</v>
      </c>
      <c r="D652">
        <v>1463132</v>
      </c>
      <c r="G652">
        <v>650</v>
      </c>
      <c r="H652" t="s">
        <v>69</v>
      </c>
      <c r="I652">
        <v>731565.00000000105</v>
      </c>
      <c r="J652">
        <v>3762274</v>
      </c>
      <c r="K652">
        <v>191.99999999895201</v>
      </c>
      <c r="L652">
        <v>1463132</v>
      </c>
    </row>
    <row r="653" spans="1:12" x14ac:dyDescent="0.35">
      <c r="A653">
        <v>651</v>
      </c>
      <c r="B653" t="s">
        <v>63</v>
      </c>
      <c r="C653">
        <v>731668</v>
      </c>
      <c r="D653">
        <v>731668</v>
      </c>
      <c r="G653">
        <v>651</v>
      </c>
      <c r="H653" t="s">
        <v>63</v>
      </c>
      <c r="I653">
        <v>731668</v>
      </c>
      <c r="J653">
        <v>3762185</v>
      </c>
      <c r="K653">
        <v>0</v>
      </c>
      <c r="L653">
        <v>731668</v>
      </c>
    </row>
    <row r="654" spans="1:12" x14ac:dyDescent="0.35">
      <c r="A654">
        <v>652</v>
      </c>
      <c r="B654" t="s">
        <v>69</v>
      </c>
      <c r="C654">
        <v>731668</v>
      </c>
      <c r="D654">
        <v>1463336</v>
      </c>
      <c r="G654">
        <v>652</v>
      </c>
      <c r="H654" t="s">
        <v>69</v>
      </c>
      <c r="I654">
        <v>731668</v>
      </c>
      <c r="J654">
        <v>3762185</v>
      </c>
      <c r="K654">
        <v>0</v>
      </c>
      <c r="L654">
        <v>1463336</v>
      </c>
    </row>
    <row r="655" spans="1:12" x14ac:dyDescent="0.35">
      <c r="A655">
        <v>653</v>
      </c>
      <c r="B655" t="s">
        <v>63</v>
      </c>
      <c r="C655">
        <v>731668</v>
      </c>
      <c r="D655">
        <v>731668</v>
      </c>
      <c r="G655">
        <v>653</v>
      </c>
      <c r="H655" t="s">
        <v>63</v>
      </c>
      <c r="I655">
        <v>731668</v>
      </c>
      <c r="J655">
        <v>3762185</v>
      </c>
      <c r="K655">
        <v>40</v>
      </c>
      <c r="L655">
        <v>731668</v>
      </c>
    </row>
    <row r="656" spans="1:12" x14ac:dyDescent="0.35">
      <c r="A656">
        <v>654</v>
      </c>
      <c r="B656" t="s">
        <v>69</v>
      </c>
      <c r="C656">
        <v>731665</v>
      </c>
      <c r="D656">
        <v>1463333</v>
      </c>
      <c r="G656">
        <v>654</v>
      </c>
      <c r="H656" t="s">
        <v>69</v>
      </c>
      <c r="I656">
        <v>731665</v>
      </c>
      <c r="J656">
        <v>3762148</v>
      </c>
      <c r="K656">
        <v>0</v>
      </c>
      <c r="L656">
        <v>1463333</v>
      </c>
    </row>
    <row r="657" spans="1:12" x14ac:dyDescent="0.35">
      <c r="A657">
        <v>655</v>
      </c>
      <c r="B657" t="s">
        <v>63</v>
      </c>
      <c r="C657">
        <v>731665</v>
      </c>
      <c r="D657">
        <v>731665</v>
      </c>
      <c r="G657">
        <v>655</v>
      </c>
      <c r="H657" t="s">
        <v>63</v>
      </c>
      <c r="I657">
        <v>731665</v>
      </c>
      <c r="J657">
        <v>3762148</v>
      </c>
      <c r="K657">
        <v>24</v>
      </c>
      <c r="L657">
        <v>731665</v>
      </c>
    </row>
    <row r="658" spans="1:12" x14ac:dyDescent="0.35">
      <c r="A658">
        <v>656</v>
      </c>
      <c r="B658" t="s">
        <v>69</v>
      </c>
      <c r="C658">
        <v>731663</v>
      </c>
      <c r="D658">
        <v>1463328</v>
      </c>
      <c r="G658">
        <v>656</v>
      </c>
      <c r="H658" t="s">
        <v>69</v>
      </c>
      <c r="I658">
        <v>731663</v>
      </c>
      <c r="J658">
        <v>3762126</v>
      </c>
      <c r="K658">
        <v>0</v>
      </c>
      <c r="L658">
        <v>1463328</v>
      </c>
    </row>
    <row r="659" spans="1:12" x14ac:dyDescent="0.35">
      <c r="A659">
        <v>657</v>
      </c>
      <c r="B659" t="s">
        <v>63</v>
      </c>
      <c r="C659">
        <v>731663</v>
      </c>
      <c r="D659">
        <v>731663</v>
      </c>
      <c r="G659">
        <v>657</v>
      </c>
      <c r="H659" t="s">
        <v>63</v>
      </c>
      <c r="I659">
        <v>731663</v>
      </c>
      <c r="J659">
        <v>3762126</v>
      </c>
      <c r="K659">
        <v>39.000000001047702</v>
      </c>
      <c r="L659">
        <v>731663</v>
      </c>
    </row>
    <row r="660" spans="1:12" x14ac:dyDescent="0.35">
      <c r="A660">
        <v>658</v>
      </c>
      <c r="B660" t="s">
        <v>69</v>
      </c>
      <c r="C660">
        <v>731660.99999999895</v>
      </c>
      <c r="D660">
        <v>1463324</v>
      </c>
      <c r="G660">
        <v>658</v>
      </c>
      <c r="H660" t="s">
        <v>69</v>
      </c>
      <c r="I660">
        <v>731660.99999999895</v>
      </c>
      <c r="J660">
        <v>3762089</v>
      </c>
      <c r="K660">
        <v>145.00000000104799</v>
      </c>
      <c r="L660">
        <v>1463324</v>
      </c>
    </row>
    <row r="661" spans="1:12" x14ac:dyDescent="0.35">
      <c r="A661">
        <v>659</v>
      </c>
      <c r="B661" t="s">
        <v>63</v>
      </c>
      <c r="C661">
        <v>731706</v>
      </c>
      <c r="D661">
        <v>731706</v>
      </c>
      <c r="G661">
        <v>659</v>
      </c>
      <c r="H661" t="s">
        <v>63</v>
      </c>
      <c r="I661">
        <v>731706</v>
      </c>
      <c r="J661">
        <v>3762189</v>
      </c>
      <c r="K661">
        <v>0</v>
      </c>
      <c r="L661">
        <v>731706</v>
      </c>
    </row>
    <row r="662" spans="1:12" x14ac:dyDescent="0.35">
      <c r="A662">
        <v>660</v>
      </c>
      <c r="B662" t="s">
        <v>69</v>
      </c>
      <c r="C662">
        <v>731706</v>
      </c>
      <c r="D662">
        <v>1463412</v>
      </c>
      <c r="G662">
        <v>660</v>
      </c>
      <c r="H662" t="s">
        <v>69</v>
      </c>
      <c r="I662">
        <v>731706</v>
      </c>
      <c r="J662">
        <v>3762189</v>
      </c>
      <c r="K662">
        <v>0</v>
      </c>
      <c r="L662">
        <v>1463412</v>
      </c>
    </row>
    <row r="663" spans="1:12" x14ac:dyDescent="0.35">
      <c r="A663">
        <v>661</v>
      </c>
      <c r="B663" t="s">
        <v>63</v>
      </c>
      <c r="C663">
        <v>731706</v>
      </c>
      <c r="D663">
        <v>731706</v>
      </c>
      <c r="G663">
        <v>661</v>
      </c>
      <c r="H663" t="s">
        <v>63</v>
      </c>
      <c r="I663">
        <v>731706</v>
      </c>
      <c r="J663">
        <v>3762189</v>
      </c>
      <c r="K663">
        <v>41</v>
      </c>
      <c r="L663">
        <v>731706</v>
      </c>
    </row>
    <row r="664" spans="1:12" x14ac:dyDescent="0.35">
      <c r="A664">
        <v>662</v>
      </c>
      <c r="B664" t="s">
        <v>69</v>
      </c>
      <c r="C664">
        <v>731706</v>
      </c>
      <c r="D664">
        <v>1463412</v>
      </c>
      <c r="G664">
        <v>662</v>
      </c>
      <c r="H664" t="s">
        <v>69</v>
      </c>
      <c r="I664">
        <v>731706</v>
      </c>
      <c r="J664">
        <v>3762230</v>
      </c>
      <c r="K664">
        <v>0</v>
      </c>
      <c r="L664">
        <v>1463412</v>
      </c>
    </row>
    <row r="665" spans="1:12" x14ac:dyDescent="0.35">
      <c r="A665">
        <v>663</v>
      </c>
      <c r="B665" t="s">
        <v>63</v>
      </c>
      <c r="C665">
        <v>731706</v>
      </c>
      <c r="D665">
        <v>731706</v>
      </c>
      <c r="G665">
        <v>663</v>
      </c>
      <c r="H665" t="s">
        <v>63</v>
      </c>
      <c r="I665">
        <v>731706</v>
      </c>
      <c r="J665">
        <v>3762230</v>
      </c>
      <c r="K665">
        <v>65</v>
      </c>
      <c r="L665">
        <v>731706</v>
      </c>
    </row>
    <row r="666" spans="1:12" x14ac:dyDescent="0.35">
      <c r="A666">
        <v>664</v>
      </c>
      <c r="B666" t="s">
        <v>69</v>
      </c>
      <c r="C666">
        <v>731709</v>
      </c>
      <c r="D666">
        <v>1463415</v>
      </c>
      <c r="G666">
        <v>664</v>
      </c>
      <c r="H666" t="s">
        <v>69</v>
      </c>
      <c r="I666">
        <v>731709</v>
      </c>
      <c r="J666">
        <v>3762292</v>
      </c>
      <c r="K666">
        <v>140.99999999895201</v>
      </c>
      <c r="L666">
        <v>1463415</v>
      </c>
    </row>
    <row r="667" spans="1:12" x14ac:dyDescent="0.35">
      <c r="A667">
        <v>665</v>
      </c>
      <c r="B667" t="s">
        <v>63</v>
      </c>
      <c r="C667">
        <v>731708.00000000105</v>
      </c>
      <c r="D667">
        <v>731708.00000000105</v>
      </c>
      <c r="G667">
        <v>665</v>
      </c>
      <c r="H667" t="s">
        <v>63</v>
      </c>
      <c r="I667">
        <v>731708.00000000105</v>
      </c>
      <c r="J667">
        <v>3762152</v>
      </c>
      <c r="K667">
        <v>51</v>
      </c>
      <c r="L667">
        <v>731708.00000000105</v>
      </c>
    </row>
    <row r="668" spans="1:12" x14ac:dyDescent="0.35">
      <c r="A668">
        <v>666</v>
      </c>
      <c r="B668" t="s">
        <v>69</v>
      </c>
      <c r="C668">
        <v>731756.00000000105</v>
      </c>
      <c r="D668">
        <v>1463464</v>
      </c>
      <c r="G668">
        <v>666</v>
      </c>
      <c r="H668" t="s">
        <v>69</v>
      </c>
      <c r="I668">
        <v>731756.00000000105</v>
      </c>
      <c r="J668">
        <v>3762155</v>
      </c>
      <c r="K668">
        <v>0</v>
      </c>
      <c r="L668">
        <v>1463464</v>
      </c>
    </row>
    <row r="669" spans="1:12" x14ac:dyDescent="0.35">
      <c r="A669">
        <v>667</v>
      </c>
      <c r="B669" t="s">
        <v>63</v>
      </c>
      <c r="C669">
        <v>731756.00000000105</v>
      </c>
      <c r="D669">
        <v>731756.00000000105</v>
      </c>
      <c r="G669">
        <v>667</v>
      </c>
      <c r="H669" t="s">
        <v>63</v>
      </c>
      <c r="I669">
        <v>731756.00000000105</v>
      </c>
      <c r="J669">
        <v>3762155</v>
      </c>
      <c r="K669">
        <v>33.999999998952298</v>
      </c>
      <c r="L669">
        <v>731756.00000000105</v>
      </c>
    </row>
    <row r="670" spans="1:12" x14ac:dyDescent="0.35">
      <c r="A670">
        <v>668</v>
      </c>
      <c r="B670" t="s">
        <v>69</v>
      </c>
      <c r="C670">
        <v>731760</v>
      </c>
      <c r="D670">
        <v>1463516</v>
      </c>
      <c r="G670">
        <v>668</v>
      </c>
      <c r="H670" t="s">
        <v>69</v>
      </c>
      <c r="I670">
        <v>731760</v>
      </c>
      <c r="J670">
        <v>3762125</v>
      </c>
      <c r="K670">
        <v>593.99999999895203</v>
      </c>
      <c r="L670">
        <v>1463516</v>
      </c>
    </row>
    <row r="671" spans="1:12" x14ac:dyDescent="0.35">
      <c r="A671">
        <v>669</v>
      </c>
      <c r="B671" t="s">
        <v>63</v>
      </c>
      <c r="C671">
        <v>731667.00000000105</v>
      </c>
      <c r="D671">
        <v>731667.00000000105</v>
      </c>
      <c r="G671">
        <v>669</v>
      </c>
      <c r="H671" t="s">
        <v>63</v>
      </c>
      <c r="I671">
        <v>731667.00000000105</v>
      </c>
      <c r="J671">
        <v>3762626</v>
      </c>
      <c r="K671">
        <v>28.000000001047699</v>
      </c>
      <c r="L671">
        <v>731667.00000000105</v>
      </c>
    </row>
    <row r="672" spans="1:12" x14ac:dyDescent="0.35">
      <c r="A672">
        <v>670</v>
      </c>
      <c r="B672" t="s">
        <v>69</v>
      </c>
      <c r="C672">
        <v>731642</v>
      </c>
      <c r="D672">
        <v>1463309</v>
      </c>
      <c r="G672">
        <v>670</v>
      </c>
      <c r="H672" t="s">
        <v>69</v>
      </c>
      <c r="I672">
        <v>731642</v>
      </c>
      <c r="J672">
        <v>3762629</v>
      </c>
      <c r="K672">
        <v>0</v>
      </c>
      <c r="L672">
        <v>1463309</v>
      </c>
    </row>
    <row r="673" spans="1:12" x14ac:dyDescent="0.35">
      <c r="A673">
        <v>671</v>
      </c>
      <c r="B673" t="s">
        <v>63</v>
      </c>
      <c r="C673">
        <v>731642</v>
      </c>
      <c r="D673">
        <v>731642</v>
      </c>
      <c r="G673">
        <v>671</v>
      </c>
      <c r="H673" t="s">
        <v>63</v>
      </c>
      <c r="I673">
        <v>731642</v>
      </c>
      <c r="J673">
        <v>3762629</v>
      </c>
      <c r="K673">
        <v>86</v>
      </c>
      <c r="L673">
        <v>731642</v>
      </c>
    </row>
    <row r="674" spans="1:12" x14ac:dyDescent="0.35">
      <c r="A674">
        <v>672</v>
      </c>
      <c r="B674" t="s">
        <v>69</v>
      </c>
      <c r="C674">
        <v>731668</v>
      </c>
      <c r="D674">
        <v>1463310</v>
      </c>
      <c r="G674">
        <v>672</v>
      </c>
      <c r="H674" t="s">
        <v>69</v>
      </c>
      <c r="I674">
        <v>731668</v>
      </c>
      <c r="J674">
        <v>3762569</v>
      </c>
      <c r="K674">
        <v>0</v>
      </c>
      <c r="L674">
        <v>1463310</v>
      </c>
    </row>
    <row r="675" spans="1:12" x14ac:dyDescent="0.35">
      <c r="A675">
        <v>673</v>
      </c>
      <c r="B675" t="s">
        <v>63</v>
      </c>
      <c r="C675">
        <v>731668</v>
      </c>
      <c r="D675">
        <v>731668</v>
      </c>
      <c r="G675">
        <v>673</v>
      </c>
      <c r="H675" t="s">
        <v>63</v>
      </c>
      <c r="I675">
        <v>731668</v>
      </c>
      <c r="J675">
        <v>3762569</v>
      </c>
      <c r="K675">
        <v>47</v>
      </c>
      <c r="L675">
        <v>731668</v>
      </c>
    </row>
    <row r="676" spans="1:12" x14ac:dyDescent="0.35">
      <c r="A676">
        <v>674</v>
      </c>
      <c r="B676" t="s">
        <v>69</v>
      </c>
      <c r="C676">
        <v>731676</v>
      </c>
      <c r="D676">
        <v>1463344</v>
      </c>
      <c r="G676">
        <v>674</v>
      </c>
      <c r="H676" t="s">
        <v>69</v>
      </c>
      <c r="I676">
        <v>731676</v>
      </c>
      <c r="J676">
        <v>3762530</v>
      </c>
      <c r="K676">
        <v>162.00000000104799</v>
      </c>
      <c r="L676">
        <v>1463344</v>
      </c>
    </row>
    <row r="677" spans="1:12" x14ac:dyDescent="0.35">
      <c r="A677">
        <v>675</v>
      </c>
      <c r="B677" t="s">
        <v>63</v>
      </c>
      <c r="C677">
        <v>731751.00000000105</v>
      </c>
      <c r="D677">
        <v>731751.00000000105</v>
      </c>
      <c r="G677">
        <v>675</v>
      </c>
      <c r="H677" t="s">
        <v>63</v>
      </c>
      <c r="I677">
        <v>731751.00000000105</v>
      </c>
      <c r="J677">
        <v>3762617</v>
      </c>
      <c r="K677">
        <v>40</v>
      </c>
      <c r="L677">
        <v>731751.00000000105</v>
      </c>
    </row>
    <row r="678" spans="1:12" x14ac:dyDescent="0.35">
      <c r="A678">
        <v>676</v>
      </c>
      <c r="B678" t="s">
        <v>69</v>
      </c>
      <c r="C678">
        <v>731749.00000000105</v>
      </c>
      <c r="D678">
        <v>1463500</v>
      </c>
      <c r="G678">
        <v>676</v>
      </c>
      <c r="H678" t="s">
        <v>69</v>
      </c>
      <c r="I678">
        <v>731749.00000000105</v>
      </c>
      <c r="J678">
        <v>3762579</v>
      </c>
      <c r="K678">
        <v>0</v>
      </c>
      <c r="L678">
        <v>1463500</v>
      </c>
    </row>
    <row r="679" spans="1:12" x14ac:dyDescent="0.35">
      <c r="A679">
        <v>677</v>
      </c>
      <c r="B679" t="s">
        <v>63</v>
      </c>
      <c r="C679">
        <v>731749.00000000105</v>
      </c>
      <c r="D679">
        <v>731749.00000000105</v>
      </c>
      <c r="G679">
        <v>677</v>
      </c>
      <c r="H679" t="s">
        <v>63</v>
      </c>
      <c r="I679">
        <v>731749.00000000105</v>
      </c>
      <c r="J679">
        <v>3762579</v>
      </c>
      <c r="K679">
        <v>67.999999998952305</v>
      </c>
      <c r="L679">
        <v>731749.00000000105</v>
      </c>
    </row>
    <row r="680" spans="1:12" x14ac:dyDescent="0.35">
      <c r="A680">
        <v>678</v>
      </c>
      <c r="B680" t="s">
        <v>69</v>
      </c>
      <c r="C680">
        <v>731799</v>
      </c>
      <c r="D680">
        <v>1463548</v>
      </c>
      <c r="G680">
        <v>678</v>
      </c>
      <c r="H680" t="s">
        <v>69</v>
      </c>
      <c r="I680">
        <v>731799</v>
      </c>
      <c r="J680">
        <v>3762561</v>
      </c>
      <c r="K680">
        <v>0</v>
      </c>
      <c r="L680">
        <v>1463548</v>
      </c>
    </row>
    <row r="681" spans="1:12" x14ac:dyDescent="0.35">
      <c r="A681">
        <v>679</v>
      </c>
      <c r="B681" t="s">
        <v>63</v>
      </c>
      <c r="C681">
        <v>731799</v>
      </c>
      <c r="D681">
        <v>731799</v>
      </c>
      <c r="G681">
        <v>679</v>
      </c>
      <c r="H681" t="s">
        <v>63</v>
      </c>
      <c r="I681">
        <v>731799</v>
      </c>
      <c r="J681">
        <v>3762561</v>
      </c>
      <c r="K681">
        <v>141.00000000104799</v>
      </c>
      <c r="L681">
        <v>731799</v>
      </c>
    </row>
    <row r="682" spans="1:12" x14ac:dyDescent="0.35">
      <c r="A682">
        <v>680</v>
      </c>
      <c r="B682" t="s">
        <v>69</v>
      </c>
      <c r="C682">
        <v>731877.00000000105</v>
      </c>
      <c r="D682">
        <v>1463676</v>
      </c>
      <c r="G682">
        <v>680</v>
      </c>
      <c r="H682" t="s">
        <v>69</v>
      </c>
      <c r="I682">
        <v>731877.00000000105</v>
      </c>
      <c r="J682">
        <v>3762498</v>
      </c>
      <c r="K682">
        <v>142</v>
      </c>
      <c r="L682">
        <v>1463676</v>
      </c>
    </row>
    <row r="683" spans="1:12" x14ac:dyDescent="0.35">
      <c r="A683">
        <v>681</v>
      </c>
      <c r="B683" t="s">
        <v>63</v>
      </c>
      <c r="C683">
        <v>731769.00000000105</v>
      </c>
      <c r="D683">
        <v>731769.00000000105</v>
      </c>
      <c r="G683">
        <v>681</v>
      </c>
      <c r="H683" t="s">
        <v>63</v>
      </c>
      <c r="I683">
        <v>731769.00000000105</v>
      </c>
      <c r="J683">
        <v>3762464</v>
      </c>
      <c r="K683">
        <v>54.999999998952298</v>
      </c>
      <c r="L683">
        <v>731769.00000000105</v>
      </c>
    </row>
    <row r="684" spans="1:12" x14ac:dyDescent="0.35">
      <c r="A684">
        <v>682</v>
      </c>
      <c r="B684" t="s">
        <v>69</v>
      </c>
      <c r="C684">
        <v>731783</v>
      </c>
      <c r="D684">
        <v>1463552</v>
      </c>
      <c r="G684">
        <v>682</v>
      </c>
      <c r="H684" t="s">
        <v>69</v>
      </c>
      <c r="I684">
        <v>731783</v>
      </c>
      <c r="J684">
        <v>3762423</v>
      </c>
      <c r="K684">
        <v>54.999999998952298</v>
      </c>
      <c r="L684">
        <v>1463552</v>
      </c>
    </row>
    <row r="685" spans="1:12" x14ac:dyDescent="0.35">
      <c r="A685">
        <v>683</v>
      </c>
      <c r="B685" t="s">
        <v>63</v>
      </c>
      <c r="C685">
        <v>731769.00000000105</v>
      </c>
      <c r="D685">
        <v>731769.00000000105</v>
      </c>
      <c r="G685">
        <v>683</v>
      </c>
      <c r="H685" t="s">
        <v>63</v>
      </c>
      <c r="I685">
        <v>731769.00000000105</v>
      </c>
      <c r="J685">
        <v>3762464</v>
      </c>
      <c r="K685">
        <v>38</v>
      </c>
      <c r="L685">
        <v>731769.00000000105</v>
      </c>
    </row>
    <row r="686" spans="1:12" x14ac:dyDescent="0.35">
      <c r="A686">
        <v>684</v>
      </c>
      <c r="B686" t="s">
        <v>69</v>
      </c>
      <c r="C686">
        <v>731767.00000000105</v>
      </c>
      <c r="D686">
        <v>1463536</v>
      </c>
      <c r="G686">
        <v>684</v>
      </c>
      <c r="H686" t="s">
        <v>69</v>
      </c>
      <c r="I686">
        <v>731767.00000000105</v>
      </c>
      <c r="J686">
        <v>3762500</v>
      </c>
      <c r="K686">
        <v>0</v>
      </c>
      <c r="L686">
        <v>1463536</v>
      </c>
    </row>
    <row r="687" spans="1:12" x14ac:dyDescent="0.35">
      <c r="A687">
        <v>685</v>
      </c>
      <c r="B687" t="s">
        <v>63</v>
      </c>
      <c r="C687">
        <v>731767.00000000105</v>
      </c>
      <c r="D687">
        <v>731767.00000000105</v>
      </c>
      <c r="G687">
        <v>685</v>
      </c>
      <c r="H687" t="s">
        <v>63</v>
      </c>
      <c r="I687">
        <v>731767.00000000105</v>
      </c>
      <c r="J687">
        <v>3762500</v>
      </c>
      <c r="K687">
        <v>22</v>
      </c>
      <c r="L687">
        <v>731767.00000000105</v>
      </c>
    </row>
    <row r="688" spans="1:12" x14ac:dyDescent="0.35">
      <c r="A688">
        <v>686</v>
      </c>
      <c r="B688" t="s">
        <v>69</v>
      </c>
      <c r="C688">
        <v>731759.00000000105</v>
      </c>
      <c r="D688">
        <v>1463526</v>
      </c>
      <c r="G688">
        <v>686</v>
      </c>
      <c r="H688" t="s">
        <v>69</v>
      </c>
      <c r="I688">
        <v>731759.00000000105</v>
      </c>
      <c r="J688">
        <v>3762514</v>
      </c>
      <c r="K688">
        <v>0</v>
      </c>
      <c r="L688">
        <v>1463526</v>
      </c>
    </row>
    <row r="689" spans="1:12" x14ac:dyDescent="0.35">
      <c r="A689">
        <v>687</v>
      </c>
      <c r="B689" t="s">
        <v>63</v>
      </c>
      <c r="C689">
        <v>731759.00000000105</v>
      </c>
      <c r="D689">
        <v>731759.00000000105</v>
      </c>
      <c r="G689">
        <v>687</v>
      </c>
      <c r="H689" t="s">
        <v>63</v>
      </c>
      <c r="I689">
        <v>731759.00000000105</v>
      </c>
      <c r="J689">
        <v>3762514</v>
      </c>
      <c r="K689">
        <v>20.000000000931301</v>
      </c>
      <c r="L689">
        <v>731759.00000000105</v>
      </c>
    </row>
    <row r="690" spans="1:12" x14ac:dyDescent="0.35">
      <c r="A690">
        <v>688</v>
      </c>
      <c r="B690" t="s">
        <v>69</v>
      </c>
      <c r="C690">
        <v>731761.00000000198</v>
      </c>
      <c r="D690">
        <v>1463520</v>
      </c>
      <c r="G690">
        <v>688</v>
      </c>
      <c r="H690" t="s">
        <v>69</v>
      </c>
      <c r="I690">
        <v>731761.00000000198</v>
      </c>
      <c r="J690">
        <v>3762532</v>
      </c>
      <c r="K690">
        <v>0</v>
      </c>
      <c r="L690">
        <v>1463520</v>
      </c>
    </row>
    <row r="691" spans="1:12" x14ac:dyDescent="0.35">
      <c r="A691">
        <v>689</v>
      </c>
      <c r="B691" t="s">
        <v>63</v>
      </c>
      <c r="C691">
        <v>731761.00000000198</v>
      </c>
      <c r="D691">
        <v>731761.00000000198</v>
      </c>
      <c r="G691">
        <v>689</v>
      </c>
      <c r="H691" t="s">
        <v>63</v>
      </c>
      <c r="I691">
        <v>731761.00000000198</v>
      </c>
      <c r="J691">
        <v>3762532</v>
      </c>
      <c r="K691">
        <v>57.000000000931301</v>
      </c>
      <c r="L691">
        <v>731761.00000000198</v>
      </c>
    </row>
    <row r="692" spans="1:12" x14ac:dyDescent="0.35">
      <c r="A692">
        <v>690</v>
      </c>
      <c r="B692" t="s">
        <v>69</v>
      </c>
      <c r="C692">
        <v>731749.00000000105</v>
      </c>
      <c r="D692">
        <v>1463510</v>
      </c>
      <c r="G692">
        <v>690</v>
      </c>
      <c r="H692" t="s">
        <v>69</v>
      </c>
      <c r="I692">
        <v>731749.00000000105</v>
      </c>
      <c r="J692">
        <v>3762577</v>
      </c>
      <c r="K692" t="s">
        <v>919</v>
      </c>
      <c r="L692">
        <v>1463510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Ussama Saleem</dc:creator>
  <cp:lastModifiedBy>best consultant</cp:lastModifiedBy>
  <dcterms:created xsi:type="dcterms:W3CDTF">2026-07-30T04:57:37Z</dcterms:created>
  <dcterms:modified xsi:type="dcterms:W3CDTF">2026-07-31T02:11:56Z</dcterms:modified>
</cp:coreProperties>
</file>